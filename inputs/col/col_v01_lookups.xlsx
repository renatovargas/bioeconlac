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ows" sheetId="1" state="visible" r:id="rId3"/>
    <sheet name="columns" sheetId="2" state="visible" r:id="rId4"/>
    <sheet name="filas" sheetId="3" state="visible" r:id="rId5"/>
    <sheet name="columnas" sheetId="4" state="visible" r:id="rId6"/>
    <sheet name="quadrants" sheetId="5" state="visible" r:id="rId7"/>
    <sheet name="transacciones" sheetId="6" state="visible" r:id="rId8"/>
    <sheet name="Correl CIIU" sheetId="7" state="visible" r:id="rId9"/>
    <sheet name="bio" sheetId="8" state="visible" r:id="rId10"/>
    <sheet name="clasif_filas" sheetId="9" state="visible" r:id="rId11"/>
    <sheet name="at_filas" sheetId="10" state="visible" r:id="rId12"/>
    <sheet name="at_columnas" sheetId="11" state="visible" r:id="rId13"/>
    <sheet name="ntg2" sheetId="12" state="visible" r:id="rId14"/>
    <sheet name="Base_filas" sheetId="13" state="visible" r:id="rId15"/>
  </sheets>
  <definedNames>
    <definedName function="false" hidden="true" localSheetId="3" name="_xlnm._FilterDatabase" vbProcedure="false">columnas!$I$1:$J$279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<sst xmlns="http://schemas.openxmlformats.org/spreadsheetml/2006/main" count="3480" uniqueCount="1089">
  <si>
    <t xml:space="preserve">row_id</t>
  </si>
  <si>
    <t xml:space="preserve">Filas</t>
  </si>
  <si>
    <t xml:space="preserve">col_id</t>
  </si>
  <si>
    <t xml:space="preserve">Columnas</t>
  </si>
  <si>
    <t xml:space="preserve">Áreas Transaccionales Filas No.</t>
  </si>
  <si>
    <t xml:space="preserve">Áreas Transaccionales Filas Descripción</t>
  </si>
  <si>
    <t xml:space="preserve">Codigo Transacción Filas</t>
  </si>
  <si>
    <t xml:space="preserve">Código Nomenclatura Local de Productos</t>
  </si>
  <si>
    <t xml:space="preserve">Nomenclatura Local de Productos</t>
  </si>
  <si>
    <t xml:space="preserve">Clasificación Productos</t>
  </si>
  <si>
    <t xml:space="preserve">Cod_Bioec Productos</t>
  </si>
  <si>
    <t xml:space="preserve">Tipo de bioeconomía Productos</t>
  </si>
  <si>
    <t xml:space="preserve">Sectores produuctos</t>
  </si>
  <si>
    <t xml:space="preserve">Cód_Div_CPC_3</t>
  </si>
  <si>
    <t xml:space="preserve">División CPC_3</t>
  </si>
  <si>
    <t xml:space="preserve">Cód_Div_CPC_2</t>
  </si>
  <si>
    <t xml:space="preserve">División CPC_2</t>
  </si>
  <si>
    <t xml:space="preserve">Cod. Elem. Def. Bioeconomía </t>
  </si>
  <si>
    <t xml:space="preserve">Tipo de elemento</t>
  </si>
  <si>
    <t xml:space="preserve">Código CPC</t>
  </si>
  <si>
    <t xml:space="preserve">Elemento CPC</t>
  </si>
  <si>
    <t xml:space="preserve">Código Bioeconomía</t>
  </si>
  <si>
    <t xml:space="preserve">Clasificación Bioeconomí</t>
  </si>
  <si>
    <t xml:space="preserve">COLof001</t>
  </si>
  <si>
    <t xml:space="preserve">ATF01</t>
  </si>
  <si>
    <t xml:space="preserve">Productos de la agricultura y la horticultura</t>
  </si>
  <si>
    <t xml:space="preserve">Animales y plantas</t>
  </si>
  <si>
    <t xml:space="preserve">Bioeconomía de productos básicos</t>
  </si>
  <si>
    <t xml:space="preserve">Productos agropecuarios</t>
  </si>
  <si>
    <t xml:space="preserve">COLof002</t>
  </si>
  <si>
    <t xml:space="preserve">Animales vivos y productos animales (excepto la carne)</t>
  </si>
  <si>
    <t xml:space="preserve">COLof003</t>
  </si>
  <si>
    <t xml:space="preserve">Productos de la silvicultura y de la explotación forestal</t>
  </si>
  <si>
    <t xml:space="preserve">Materias primas</t>
  </si>
  <si>
    <t xml:space="preserve">COLof004</t>
  </si>
  <si>
    <t xml:space="preserve">Pescado y otros productos de la pesca</t>
  </si>
  <si>
    <t xml:space="preserve">COLof005</t>
  </si>
  <si>
    <t xml:space="preserve">Carbón de hulla, lignito y turba</t>
  </si>
  <si>
    <t xml:space="preserve">No bioeconomía</t>
  </si>
  <si>
    <t xml:space="preserve">COLof006</t>
  </si>
  <si>
    <t xml:space="preserve">12 + 13</t>
  </si>
  <si>
    <t xml:space="preserve">Petróleo crudo y gas natural; minerales y concentrados de uranio y torio</t>
  </si>
  <si>
    <t xml:space="preserve">COLof007</t>
  </si>
  <si>
    <t xml:space="preserve">Minerales metálicos</t>
  </si>
  <si>
    <t xml:space="preserve">COLof008</t>
  </si>
  <si>
    <t xml:space="preserve">Piedra, arena y arcilla</t>
  </si>
  <si>
    <t xml:space="preserve">COLof009</t>
  </si>
  <si>
    <t xml:space="preserve">Otros minerales</t>
  </si>
  <si>
    <t xml:space="preserve">COLof010</t>
  </si>
  <si>
    <t xml:space="preserve">Electricidad, gas de ciudad, vapor y agua caliente</t>
  </si>
  <si>
    <t xml:space="preserve">COLof011</t>
  </si>
  <si>
    <t xml:space="preserve">Agua natural</t>
  </si>
  <si>
    <t xml:space="preserve">COLof012</t>
  </si>
  <si>
    <t xml:space="preserve">Carne, pescado, frutas, hortalizas, aceites y grasas</t>
  </si>
  <si>
    <t xml:space="preserve">Productos alimentarios_Carne</t>
  </si>
  <si>
    <t xml:space="preserve">Bioeconomía de transformación de productos básicos</t>
  </si>
  <si>
    <t xml:space="preserve">Industria alimentaria</t>
  </si>
  <si>
    <t xml:space="preserve">COLof013</t>
  </si>
  <si>
    <t xml:space="preserve">Productos lácteos y ovoproductos</t>
  </si>
  <si>
    <t xml:space="preserve">Productos alimentarios_Lácteos</t>
  </si>
  <si>
    <t xml:space="preserve">COLof014</t>
  </si>
  <si>
    <t xml:space="preserve">Productos de molinería, almidones y productos derivados del almidón; otros productos alimenticios</t>
  </si>
  <si>
    <t xml:space="preserve">Productos alimentarios_Cereales</t>
  </si>
  <si>
    <t xml:space="preserve">COLof015</t>
  </si>
  <si>
    <t xml:space="preserve">Bebidas</t>
  </si>
  <si>
    <t xml:space="preserve">Productos alimentarios_Bebidas</t>
  </si>
  <si>
    <t xml:space="preserve">COLof016</t>
  </si>
  <si>
    <t xml:space="preserve">Productos de tabaco</t>
  </si>
  <si>
    <t xml:space="preserve">Productos alimentarios_Tabaco</t>
  </si>
  <si>
    <t xml:space="preserve">COLof017</t>
  </si>
  <si>
    <t xml:space="preserve">Hilados e hilos; tejidos de fibras textiles incluso afelpados</t>
  </si>
  <si>
    <t xml:space="preserve">Industria textil y de la confección</t>
  </si>
  <si>
    <t xml:space="preserve">COLof018</t>
  </si>
  <si>
    <t xml:space="preserve">Artículos textiles (excepto prendas de vestir)</t>
  </si>
  <si>
    <t xml:space="preserve">COLof019</t>
  </si>
  <si>
    <t xml:space="preserve">Tejido de punto o ganchillo; prendas de vestir</t>
  </si>
  <si>
    <t xml:space="preserve">COLof020</t>
  </si>
  <si>
    <t xml:space="preserve">Cuero y productos de cuero; calzado</t>
  </si>
  <si>
    <t xml:space="preserve">COLof021</t>
  </si>
  <si>
    <t xml:space="preserve">Productos de madera, corcho, cestería y espartería</t>
  </si>
  <si>
    <t xml:space="preserve">Industria forestal</t>
  </si>
  <si>
    <t xml:space="preserve">COLof022</t>
  </si>
  <si>
    <t xml:space="preserve">Pasta o pulpa, papel y productos de papel; impresos y artículos relacionados</t>
  </si>
  <si>
    <t xml:space="preserve">Pulpa y papel</t>
  </si>
  <si>
    <t xml:space="preserve">COLof023</t>
  </si>
  <si>
    <t xml:space="preserve">Productos de hornos de coque; productos de refinación de petróleo y combustible nuclear</t>
  </si>
  <si>
    <t xml:space="preserve">COLof024</t>
  </si>
  <si>
    <t xml:space="preserve">Químicos básicos</t>
  </si>
  <si>
    <t xml:space="preserve">Químicos </t>
  </si>
  <si>
    <t xml:space="preserve">Bioeconomía avanzada</t>
  </si>
  <si>
    <t xml:space="preserve">COLof025</t>
  </si>
  <si>
    <t xml:space="preserve">Otros productos químicos; fibras artificiales ( o fibras industriales hechas por el hombre)</t>
  </si>
  <si>
    <t xml:space="preserve">COLof026</t>
  </si>
  <si>
    <t xml:space="preserve">Productos de caucho y plástico</t>
  </si>
  <si>
    <t xml:space="preserve">COLof027</t>
  </si>
  <si>
    <t xml:space="preserve">Vidrio y productos de vidrio y otros productos no metálicos n.c.p.</t>
  </si>
  <si>
    <t xml:space="preserve">COLof028</t>
  </si>
  <si>
    <t xml:space="preserve">Muebles; otros bienes transportables n.c.p.</t>
  </si>
  <si>
    <t xml:space="preserve">COLof029</t>
  </si>
  <si>
    <t xml:space="preserve">Desperdicios; desechos y residuos</t>
  </si>
  <si>
    <t xml:space="preserve">Productos agricolas_Residuos</t>
  </si>
  <si>
    <t xml:space="preserve">COLof030</t>
  </si>
  <si>
    <t xml:space="preserve">Metales básicos</t>
  </si>
  <si>
    <t xml:space="preserve">41-49</t>
  </si>
  <si>
    <t xml:space="preserve">COLof031</t>
  </si>
  <si>
    <t xml:space="preserve">Productos metálicos elaborados ( excepto maquinaria y equipo)</t>
  </si>
  <si>
    <t xml:space="preserve">COLof032</t>
  </si>
  <si>
    <t xml:space="preserve">Maquinaria para uso general</t>
  </si>
  <si>
    <t xml:space="preserve">COLof033</t>
  </si>
  <si>
    <t xml:space="preserve">Maquinaria para usos especiales</t>
  </si>
  <si>
    <t xml:space="preserve">COLof034</t>
  </si>
  <si>
    <t xml:space="preserve">Maquinaria de oficina, contabilidad e informática</t>
  </si>
  <si>
    <t xml:space="preserve">COLof035</t>
  </si>
  <si>
    <t xml:space="preserve">Maquinaria y aparatos eléctricos</t>
  </si>
  <si>
    <t xml:space="preserve">COLof036</t>
  </si>
  <si>
    <t xml:space="preserve">Equipo y aparatos de radio, televisión y comunicaciones</t>
  </si>
  <si>
    <t xml:space="preserve">COLof037</t>
  </si>
  <si>
    <t xml:space="preserve">Aparatos médicos, instrumentos ópticos y de precisión, relojes</t>
  </si>
  <si>
    <t xml:space="preserve">COLof038</t>
  </si>
  <si>
    <t xml:space="preserve">Equipo de transporte</t>
  </si>
  <si>
    <t xml:space="preserve">COLof039</t>
  </si>
  <si>
    <t xml:space="preserve">Construcciones</t>
  </si>
  <si>
    <t xml:space="preserve">COLof040</t>
  </si>
  <si>
    <t xml:space="preserve">Servicios de construcción</t>
  </si>
  <si>
    <t xml:space="preserve">COLof041</t>
  </si>
  <si>
    <t xml:space="preserve">61 + 62</t>
  </si>
  <si>
    <t xml:space="preserve">Servicios de comercio (venta al por mayor y venta al por menor)</t>
  </si>
  <si>
    <t xml:space="preserve">COLof042</t>
  </si>
  <si>
    <t xml:space="preserve">Alojamiento; servicios de suministros de comidas y bebidas</t>
  </si>
  <si>
    <t xml:space="preserve">Servicios </t>
  </si>
  <si>
    <t xml:space="preserve">COLof043</t>
  </si>
  <si>
    <t xml:space="preserve">64 + 65 + 66</t>
  </si>
  <si>
    <t xml:space="preserve">Servicios de transporte de pasajeros; servicios de transporte de carga; servicios de alquiler de vehículos de transporte con operario</t>
  </si>
  <si>
    <t xml:space="preserve">COLof044</t>
  </si>
  <si>
    <t xml:space="preserve">Servicios de apoyo al transporte</t>
  </si>
  <si>
    <t xml:space="preserve">COLof045</t>
  </si>
  <si>
    <t xml:space="preserve">Servicios postales y de mensajería</t>
  </si>
  <si>
    <t xml:space="preserve">COLof046</t>
  </si>
  <si>
    <t xml:space="preserve">Servicios de distribución de electricidad, gas y agua (por cuenta propia)</t>
  </si>
  <si>
    <t xml:space="preserve">COLof047</t>
  </si>
  <si>
    <t xml:space="preserve">Servicios financieros y servicios conexos</t>
  </si>
  <si>
    <t xml:space="preserve">COLof048</t>
  </si>
  <si>
    <t xml:space="preserve">Servicios inmobiliarios </t>
  </si>
  <si>
    <t xml:space="preserve">COLof049</t>
  </si>
  <si>
    <t xml:space="preserve">Servicios de arrendamiento o alquiler</t>
  </si>
  <si>
    <t xml:space="preserve">COLof050</t>
  </si>
  <si>
    <t xml:space="preserve">Servicios de investigación y desarrollo</t>
  </si>
  <si>
    <t xml:space="preserve">COLof051</t>
  </si>
  <si>
    <t xml:space="preserve">Servicios jurídicos y contables</t>
  </si>
  <si>
    <t xml:space="preserve">COLof052</t>
  </si>
  <si>
    <t xml:space="preserve">Otros servicios profesionales, científicos y técnicos</t>
  </si>
  <si>
    <t xml:space="preserve">COLof053</t>
  </si>
  <si>
    <t xml:space="preserve">Servicios de telecomunicaciones, transmisión y suministro de información</t>
  </si>
  <si>
    <t xml:space="preserve">COLof054</t>
  </si>
  <si>
    <t xml:space="preserve">Servicios de soporte</t>
  </si>
  <si>
    <t xml:space="preserve">COLof055</t>
  </si>
  <si>
    <t xml:space="preserve">Servicios de apoyo a la agricultura, la caza, la silvicultura, la pesca, la minería y los servicios públicos</t>
  </si>
  <si>
    <t xml:space="preserve">COLof056</t>
  </si>
  <si>
    <t xml:space="preserve">Servicios de mantenimiento, reparación e instalación (excepto servicios de construcción)</t>
  </si>
  <si>
    <t xml:space="preserve">COLof057</t>
  </si>
  <si>
    <t xml:space="preserve">Servicios de fabricación de insumos físicos que son propiedad de otros</t>
  </si>
  <si>
    <t xml:space="preserve">COLof058</t>
  </si>
  <si>
    <t xml:space="preserve">Servicios de edición, impresión y reproducción; servicios de recuperación de materiales y otros servicios de fabricación</t>
  </si>
  <si>
    <t xml:space="preserve">COLof059</t>
  </si>
  <si>
    <t xml:space="preserve">Servicios de la administración pública y otros servicios  prestados a la comunidad en general; servicios de seguridad social obligatoria</t>
  </si>
  <si>
    <t xml:space="preserve">COLof060</t>
  </si>
  <si>
    <t xml:space="preserve">Servicios de educación</t>
  </si>
  <si>
    <t xml:space="preserve">COLof061</t>
  </si>
  <si>
    <t xml:space="preserve">Servicios para el cuidado de la salud humana y servicios sociales</t>
  </si>
  <si>
    <t xml:space="preserve">COLof062</t>
  </si>
  <si>
    <t xml:space="preserve">Servicios de alcantarillado, recolección, tratamiento y disposición de desechos y otros servicios de saneamiento ambiental</t>
  </si>
  <si>
    <t xml:space="preserve">COLof063</t>
  </si>
  <si>
    <t xml:space="preserve">Servicios de asociaciones</t>
  </si>
  <si>
    <t xml:space="preserve">COLof064</t>
  </si>
  <si>
    <t xml:space="preserve">Servicios de esparcimiento, culturales y deportivos</t>
  </si>
  <si>
    <t xml:space="preserve">COLof065</t>
  </si>
  <si>
    <t xml:space="preserve">Otros servicios personales</t>
  </si>
  <si>
    <t xml:space="preserve">COLof066</t>
  </si>
  <si>
    <t xml:space="preserve">Servicios domésticos</t>
  </si>
  <si>
    <t xml:space="preserve">COLof067</t>
  </si>
  <si>
    <t xml:space="preserve">ATF03</t>
  </si>
  <si>
    <t xml:space="preserve">-</t>
  </si>
  <si>
    <t xml:space="preserve">Ajustes CIF/ FOB sobre importaciones</t>
  </si>
  <si>
    <t xml:space="preserve">COLof068</t>
  </si>
  <si>
    <t xml:space="preserve">ATF04</t>
  </si>
  <si>
    <t xml:space="preserve">Compras directas en el exterior por residentes</t>
  </si>
  <si>
    <t xml:space="preserve">COLuf001</t>
  </si>
  <si>
    <t xml:space="preserve">ATF02</t>
  </si>
  <si>
    <t xml:space="preserve">Productos de la agricultura, la horticultura y la jardinería comercial</t>
  </si>
  <si>
    <t xml:space="preserve">Biomasa que se cultiva para producir alimentos, forrajes, fibras y energía</t>
  </si>
  <si>
    <t xml:space="preserve">Productos de la agricultura, la silvicultura yla pesca</t>
  </si>
  <si>
    <t xml:space="preserve">Bioeconomía</t>
  </si>
  <si>
    <t xml:space="preserve">COLuf002</t>
  </si>
  <si>
    <t xml:space="preserve">COLuf003</t>
  </si>
  <si>
    <t xml:space="preserve">Productos forestales y de la tala</t>
  </si>
  <si>
    <t xml:space="preserve">Biomasa forestal, sobre todo la que se cultiva para su aprovechamiento en las industrias forestal y del papel, y aquella extraída legalmente de ecosistemas naturales</t>
  </si>
  <si>
    <t xml:space="preserve">COLuf004</t>
  </si>
  <si>
    <t xml:space="preserve">Biomasa de los recursos marinos y la producida mediante la acuicultura</t>
  </si>
  <si>
    <t xml:space="preserve">COLuf005</t>
  </si>
  <si>
    <t xml:space="preserve">Minerales, combustibles y derivados</t>
  </si>
  <si>
    <t xml:space="preserve">No Bioeconomía</t>
  </si>
  <si>
    <t xml:space="preserve">Minerales; electricidad, gas y agua</t>
  </si>
  <si>
    <t xml:space="preserve">COLuf006</t>
  </si>
  <si>
    <t xml:space="preserve">COLuf007</t>
  </si>
  <si>
    <t xml:space="preserve">COLuf008</t>
  </si>
  <si>
    <t xml:space="preserve">COLuf009</t>
  </si>
  <si>
    <t xml:space="preserve">COLuf010</t>
  </si>
  <si>
    <t xml:space="preserve">COLuf011</t>
  </si>
  <si>
    <t xml:space="preserve">Conocimiento, procesos y servicios relacionados</t>
  </si>
  <si>
    <t xml:space="preserve">Bioeconomía extendida</t>
  </si>
  <si>
    <t xml:space="preserve">COLuf012</t>
  </si>
  <si>
    <t xml:space="preserve">Carne, pescado, frutas, vegetales, aceites y grasas</t>
  </si>
  <si>
    <t xml:space="preserve">Productos alimenticios, bebidas y tabaco; textiles, prendas de vestir y productos de cuero</t>
  </si>
  <si>
    <t xml:space="preserve">COLuf013</t>
  </si>
  <si>
    <t xml:space="preserve">Productos lácteos y productos de huevo</t>
  </si>
  <si>
    <t xml:space="preserve">COLuf014</t>
  </si>
  <si>
    <t xml:space="preserve">Productos de molienda, productos con almidón o maicena; otros productos de alimenticios</t>
  </si>
  <si>
    <t xml:space="preserve">COLuf015</t>
  </si>
  <si>
    <t xml:space="preserve">COLuf016</t>
  </si>
  <si>
    <t xml:space="preserve">Productos del tabaco</t>
  </si>
  <si>
    <t xml:space="preserve">COLuf017</t>
  </si>
  <si>
    <t xml:space="preserve">Hilados e hilos; tejidos y telas afelpadas</t>
  </si>
  <si>
    <t xml:space="preserve">COLuf018</t>
  </si>
  <si>
    <t xml:space="preserve">Artículos textiles que no sean prendas de vestir</t>
  </si>
  <si>
    <t xml:space="preserve">COLuf019</t>
  </si>
  <si>
    <t xml:space="preserve">Tejidos de punto o ganchillo; prendas de vestir</t>
  </si>
  <si>
    <t xml:space="preserve">COLuf020</t>
  </si>
  <si>
    <t xml:space="preserve">COLuf021</t>
  </si>
  <si>
    <t xml:space="preserve">Productos de materiales de madera, corcho, cestería y espartería</t>
  </si>
  <si>
    <t xml:space="preserve">Otros bienes transportables, excepto productos metálicos, maquinaria y equipo</t>
  </si>
  <si>
    <t xml:space="preserve">COLuf022</t>
  </si>
  <si>
    <t xml:space="preserve">Pulpa de papel, papel y productos de papel; impresos, y artículos similares</t>
  </si>
  <si>
    <t xml:space="preserve">COLuf023</t>
  </si>
  <si>
    <t xml:space="preserve">COLuf024</t>
  </si>
  <si>
    <t xml:space="preserve">Químicos orgánicos básicos</t>
  </si>
  <si>
    <t xml:space="preserve">COLuf025</t>
  </si>
  <si>
    <t xml:space="preserve">Otros químicos, plásticos, caucho y fibras sintéticas</t>
  </si>
  <si>
    <t xml:space="preserve">COLuf026</t>
  </si>
  <si>
    <t xml:space="preserve">COLuf027</t>
  </si>
  <si>
    <t xml:space="preserve">Vidrios y productos de vidrio y otros productos no metálicos n.c.p.</t>
  </si>
  <si>
    <t xml:space="preserve">COLuf028</t>
  </si>
  <si>
    <t xml:space="preserve">COLuf029</t>
  </si>
  <si>
    <t xml:space="preserve">Desperdicios o desechos</t>
  </si>
  <si>
    <t xml:space="preserve">Biomasa residual en los sectores agropecuario, pesca y acuacultura, forestal y agroindustrial</t>
  </si>
  <si>
    <t xml:space="preserve">COLuf030</t>
  </si>
  <si>
    <t xml:space="preserve">Metales, Maquianria, equipos y transporte</t>
  </si>
  <si>
    <t xml:space="preserve">Productos metálicos, maquinaria y equipo</t>
  </si>
  <si>
    <t xml:space="preserve">COLuf031</t>
  </si>
  <si>
    <t xml:space="preserve">COLuf032</t>
  </si>
  <si>
    <t xml:space="preserve">COLuf033</t>
  </si>
  <si>
    <t xml:space="preserve">COLuf034</t>
  </si>
  <si>
    <t xml:space="preserve">COLuf035</t>
  </si>
  <si>
    <t xml:space="preserve">COLuf036</t>
  </si>
  <si>
    <t xml:space="preserve">COLuf037</t>
  </si>
  <si>
    <t xml:space="preserve">COLuf038</t>
  </si>
  <si>
    <t xml:space="preserve">COLuf039</t>
  </si>
  <si>
    <t xml:space="preserve">Construcciones y servicios de construcción</t>
  </si>
  <si>
    <t xml:space="preserve">COLuf040</t>
  </si>
  <si>
    <t xml:space="preserve">COLuf041</t>
  </si>
  <si>
    <t xml:space="preserve">Otros servicios</t>
  </si>
  <si>
    <t xml:space="preserve">Servicios comerciales de distribución; alojamiento, servicios de suministro de comidas y bebidas; servicios de transporte; y servicios de distribución de electricidad, gas y agua</t>
  </si>
  <si>
    <t xml:space="preserve">COLuf042</t>
  </si>
  <si>
    <t xml:space="preserve">Alojamiento, servicios de suministro de comidas y bebidas</t>
  </si>
  <si>
    <t xml:space="preserve">COLuf043</t>
  </si>
  <si>
    <t xml:space="preserve">COLuf044</t>
  </si>
  <si>
    <t xml:space="preserve">COLuf045</t>
  </si>
  <si>
    <t xml:space="preserve">COLuf046</t>
  </si>
  <si>
    <t xml:space="preserve">Distribución de electricidad, gas y agua (por cuenta propia)</t>
  </si>
  <si>
    <t xml:space="preserve">COLuf047</t>
  </si>
  <si>
    <t xml:space="preserve">COLuf048</t>
  </si>
  <si>
    <t xml:space="preserve">COLuf049</t>
  </si>
  <si>
    <t xml:space="preserve">COLuf050</t>
  </si>
  <si>
    <t xml:space="preserve">Servicios prestados a las empresas y servicios de producción</t>
  </si>
  <si>
    <t xml:space="preserve">COLuf051</t>
  </si>
  <si>
    <t xml:space="preserve">COLuf052</t>
  </si>
  <si>
    <t xml:space="preserve">COLuf053</t>
  </si>
  <si>
    <t xml:space="preserve">COLuf054</t>
  </si>
  <si>
    <t xml:space="preserve">COLuf055</t>
  </si>
  <si>
    <t xml:space="preserve">Servicios de apoyo a la agricultura,la caza, la silvicutura, la pesca, la minería y los servicios públicos</t>
  </si>
  <si>
    <t xml:space="preserve">COLuf056</t>
  </si>
  <si>
    <t xml:space="preserve">COLuf057</t>
  </si>
  <si>
    <t xml:space="preserve">COLuf058</t>
  </si>
  <si>
    <t xml:space="preserve">COLuf059</t>
  </si>
  <si>
    <t xml:space="preserve">COLuf060</t>
  </si>
  <si>
    <t xml:space="preserve">COLuf061</t>
  </si>
  <si>
    <t xml:space="preserve">COLuf062</t>
  </si>
  <si>
    <t xml:space="preserve">Servicios para la comunidad, sociales y personales</t>
  </si>
  <si>
    <t xml:space="preserve">COLuf063</t>
  </si>
  <si>
    <t xml:space="preserve">COLuf064</t>
  </si>
  <si>
    <t xml:space="preserve">COLuf065</t>
  </si>
  <si>
    <t xml:space="preserve">COLuf066</t>
  </si>
  <si>
    <t xml:space="preserve">COLuf067</t>
  </si>
  <si>
    <t xml:space="preserve">COLuf068</t>
  </si>
  <si>
    <t xml:space="preserve">ATF05</t>
  </si>
  <si>
    <t xml:space="preserve">Compras directas en el territorio nacional por no residentes</t>
  </si>
  <si>
    <t xml:space="preserve">COLvf001</t>
  </si>
  <si>
    <t xml:space="preserve">ATFO6</t>
  </si>
  <si>
    <t xml:space="preserve">Valor Agregado</t>
  </si>
  <si>
    <t xml:space="preserve">Código Transacciones</t>
  </si>
  <si>
    <t xml:space="preserve">Área transaccional columnas No.</t>
  </si>
  <si>
    <t xml:space="preserve">Área transaccional</t>
  </si>
  <si>
    <t xml:space="preserve">Transacciones</t>
  </si>
  <si>
    <t xml:space="preserve">Correlativo Transacciones Agregadas</t>
  </si>
  <si>
    <t xml:space="preserve">Código Transacciones Agregadas</t>
  </si>
  <si>
    <t xml:space="preserve">Transacciones Agregadas</t>
  </si>
  <si>
    <t xml:space="preserve">Código Clasificación Actividades</t>
  </si>
  <si>
    <t xml:space="preserve">Descripción Actividades</t>
  </si>
  <si>
    <t xml:space="preserve">CIIU Secciones</t>
  </si>
  <si>
    <t xml:space="preserve">CIIU Secciones descripción</t>
  </si>
  <si>
    <t xml:space="preserve">CIIU Corto</t>
  </si>
  <si>
    <t xml:space="preserve">CIIU English</t>
  </si>
  <si>
    <t xml:space="preserve">Correlativo Bioeconomía Actividades</t>
  </si>
  <si>
    <t xml:space="preserve">Bioeconomía Actividades</t>
  </si>
  <si>
    <t xml:space="preserve">COLoc001</t>
  </si>
  <si>
    <t xml:space="preserve">Total oferta a precios comprador</t>
  </si>
  <si>
    <t xml:space="preserve">COLoc002</t>
  </si>
  <si>
    <t xml:space="preserve">M11</t>
  </si>
  <si>
    <t xml:space="preserve"> - </t>
  </si>
  <si>
    <t xml:space="preserve">Márgenes de comercio</t>
  </si>
  <si>
    <t xml:space="preserve">COLoc003</t>
  </si>
  <si>
    <t xml:space="preserve">M12</t>
  </si>
  <si>
    <t xml:space="preserve">Márgenes de transporte</t>
  </si>
  <si>
    <t xml:space="preserve">COLoc004</t>
  </si>
  <si>
    <t xml:space="preserve">D212</t>
  </si>
  <si>
    <t xml:space="preserve">Impuestos y derechos a las importaciones</t>
  </si>
  <si>
    <t xml:space="preserve">COLoc005</t>
  </si>
  <si>
    <t xml:space="preserve">D211</t>
  </si>
  <si>
    <t xml:space="preserve">IVA no deducible</t>
  </si>
  <si>
    <t xml:space="preserve">COLoc006</t>
  </si>
  <si>
    <t xml:space="preserve">D214</t>
  </si>
  <si>
    <t xml:space="preserve">Impuestos a los productos (excepto impuestos a importaciones e IVA no deducible)</t>
  </si>
  <si>
    <t xml:space="preserve">COLoc007</t>
  </si>
  <si>
    <t xml:space="preserve">D31</t>
  </si>
  <si>
    <t xml:space="preserve">Subvenciones a los productos</t>
  </si>
  <si>
    <t xml:space="preserve">COLoc008</t>
  </si>
  <si>
    <t xml:space="preserve">Oferta total precios básicos</t>
  </si>
  <si>
    <t xml:space="preserve">COLoc009</t>
  </si>
  <si>
    <t xml:space="preserve">P10</t>
  </si>
  <si>
    <t xml:space="preserve">A0101-01</t>
  </si>
  <si>
    <t xml:space="preserve">Agricultura y actividades de servicios conexas </t>
  </si>
  <si>
    <t xml:space="preserve">A</t>
  </si>
  <si>
    <t xml:space="preserve">COLoc010</t>
  </si>
  <si>
    <t xml:space="preserve">A0101-02</t>
  </si>
  <si>
    <t xml:space="preserve">Cultivo permanente de café</t>
  </si>
  <si>
    <t xml:space="preserve">COLoc011</t>
  </si>
  <si>
    <t xml:space="preserve">A0102</t>
  </si>
  <si>
    <t xml:space="preserve">Ganadería, caza y actividades de servicios conexas </t>
  </si>
  <si>
    <t xml:space="preserve">COLoc012</t>
  </si>
  <si>
    <t xml:space="preserve">A02</t>
  </si>
  <si>
    <t xml:space="preserve">Silvicultura y extracción de madera</t>
  </si>
  <si>
    <t xml:space="preserve">COLoc013</t>
  </si>
  <si>
    <t xml:space="preserve">A03</t>
  </si>
  <si>
    <t xml:space="preserve">Pesca y acuicultura</t>
  </si>
  <si>
    <t xml:space="preserve">COLoc014</t>
  </si>
  <si>
    <t xml:space="preserve">017</t>
  </si>
  <si>
    <t xml:space="preserve">Extracción de carbón de piedra y lignito</t>
  </si>
  <si>
    <t xml:space="preserve">COLoc015</t>
  </si>
  <si>
    <t xml:space="preserve">018 + 021</t>
  </si>
  <si>
    <t xml:space="preserve">Extracción de petróleo crudo y gas natural y actividades de apoyo para la extracción de petróleo y de gas natural</t>
  </si>
  <si>
    <t xml:space="preserve">B</t>
  </si>
  <si>
    <t xml:space="preserve">COLoc016</t>
  </si>
  <si>
    <t xml:space="preserve">019</t>
  </si>
  <si>
    <t xml:space="preserve">Extracción de minerales metalíferos</t>
  </si>
  <si>
    <t xml:space="preserve">COLoc017</t>
  </si>
  <si>
    <t xml:space="preserve">020</t>
  </si>
  <si>
    <t xml:space="preserve">Extracción de otras minas y canteras</t>
  </si>
  <si>
    <t xml:space="preserve">COLoc018</t>
  </si>
  <si>
    <t xml:space="preserve">022</t>
  </si>
  <si>
    <t xml:space="preserve">Actividades de apoyo para otras actividades de explotación de minas y canteras</t>
  </si>
  <si>
    <t xml:space="preserve">COLoc019</t>
  </si>
  <si>
    <t xml:space="preserve">023 + 024 + 025</t>
  </si>
  <si>
    <t xml:space="preserve">Procesamiento y conservación de carne y productos cárnicos de bovinos, bufalinos, porcinos y otras carnes n.c.p.; procesamiento y conservación de carne y productos cárnicos de aves de corral y procesamiento y conservación de pescados, crustáceos y moluscos</t>
  </si>
  <si>
    <t xml:space="preserve">C</t>
  </si>
  <si>
    <t xml:space="preserve">COLoc020</t>
  </si>
  <si>
    <t xml:space="preserve">026</t>
  </si>
  <si>
    <t xml:space="preserve">Elaboración de aceites y grasas de origen vegetal y animal</t>
  </si>
  <si>
    <t xml:space="preserve">COLoc021</t>
  </si>
  <si>
    <t xml:space="preserve">027</t>
  </si>
  <si>
    <t xml:space="preserve">Elaboración de productos lácteos</t>
  </si>
  <si>
    <t xml:space="preserve">COLoc022</t>
  </si>
  <si>
    <t xml:space="preserve">028 + 032 + 035</t>
  </si>
  <si>
    <t xml:space="preserve">Elaboración de productos de molinería, almidones y productos derivados del almidón; elaboración de productos de panadería; elaboración de macarrones, fideos, alcuzcuz, y productos farináceos similares y elaboración de alimentos preparados para animales</t>
  </si>
  <si>
    <t xml:space="preserve">COLoc023</t>
  </si>
  <si>
    <t xml:space="preserve">029</t>
  </si>
  <si>
    <t xml:space="preserve">Elaboración de productos de café</t>
  </si>
  <si>
    <t xml:space="preserve">COLoc024</t>
  </si>
  <si>
    <t xml:space="preserve">030 + 031</t>
  </si>
  <si>
    <t xml:space="preserve">Elaboración de azúcar y elaboración de panela</t>
  </si>
  <si>
    <t xml:space="preserve">COLoc025</t>
  </si>
  <si>
    <t xml:space="preserve">033</t>
  </si>
  <si>
    <t xml:space="preserve">Elaboración de cacao, chocolate y productos de confitería</t>
  </si>
  <si>
    <t xml:space="preserve">COLoc026</t>
  </si>
  <si>
    <t xml:space="preserve">034</t>
  </si>
  <si>
    <t xml:space="preserve">Procesamiento y conservación de frutas, legumbres, hortalizas y tubérculos; elaboración de otros productos alimenticios (platos preparados y conservados mediante enlatado o congelado, elaboración de sopas y caldos en estado sólidos, polvo o instantáneas entre otros)</t>
  </si>
  <si>
    <t xml:space="preserve">COLoc027</t>
  </si>
  <si>
    <t xml:space="preserve">036</t>
  </si>
  <si>
    <t xml:space="preserve">Elaboración de bebidas (incluido el hielo) y elaboración de productos de tabaco</t>
  </si>
  <si>
    <t xml:space="preserve">COLoc028</t>
  </si>
  <si>
    <t xml:space="preserve">037 + 038</t>
  </si>
  <si>
    <t xml:space="preserve">Preparación, hilatura, tejeduría y acabado de productos textiles; fabricación de otros productos textiles, Confección de prendas de vestir</t>
  </si>
  <si>
    <t xml:space="preserve">COLoc029</t>
  </si>
  <si>
    <t xml:space="preserve">039</t>
  </si>
  <si>
    <t xml:space="preserve">Curtido y recurtido de cueros; fabricación de calzado; fabricación de artículos de viaje, maletas, bolsos de mano y artículos similares, y fabricación de artículos de talabartería y guarnicionería; adobo y teñido de pieles</t>
  </si>
  <si>
    <t xml:space="preserve">COLoc030</t>
  </si>
  <si>
    <t xml:space="preserve">040</t>
  </si>
  <si>
    <t xml:space="preserve">Transformación de la madera y fabricación de productos de madera y de corcho, excepto muebles; fabricación de artículos de cestería y espartería</t>
  </si>
  <si>
    <t xml:space="preserve">COLoc031</t>
  </si>
  <si>
    <t xml:space="preserve">041</t>
  </si>
  <si>
    <t xml:space="preserve">Fabricación de papel, cartón y productos de papel y de cartón</t>
  </si>
  <si>
    <t xml:space="preserve">COLoc032</t>
  </si>
  <si>
    <t xml:space="preserve">042</t>
  </si>
  <si>
    <t xml:space="preserve">Actividades de impresión; producción de copias a partir de grabaciones originales (Copia a partir de un original en CD, DVD, Bluray)</t>
  </si>
  <si>
    <t xml:space="preserve">COLoc033</t>
  </si>
  <si>
    <t xml:space="preserve">043 + 044</t>
  </si>
  <si>
    <t xml:space="preserve">Coquización, fabricación de productos de la refinación del petróleo y actividades de mezcla de combustibles</t>
  </si>
  <si>
    <t xml:space="preserve">COLoc034</t>
  </si>
  <si>
    <t xml:space="preserve">045 + 046 + 047</t>
  </si>
  <si>
    <t xml:space="preserve">Fabricación de sustancias químicas básicas, abonos y compuestos inorgánicos nitrogenados, plásticos y caucho sintético en formas primarias; fabricación de otros productos químicos; fabricación de fibras sintéticas y artificiales; fabricación de productos farmacéuticos, sustancias químicas medicinales y productos botánicos de uso farmacéutico</t>
  </si>
  <si>
    <t xml:space="preserve">COLoc035</t>
  </si>
  <si>
    <t xml:space="preserve">048</t>
  </si>
  <si>
    <t xml:space="preserve">Fabricación de productos de caucho y de plástico</t>
  </si>
  <si>
    <t xml:space="preserve">COLoc036</t>
  </si>
  <si>
    <t xml:space="preserve">049</t>
  </si>
  <si>
    <t xml:space="preserve">Fabricación de otros productos minerales no metálicos</t>
  </si>
  <si>
    <t xml:space="preserve">COLoc037</t>
  </si>
  <si>
    <t xml:space="preserve">050 + 051</t>
  </si>
  <si>
    <t xml:space="preserve">Fabricación de productos metalúrgicos básicos; fabricación de productos elaborados de metal, excepto maquinaria y equipo</t>
  </si>
  <si>
    <t xml:space="preserve">COLoc038</t>
  </si>
  <si>
    <t xml:space="preserve">052</t>
  </si>
  <si>
    <t xml:space="preserve">Fabricación de aparatos y equipo eléctrico; fabricación de productos informáticos, electrónicos y ópticos</t>
  </si>
  <si>
    <t xml:space="preserve">COLoc039</t>
  </si>
  <si>
    <t xml:space="preserve">053 + 057</t>
  </si>
  <si>
    <t xml:space="preserve">Fabricación de maquinaria y equipo n.c.p.; instalación, mantenimiento y reparación especializado de maquinaria y equipo</t>
  </si>
  <si>
    <t xml:space="preserve">COLoc040</t>
  </si>
  <si>
    <t xml:space="preserve">054</t>
  </si>
  <si>
    <t xml:space="preserve">Fabricación de vehículos automotores, remolques y semirremolques; fabricación de otros tipos de equipo de transporte</t>
  </si>
  <si>
    <t xml:space="preserve">COLoc041</t>
  </si>
  <si>
    <t xml:space="preserve">055</t>
  </si>
  <si>
    <t xml:space="preserve"> Fabricación de muebles, colchones y somieres</t>
  </si>
  <si>
    <t xml:space="preserve">COLoc042</t>
  </si>
  <si>
    <t xml:space="preserve">056</t>
  </si>
  <si>
    <t xml:space="preserve">Otras industrias manufactureras</t>
  </si>
  <si>
    <t xml:space="preserve">COLoc043</t>
  </si>
  <si>
    <t xml:space="preserve">058 + 059 + 060</t>
  </si>
  <si>
    <t xml:space="preserve">Generación de energía eléctrica; transmisión de energía eléctrica y distribución y comercialización de energía eléctrica</t>
  </si>
  <si>
    <t xml:space="preserve">D</t>
  </si>
  <si>
    <t xml:space="preserve">COLoc044</t>
  </si>
  <si>
    <t xml:space="preserve">061</t>
  </si>
  <si>
    <t xml:space="preserve">Producción de gas; distribución de combustibles gaseosos por tuberías; suministro de vapor y aire acondicionado</t>
  </si>
  <si>
    <t xml:space="preserve">COLoc045</t>
  </si>
  <si>
    <t xml:space="preserve">062</t>
  </si>
  <si>
    <t xml:space="preserve">Captación, tratamiento y distribución de agua</t>
  </si>
  <si>
    <t xml:space="preserve">E</t>
  </si>
  <si>
    <t xml:space="preserve">COLoc046</t>
  </si>
  <si>
    <t xml:space="preserve">063+064+066</t>
  </si>
  <si>
    <t xml:space="preserve">Evacuación y tratamiento de aguas residuales; recolección, tratamiento y disposición de desechos y actividades de saneamiento ambiental y otros servicios de gestión de desechos</t>
  </si>
  <si>
    <t xml:space="preserve">COLoc047</t>
  </si>
  <si>
    <t xml:space="preserve">065</t>
  </si>
  <si>
    <t xml:space="preserve">Recuperación de materiales (reciclaje)</t>
  </si>
  <si>
    <t xml:space="preserve">COLoc048</t>
  </si>
  <si>
    <t xml:space="preserve">067</t>
  </si>
  <si>
    <t xml:space="preserve">Construcción de edificaciones residenciales y no residenciales</t>
  </si>
  <si>
    <t xml:space="preserve">F</t>
  </si>
  <si>
    <t xml:space="preserve">COLoc049</t>
  </si>
  <si>
    <t xml:space="preserve">068</t>
  </si>
  <si>
    <t xml:space="preserve">Construcción de carreteras y vías de ferrocarril, de proyectos de servicio público y de otras obras de ingeniería civil</t>
  </si>
  <si>
    <t xml:space="preserve">COLoc050</t>
  </si>
  <si>
    <t xml:space="preserve">069</t>
  </si>
  <si>
    <t xml:space="preserve">Actividades especializadas para la construcción de edificaciones y obras de ingeniería civil (Alquiler de maquinaría y equipo de construcción con operadores)</t>
  </si>
  <si>
    <t xml:space="preserve">COLoc051</t>
  </si>
  <si>
    <t xml:space="preserve">070</t>
  </si>
  <si>
    <t xml:space="preserve">Comercio al por mayor y en comisión o por contrata; comercio al por menor (incluso el comercio al por menor de combustibles); comercio de vehículos automotores y motocicletas, sus partes, piezas y accesorios</t>
  </si>
  <si>
    <t xml:space="preserve">G</t>
  </si>
  <si>
    <t xml:space="preserve">COLoc052</t>
  </si>
  <si>
    <t xml:space="preserve">071</t>
  </si>
  <si>
    <t xml:space="preserve">Mantenimiento y reparación de vehículos automotores y motocicletas</t>
  </si>
  <si>
    <t xml:space="preserve">COLoc053</t>
  </si>
  <si>
    <t xml:space="preserve">072 + 074</t>
  </si>
  <si>
    <t xml:space="preserve">Transporte terrestre y transporte por tuberías</t>
  </si>
  <si>
    <t xml:space="preserve">H</t>
  </si>
  <si>
    <t xml:space="preserve">COLoc054</t>
  </si>
  <si>
    <t xml:space="preserve">073</t>
  </si>
  <si>
    <t xml:space="preserve">Transporte acuático</t>
  </si>
  <si>
    <t xml:space="preserve">COLoc055</t>
  </si>
  <si>
    <t xml:space="preserve">075</t>
  </si>
  <si>
    <t xml:space="preserve">Transporte aéreo</t>
  </si>
  <si>
    <t xml:space="preserve">COLoc056</t>
  </si>
  <si>
    <t xml:space="preserve">076</t>
  </si>
  <si>
    <t xml:space="preserve">Almacenamiento y actividades complementarias al transporte</t>
  </si>
  <si>
    <t xml:space="preserve">COLoc057</t>
  </si>
  <si>
    <t xml:space="preserve">077</t>
  </si>
  <si>
    <t xml:space="preserve">Actividades de correo y de servicios de mensajería</t>
  </si>
  <si>
    <t xml:space="preserve">J</t>
  </si>
  <si>
    <t xml:space="preserve">COLoc058</t>
  </si>
  <si>
    <t xml:space="preserve">I</t>
  </si>
  <si>
    <t xml:space="preserve">Alojamiento y servicios de comida</t>
  </si>
  <si>
    <t xml:space="preserve">COLoc059</t>
  </si>
  <si>
    <t xml:space="preserve">Información y comunicaciones</t>
  </si>
  <si>
    <t xml:space="preserve">COLoc060</t>
  </si>
  <si>
    <t xml:space="preserve">K</t>
  </si>
  <si>
    <t xml:space="preserve">Actividades financieras y de seguros</t>
  </si>
  <si>
    <t xml:space="preserve">COLoc061</t>
  </si>
  <si>
    <t xml:space="preserve">089</t>
  </si>
  <si>
    <t xml:space="preserve">Actividades inmobiliarias</t>
  </si>
  <si>
    <t xml:space="preserve">L</t>
  </si>
  <si>
    <t xml:space="preserve">COLoc062</t>
  </si>
  <si>
    <t xml:space="preserve">M</t>
  </si>
  <si>
    <t xml:space="preserve">Actividades profesionales, científicas y técnicas</t>
  </si>
  <si>
    <t xml:space="preserve">COLoc063</t>
  </si>
  <si>
    <t xml:space="preserve">N </t>
  </si>
  <si>
    <t xml:space="preserve">Actividades de servicios administrativos y de apoyo</t>
  </si>
  <si>
    <t xml:space="preserve">N</t>
  </si>
  <si>
    <t xml:space="preserve">COLoc064</t>
  </si>
  <si>
    <t xml:space="preserve">O</t>
  </si>
  <si>
    <t xml:space="preserve">Administración pública y defensa; planes de seguridad social de afiliación obligatoria</t>
  </si>
  <si>
    <t xml:space="preserve">COLoc065</t>
  </si>
  <si>
    <t xml:space="preserve">100</t>
  </si>
  <si>
    <t xml:space="preserve">Educación de mercado</t>
  </si>
  <si>
    <t xml:space="preserve">P</t>
  </si>
  <si>
    <t xml:space="preserve">COLoc066</t>
  </si>
  <si>
    <t xml:space="preserve">101</t>
  </si>
  <si>
    <t xml:space="preserve">Educación de no mercado</t>
  </si>
  <si>
    <t xml:space="preserve">COLoc067</t>
  </si>
  <si>
    <t xml:space="preserve">Q</t>
  </si>
  <si>
    <t xml:space="preserve">Actividades de atención de la salud humana y de servicios sociales</t>
  </si>
  <si>
    <t xml:space="preserve">COLoc068</t>
  </si>
  <si>
    <t xml:space="preserve">R + S</t>
  </si>
  <si>
    <t xml:space="preserve">Actividades artísticas, de entretenimiento y recreación y otras actividades de servicios</t>
  </si>
  <si>
    <t xml:space="preserve">S</t>
  </si>
  <si>
    <t xml:space="preserve">COLoc069</t>
  </si>
  <si>
    <t xml:space="preserve">109</t>
  </si>
  <si>
    <t xml:space="preserve">Actividades de los hogares individuales en calidad de empleadores</t>
  </si>
  <si>
    <t xml:space="preserve">T</t>
  </si>
  <si>
    <t xml:space="preserve">COLoc070</t>
  </si>
  <si>
    <t xml:space="preserve">COLoc071</t>
  </si>
  <si>
    <t xml:space="preserve">Total</t>
  </si>
  <si>
    <t xml:space="preserve">COLoc072</t>
  </si>
  <si>
    <t xml:space="preserve">Para uso final propio</t>
  </si>
  <si>
    <t xml:space="preserve">COLoc073</t>
  </si>
  <si>
    <t xml:space="preserve">Otra de no mercado</t>
  </si>
  <si>
    <t xml:space="preserve">COLoc074</t>
  </si>
  <si>
    <t xml:space="preserve">De mercado</t>
  </si>
  <si>
    <t xml:space="preserve">COLoc075</t>
  </si>
  <si>
    <t xml:space="preserve">COLoc076</t>
  </si>
  <si>
    <t xml:space="preserve">CIF</t>
  </si>
  <si>
    <t xml:space="preserve">Ajustes  CIF/FOB sobre importaciones</t>
  </si>
  <si>
    <t xml:space="preserve">COLoc077</t>
  </si>
  <si>
    <t xml:space="preserve">P71</t>
  </si>
  <si>
    <t xml:space="preserve">Bienes</t>
  </si>
  <si>
    <t xml:space="preserve">COLoc078</t>
  </si>
  <si>
    <t xml:space="preserve">P72</t>
  </si>
  <si>
    <t xml:space="preserve">Servicios</t>
  </si>
  <si>
    <t xml:space="preserve">COLuc001</t>
  </si>
  <si>
    <t xml:space="preserve">COLuc002</t>
  </si>
  <si>
    <t xml:space="preserve">Impuestos a los productos</t>
  </si>
  <si>
    <t xml:space="preserve">COLuc003</t>
  </si>
  <si>
    <t xml:space="preserve">P21</t>
  </si>
  <si>
    <t xml:space="preserve">COLuc004</t>
  </si>
  <si>
    <t xml:space="preserve">P20</t>
  </si>
  <si>
    <t xml:space="preserve">Consumo intermedio según divisiones CIIU Rev. 4 A.C. 61 agrupaciones</t>
  </si>
  <si>
    <r>
      <rPr>
        <sz val="11"/>
        <color rgb="FF000000"/>
        <rFont val="Calibri"/>
        <family val="2"/>
        <charset val="1"/>
      </rPr>
      <t xml:space="preserve">A0101-01 </t>
    </r>
    <r>
      <rPr>
        <sz val="7"/>
        <color rgb="FF000000"/>
        <rFont val="Segoe UI"/>
        <family val="2"/>
        <charset val="1"/>
      </rPr>
      <t xml:space="preserve">Agricultura y actividades de servicios conexas </t>
    </r>
  </si>
  <si>
    <t xml:space="preserve">COLuc005</t>
  </si>
  <si>
    <r>
      <rPr>
        <sz val="11"/>
        <color rgb="FF000000"/>
        <rFont val="Calibri"/>
        <family val="2"/>
        <charset val="1"/>
      </rPr>
      <t xml:space="preserve">A0101-02 </t>
    </r>
    <r>
      <rPr>
        <sz val="7"/>
        <color rgb="FF000000"/>
        <rFont val="Segoe UI"/>
        <family val="2"/>
        <charset val="1"/>
      </rPr>
      <t xml:space="preserve">Cultivo permanente de café </t>
    </r>
  </si>
  <si>
    <t xml:space="preserve">COLuc006</t>
  </si>
  <si>
    <r>
      <rPr>
        <sz val="11"/>
        <color rgb="FF000000"/>
        <rFont val="Calibri"/>
        <family val="2"/>
        <charset val="1"/>
      </rPr>
      <t xml:space="preserve">A0102 </t>
    </r>
    <r>
      <rPr>
        <sz val="7"/>
        <color rgb="FF000000"/>
        <rFont val="Segoe UI"/>
        <family val="2"/>
        <charset val="1"/>
      </rPr>
      <t xml:space="preserve">Ganadería, caza y actividades de servicios conexas </t>
    </r>
  </si>
  <si>
    <t xml:space="preserve">COLuc007</t>
  </si>
  <si>
    <r>
      <rPr>
        <sz val="11"/>
        <color rgb="FF000000"/>
        <rFont val="Calibri"/>
        <family val="2"/>
        <charset val="1"/>
      </rPr>
      <t xml:space="preserve">A02 </t>
    </r>
    <r>
      <rPr>
        <sz val="7"/>
        <color rgb="FF000000"/>
        <rFont val="Segoe UI"/>
        <family val="2"/>
        <charset val="1"/>
      </rPr>
      <t xml:space="preserve">Silvicultura y extracción de madera</t>
    </r>
  </si>
  <si>
    <t xml:space="preserve">COLuc008</t>
  </si>
  <si>
    <r>
      <rPr>
        <sz val="11"/>
        <color rgb="FF000000"/>
        <rFont val="Calibri"/>
        <family val="2"/>
        <charset val="1"/>
      </rPr>
      <t xml:space="preserve">A03 </t>
    </r>
    <r>
      <rPr>
        <sz val="7"/>
        <color rgb="FF000000"/>
        <rFont val="Segoe UI"/>
        <family val="2"/>
        <charset val="1"/>
      </rPr>
      <t xml:space="preserve">Pesca y acuicultura</t>
    </r>
  </si>
  <si>
    <t xml:space="preserve">COLuc009</t>
  </si>
  <si>
    <r>
      <rPr>
        <sz val="11"/>
        <color rgb="FF000000"/>
        <rFont val="Calibri"/>
        <family val="2"/>
        <charset val="1"/>
      </rPr>
      <t xml:space="preserve">017 </t>
    </r>
    <r>
      <rPr>
        <sz val="7"/>
        <color rgb="FF000000"/>
        <rFont val="Segoe UI"/>
        <family val="2"/>
        <charset val="1"/>
      </rPr>
      <t xml:space="preserve">Extracción de carbón de piedra y lignito</t>
    </r>
  </si>
  <si>
    <t xml:space="preserve">COLuc010</t>
  </si>
  <si>
    <r>
      <rPr>
        <sz val="11"/>
        <color rgb="FF000000"/>
        <rFont val="Calibri"/>
        <family val="2"/>
        <charset val="1"/>
      </rPr>
      <t xml:space="preserve">018 + 021 </t>
    </r>
    <r>
      <rPr>
        <sz val="7"/>
        <color rgb="FF000000"/>
        <rFont val="Segoe UI"/>
        <family val="2"/>
        <charset val="1"/>
      </rPr>
      <t xml:space="preserve">Extracción de petróleo crudo y gas natural y actividades de apoyo para la extracción de petróleo y de gas natural</t>
    </r>
  </si>
  <si>
    <t xml:space="preserve">COLuc011</t>
  </si>
  <si>
    <r>
      <rPr>
        <sz val="11"/>
        <color rgb="FF000000"/>
        <rFont val="Calibri"/>
        <family val="2"/>
        <charset val="1"/>
      </rPr>
      <t xml:space="preserve">019 </t>
    </r>
    <r>
      <rPr>
        <sz val="7"/>
        <color rgb="FF000000"/>
        <rFont val="Segoe UI"/>
        <family val="2"/>
        <charset val="1"/>
      </rPr>
      <t xml:space="preserve">Extracción de minerales metalíferos</t>
    </r>
  </si>
  <si>
    <t xml:space="preserve">COLuc012</t>
  </si>
  <si>
    <r>
      <rPr>
        <sz val="11"/>
        <color rgb="FF000000"/>
        <rFont val="Calibri"/>
        <family val="2"/>
        <charset val="1"/>
      </rPr>
      <t xml:space="preserve">020 </t>
    </r>
    <r>
      <rPr>
        <sz val="7"/>
        <color rgb="FF000000"/>
        <rFont val="Segoe UI"/>
        <family val="2"/>
        <charset val="1"/>
      </rPr>
      <t xml:space="preserve">Extracción de otras minas y canteras</t>
    </r>
  </si>
  <si>
    <t xml:space="preserve">COLuc013</t>
  </si>
  <si>
    <r>
      <rPr>
        <sz val="11"/>
        <color rgb="FF000000"/>
        <rFont val="Calibri"/>
        <family val="2"/>
        <charset val="1"/>
      </rPr>
      <t xml:space="preserve">022 </t>
    </r>
    <r>
      <rPr>
        <sz val="7"/>
        <color rgb="FF000000"/>
        <rFont val="Segoe UI"/>
        <family val="2"/>
        <charset val="1"/>
      </rPr>
      <t xml:space="preserve">Actividades de apoyo para otras actividades de explotación de minas y canteras</t>
    </r>
  </si>
  <si>
    <t xml:space="preserve">COLuc014</t>
  </si>
  <si>
    <r>
      <rPr>
        <sz val="11"/>
        <color rgb="FF000000"/>
        <rFont val="Calibri"/>
        <family val="2"/>
        <charset val="1"/>
      </rPr>
      <t xml:space="preserve">023 + 024 + 025 </t>
    </r>
    <r>
      <rPr>
        <sz val="7"/>
        <color rgb="FF000000"/>
        <rFont val="Segoe UI"/>
        <family val="2"/>
        <charset val="1"/>
      </rPr>
      <t xml:space="preserve">Procesamiento y conservación de carne y productos cárnicos de bovinos, bufalinos, porcinos y otras carnes n.c.p.; procesamiento y conservación de carne y productos cárnicos de aves de corral y procesamiento y conservación de pescados, crustáceos y moluscos</t>
    </r>
  </si>
  <si>
    <t xml:space="preserve">COLuc015</t>
  </si>
  <si>
    <r>
      <rPr>
        <sz val="11"/>
        <color rgb="FF000000"/>
        <rFont val="Calibri"/>
        <family val="2"/>
        <charset val="1"/>
      </rPr>
      <t xml:space="preserve">026 </t>
    </r>
    <r>
      <rPr>
        <sz val="7"/>
        <color rgb="FF000000"/>
        <rFont val="Segoe UI"/>
        <family val="2"/>
        <charset val="1"/>
      </rPr>
      <t xml:space="preserve">Elaboración de aceites y grasas de origen vegetal y animal</t>
    </r>
  </si>
  <si>
    <t xml:space="preserve">COLuc016</t>
  </si>
  <si>
    <r>
      <rPr>
        <sz val="11"/>
        <color rgb="FF000000"/>
        <rFont val="Calibri"/>
        <family val="2"/>
        <charset val="1"/>
      </rPr>
      <t xml:space="preserve">027 </t>
    </r>
    <r>
      <rPr>
        <sz val="7"/>
        <color rgb="FF000000"/>
        <rFont val="Segoe UI"/>
        <family val="2"/>
        <charset val="1"/>
      </rPr>
      <t xml:space="preserve">Elaboración de productos lácteos</t>
    </r>
  </si>
  <si>
    <t xml:space="preserve">COLuc017</t>
  </si>
  <si>
    <r>
      <rPr>
        <sz val="11"/>
        <color rgb="FF000000"/>
        <rFont val="Calibri"/>
        <family val="2"/>
        <charset val="1"/>
      </rPr>
      <t xml:space="preserve">028 + 032 + 035 </t>
    </r>
    <r>
      <rPr>
        <sz val="7"/>
        <color rgb="FF000000"/>
        <rFont val="Segoe UI"/>
        <family val="2"/>
        <charset val="1"/>
      </rPr>
      <t xml:space="preserve">Elaboración de productos de molinería, almidones y productos derivados del almidón; elaboración de productos de panadería; elaboración de macarrones, fideos, alcuzcuz, y productos farináceos similares y elaboración de alimentos preparados para animales</t>
    </r>
  </si>
  <si>
    <t xml:space="preserve">COLuc018</t>
  </si>
  <si>
    <r>
      <rPr>
        <sz val="11"/>
        <color rgb="FF000000"/>
        <rFont val="Calibri"/>
        <family val="2"/>
        <charset val="1"/>
      </rPr>
      <t xml:space="preserve">029 </t>
    </r>
    <r>
      <rPr>
        <sz val="7"/>
        <color rgb="FF000000"/>
        <rFont val="Segoe UI"/>
        <family val="2"/>
        <charset val="1"/>
      </rPr>
      <t xml:space="preserve">Elaboración de productos de café</t>
    </r>
  </si>
  <si>
    <t xml:space="preserve">COLuc019</t>
  </si>
  <si>
    <r>
      <rPr>
        <sz val="11"/>
        <color rgb="FF000000"/>
        <rFont val="Calibri"/>
        <family val="2"/>
        <charset val="1"/>
      </rPr>
      <t xml:space="preserve">030 + 031 </t>
    </r>
    <r>
      <rPr>
        <sz val="7"/>
        <color rgb="FF000000"/>
        <rFont val="Segoe UI"/>
        <family val="2"/>
        <charset val="1"/>
      </rPr>
      <t xml:space="preserve">Elaboración de azúcar y elaboración de panela</t>
    </r>
  </si>
  <si>
    <t xml:space="preserve">COLuc020</t>
  </si>
  <si>
    <r>
      <rPr>
        <sz val="11"/>
        <color rgb="FF000000"/>
        <rFont val="Calibri"/>
        <family val="2"/>
        <charset val="1"/>
      </rPr>
      <t xml:space="preserve">033 </t>
    </r>
    <r>
      <rPr>
        <sz val="7"/>
        <color rgb="FF000000"/>
        <rFont val="Segoe UI"/>
        <family val="2"/>
        <charset val="1"/>
      </rPr>
      <t xml:space="preserve">Elaboración de cacao, chocolate y productos de confitería</t>
    </r>
  </si>
  <si>
    <t xml:space="preserve">COLuc021</t>
  </si>
  <si>
    <r>
      <rPr>
        <sz val="11"/>
        <color rgb="FF000000"/>
        <rFont val="Calibri"/>
        <family val="2"/>
        <charset val="1"/>
      </rPr>
      <t xml:space="preserve">034 </t>
    </r>
    <r>
      <rPr>
        <sz val="7"/>
        <color rgb="FF000000"/>
        <rFont val="Segoe UI"/>
        <family val="2"/>
        <charset val="1"/>
      </rPr>
      <t xml:space="preserve">Procesamiento y conservación de frutas, legumbres, hortalizas y tubérculos; elaboración de otros productos alimenticios (platos preparados y conservados mediante enlatado o congelado, elaboración de sopas y caldos en estado sólidos, polvo o instantáneas entre otros)</t>
    </r>
  </si>
  <si>
    <t xml:space="preserve">COLuc022</t>
  </si>
  <si>
    <r>
      <rPr>
        <sz val="11"/>
        <color rgb="FF000000"/>
        <rFont val="Calibri"/>
        <family val="2"/>
        <charset val="1"/>
      </rPr>
      <t xml:space="preserve">036 </t>
    </r>
    <r>
      <rPr>
        <sz val="7"/>
        <color rgb="FF000000"/>
        <rFont val="Segoe UI"/>
        <family val="2"/>
        <charset val="1"/>
      </rPr>
      <t xml:space="preserve">Elaboración de bebidas (incluido el hielo) y elaboración de productos de tabaco</t>
    </r>
  </si>
  <si>
    <t xml:space="preserve">COLuc023</t>
  </si>
  <si>
    <r>
      <rPr>
        <sz val="11"/>
        <color rgb="FF000000"/>
        <rFont val="Calibri"/>
        <family val="2"/>
        <charset val="1"/>
      </rPr>
      <t xml:space="preserve">037 + 038 </t>
    </r>
    <r>
      <rPr>
        <sz val="7"/>
        <color rgb="FF000000"/>
        <rFont val="Segoe UI"/>
        <family val="2"/>
        <charset val="1"/>
      </rPr>
      <t xml:space="preserve">Preparación, hilatura, tejeduría y acabado de productos textiles; fabricación de otros productos textiles, Confección de prendas de vestir</t>
    </r>
  </si>
  <si>
    <t xml:space="preserve">COLuc024</t>
  </si>
  <si>
    <r>
      <rPr>
        <sz val="11"/>
        <color rgb="FF000000"/>
        <rFont val="Calibri"/>
        <family val="2"/>
        <charset val="1"/>
      </rPr>
      <t xml:space="preserve">039 </t>
    </r>
    <r>
      <rPr>
        <sz val="7"/>
        <color rgb="FF000000"/>
        <rFont val="Segoe UI"/>
        <family val="2"/>
        <charset val="1"/>
      </rPr>
      <t xml:space="preserve">Curtido y recurtido de cueros; fabricación de calzado; fabricación de artículos de viaje, maletas, bolsos de mano y artículos similares, y fabricación de artículos de talabartería y guarnicionería; adobo y teñido de pieles</t>
    </r>
  </si>
  <si>
    <t xml:space="preserve">COLuc025</t>
  </si>
  <si>
    <r>
      <rPr>
        <sz val="11"/>
        <color rgb="FF000000"/>
        <rFont val="Calibri"/>
        <family val="2"/>
        <charset val="1"/>
      </rPr>
      <t xml:space="preserve">040 </t>
    </r>
    <r>
      <rPr>
        <sz val="7"/>
        <color rgb="FF000000"/>
        <rFont val="Segoe UI"/>
        <family val="2"/>
        <charset val="1"/>
      </rPr>
      <t xml:space="preserve">Transformación de la madera y fabricación de productos de madera y de corcho, excepto muebles; fabricación de artículos de cestería y espartería</t>
    </r>
  </si>
  <si>
    <t xml:space="preserve">COLuc026</t>
  </si>
  <si>
    <r>
      <rPr>
        <sz val="11"/>
        <color rgb="FF000000"/>
        <rFont val="Calibri"/>
        <family val="2"/>
        <charset val="1"/>
      </rPr>
      <t xml:space="preserve">041 </t>
    </r>
    <r>
      <rPr>
        <sz val="7"/>
        <color rgb="FF000000"/>
        <rFont val="Segoe UI"/>
        <family val="2"/>
        <charset val="1"/>
      </rPr>
      <t xml:space="preserve">Fabricación de papel, cartón y productos de papel y de cartón</t>
    </r>
  </si>
  <si>
    <t xml:space="preserve">COLuc027</t>
  </si>
  <si>
    <r>
      <rPr>
        <sz val="11"/>
        <color rgb="FF000000"/>
        <rFont val="Calibri"/>
        <family val="2"/>
        <charset val="1"/>
      </rPr>
      <t xml:space="preserve">042 </t>
    </r>
    <r>
      <rPr>
        <sz val="7"/>
        <color rgb="FF000000"/>
        <rFont val="Segoe UI"/>
        <family val="2"/>
        <charset val="1"/>
      </rPr>
      <t xml:space="preserve">Actividades de impresión; producción de copias a partir de grabaciones originales (Copia a partir de un original en CD, DVD, Bluray)</t>
    </r>
  </si>
  <si>
    <t xml:space="preserve">COLuc028</t>
  </si>
  <si>
    <r>
      <rPr>
        <sz val="11"/>
        <color rgb="FF000000"/>
        <rFont val="Calibri"/>
        <family val="2"/>
        <charset val="1"/>
      </rPr>
      <t xml:space="preserve">043 + 044 </t>
    </r>
    <r>
      <rPr>
        <sz val="7"/>
        <color rgb="FF000000"/>
        <rFont val="Segoe UI"/>
        <family val="2"/>
        <charset val="1"/>
      </rPr>
      <t xml:space="preserve">Coquización, fabricación de productos de la refinación del petróleo y actividades de mezcla de combustibles</t>
    </r>
  </si>
  <si>
    <t xml:space="preserve">COLuc029</t>
  </si>
  <si>
    <r>
      <rPr>
        <sz val="11"/>
        <color rgb="FF000000"/>
        <rFont val="Calibri"/>
        <family val="2"/>
        <charset val="1"/>
      </rPr>
      <t xml:space="preserve">045 + 046 + 047 </t>
    </r>
    <r>
      <rPr>
        <sz val="7"/>
        <color rgb="FF000000"/>
        <rFont val="Segoe UI"/>
        <family val="2"/>
        <charset val="1"/>
      </rPr>
      <t xml:space="preserve">Fabricación de sustancias químicas básicas, abonos y compuestos inorgánicos nitrogenados, plásticos y caucho sintético en formas primarias; fabricación de otros productos químicos; fabricación de fibras sintéticas y artificiales; fabricación de productos farmacéuticos, sustancias químicas medicinales y productos botánicos de uso farmacéutico</t>
    </r>
  </si>
  <si>
    <t xml:space="preserve">COLuc030</t>
  </si>
  <si>
    <r>
      <rPr>
        <sz val="11"/>
        <color rgb="FF000000"/>
        <rFont val="Calibri"/>
        <family val="2"/>
        <charset val="1"/>
      </rPr>
      <t xml:space="preserve">048 </t>
    </r>
    <r>
      <rPr>
        <sz val="7"/>
        <color rgb="FF000000"/>
        <rFont val="Segoe UI"/>
        <family val="2"/>
        <charset val="1"/>
      </rPr>
      <t xml:space="preserve">Fabricación de productos de caucho y de plástico</t>
    </r>
  </si>
  <si>
    <t xml:space="preserve">COLuc031</t>
  </si>
  <si>
    <r>
      <rPr>
        <sz val="11"/>
        <color rgb="FF000000"/>
        <rFont val="Calibri"/>
        <family val="2"/>
        <charset val="1"/>
      </rPr>
      <t xml:space="preserve">049 </t>
    </r>
    <r>
      <rPr>
        <sz val="7"/>
        <color rgb="FF000000"/>
        <rFont val="Segoe UI"/>
        <family val="2"/>
        <charset val="1"/>
      </rPr>
      <t xml:space="preserve">Fabricación de otros productos minerales no metálicos</t>
    </r>
  </si>
  <si>
    <t xml:space="preserve">COLuc032</t>
  </si>
  <si>
    <r>
      <rPr>
        <sz val="11"/>
        <color rgb="FF000000"/>
        <rFont val="Calibri"/>
        <family val="2"/>
        <charset val="1"/>
      </rPr>
      <t xml:space="preserve">050 + 051 </t>
    </r>
    <r>
      <rPr>
        <sz val="7"/>
        <color rgb="FF000000"/>
        <rFont val="Segoe UI"/>
        <family val="2"/>
        <charset val="1"/>
      </rPr>
      <t xml:space="preserve">Fabricación de productos metalúrgicos básicos; fabricación de productos elaborados de metal, excepto maquinaria y equipo</t>
    </r>
  </si>
  <si>
    <t xml:space="preserve">COLuc033</t>
  </si>
  <si>
    <r>
      <rPr>
        <sz val="11"/>
        <color rgb="FF000000"/>
        <rFont val="Calibri"/>
        <family val="2"/>
        <charset val="1"/>
      </rPr>
      <t xml:space="preserve">052 </t>
    </r>
    <r>
      <rPr>
        <sz val="7"/>
        <color rgb="FF000000"/>
        <rFont val="Segoe UI"/>
        <family val="2"/>
        <charset val="1"/>
      </rPr>
      <t xml:space="preserve">Fabricación de aparatos y equipo eléctrico; fabricación de productos informáticos, electrónicos y ópticos</t>
    </r>
  </si>
  <si>
    <t xml:space="preserve">COLuc034</t>
  </si>
  <si>
    <r>
      <rPr>
        <sz val="11"/>
        <color rgb="FF000000"/>
        <rFont val="Calibri"/>
        <family val="2"/>
        <charset val="1"/>
      </rPr>
      <t xml:space="preserve">053 + 057 </t>
    </r>
    <r>
      <rPr>
        <sz val="7"/>
        <color rgb="FF000000"/>
        <rFont val="Segoe UI"/>
        <family val="2"/>
        <charset val="1"/>
      </rPr>
      <t xml:space="preserve">Fabricación de maquinaria y equipo n.c.p.; instalación, mantenimiento y reparación especializado de maquinaria y equipo</t>
    </r>
  </si>
  <si>
    <t xml:space="preserve">COLuc035</t>
  </si>
  <si>
    <r>
      <rPr>
        <sz val="11"/>
        <color rgb="FF000000"/>
        <rFont val="Calibri"/>
        <family val="2"/>
        <charset val="1"/>
      </rPr>
      <t xml:space="preserve">054 </t>
    </r>
    <r>
      <rPr>
        <sz val="7"/>
        <color rgb="FF000000"/>
        <rFont val="Segoe UI"/>
        <family val="2"/>
        <charset val="1"/>
      </rPr>
      <t xml:space="preserve">Fabricación de vehículos automotores, remolques y semirremolques; fabricación de otros tipos de equipo de transporte</t>
    </r>
  </si>
  <si>
    <t xml:space="preserve">COLuc036</t>
  </si>
  <si>
    <r>
      <rPr>
        <sz val="11"/>
        <color rgb="FF000000"/>
        <rFont val="Calibri"/>
        <family val="2"/>
        <charset val="1"/>
      </rPr>
      <t xml:space="preserve">055 </t>
    </r>
    <r>
      <rPr>
        <sz val="7"/>
        <color rgb="FF000000"/>
        <rFont val="Segoe UI"/>
        <family val="2"/>
        <charset val="1"/>
      </rPr>
      <t xml:space="preserve">Fabricación de muebles, colchones y somieres</t>
    </r>
  </si>
  <si>
    <t xml:space="preserve">COLuc037</t>
  </si>
  <si>
    <r>
      <rPr>
        <sz val="11"/>
        <color rgb="FF000000"/>
        <rFont val="Calibri"/>
        <family val="2"/>
        <charset val="1"/>
      </rPr>
      <t xml:space="preserve">056 </t>
    </r>
    <r>
      <rPr>
        <sz val="7"/>
        <color rgb="FF000000"/>
        <rFont val="Segoe UI"/>
        <family val="2"/>
        <charset val="1"/>
      </rPr>
      <t xml:space="preserve">Otras industrias manufactureras</t>
    </r>
  </si>
  <si>
    <t xml:space="preserve">COLuc038</t>
  </si>
  <si>
    <r>
      <rPr>
        <sz val="11"/>
        <color rgb="FF000000"/>
        <rFont val="Calibri"/>
        <family val="2"/>
        <charset val="1"/>
      </rPr>
      <t xml:space="preserve">058 + 059 + 060 </t>
    </r>
    <r>
      <rPr>
        <sz val="7"/>
        <color rgb="FF000000"/>
        <rFont val="Segoe UI"/>
        <family val="2"/>
        <charset val="1"/>
      </rPr>
      <t xml:space="preserve">Generación de energía eléctrica; transmisión de energía eléctrica y distribución y comercialización de energía eléctrica</t>
    </r>
  </si>
  <si>
    <t xml:space="preserve">COLuc039</t>
  </si>
  <si>
    <r>
      <rPr>
        <sz val="11"/>
        <color rgb="FF000000"/>
        <rFont val="Calibri"/>
        <family val="2"/>
        <charset val="1"/>
      </rPr>
      <t xml:space="preserve">061 </t>
    </r>
    <r>
      <rPr>
        <sz val="7"/>
        <color rgb="FF000000"/>
        <rFont val="Segoe UI"/>
        <family val="2"/>
        <charset val="1"/>
      </rPr>
      <t xml:space="preserve">Producción de gas; distribución de combustibles gaseosos por tuberías; suministro de vapor y aire acondicionado</t>
    </r>
  </si>
  <si>
    <t xml:space="preserve">COLuc040</t>
  </si>
  <si>
    <r>
      <rPr>
        <sz val="11"/>
        <color rgb="FF000000"/>
        <rFont val="Calibri"/>
        <family val="2"/>
        <charset val="1"/>
      </rPr>
      <t xml:space="preserve">062 </t>
    </r>
    <r>
      <rPr>
        <sz val="7"/>
        <color rgb="FF000000"/>
        <rFont val="Segoe UI"/>
        <family val="2"/>
        <charset val="1"/>
      </rPr>
      <t xml:space="preserve">Captación, tratamiento y distribución de agua</t>
    </r>
  </si>
  <si>
    <t xml:space="preserve">COLuc041</t>
  </si>
  <si>
    <r>
      <rPr>
        <sz val="11"/>
        <color rgb="FF000000"/>
        <rFont val="Calibri"/>
        <family val="2"/>
        <charset val="1"/>
      </rPr>
      <t xml:space="preserve">063+064+066 </t>
    </r>
    <r>
      <rPr>
        <sz val="7"/>
        <color rgb="FF000000"/>
        <rFont val="Segoe UI"/>
        <family val="2"/>
        <charset val="1"/>
      </rPr>
      <t xml:space="preserve">Evacuación y tratamiento de aguas residuales; recolección, tratamiento y disposición de desechos y actividades de saneamiento ambiental y otros servicios de gestión de desechos</t>
    </r>
  </si>
  <si>
    <t xml:space="preserve">COLuc042</t>
  </si>
  <si>
    <r>
      <rPr>
        <sz val="11"/>
        <color rgb="FF000000"/>
        <rFont val="Calibri"/>
        <family val="2"/>
        <charset val="1"/>
      </rPr>
      <t xml:space="preserve">065 </t>
    </r>
    <r>
      <rPr>
        <sz val="7"/>
        <color rgb="FF000000"/>
        <rFont val="Segoe UI"/>
        <family val="2"/>
        <charset val="1"/>
      </rPr>
      <t xml:space="preserve">Recuperación de materiales (reciclaje)</t>
    </r>
  </si>
  <si>
    <t xml:space="preserve">COLuc043</t>
  </si>
  <si>
    <r>
      <rPr>
        <sz val="11"/>
        <color rgb="FF000000"/>
        <rFont val="Calibri"/>
        <family val="2"/>
        <charset val="1"/>
      </rPr>
      <t xml:space="preserve">067 </t>
    </r>
    <r>
      <rPr>
        <sz val="7"/>
        <color rgb="FF000000"/>
        <rFont val="Segoe UI"/>
        <family val="2"/>
        <charset val="1"/>
      </rPr>
      <t xml:space="preserve">Construcción de edificaciones residenciales y no residenciales</t>
    </r>
  </si>
  <si>
    <t xml:space="preserve">COLuc044</t>
  </si>
  <si>
    <r>
      <rPr>
        <sz val="11"/>
        <color rgb="FF000000"/>
        <rFont val="Calibri"/>
        <family val="2"/>
        <charset val="1"/>
      </rPr>
      <t xml:space="preserve">068 </t>
    </r>
    <r>
      <rPr>
        <sz val="7"/>
        <color rgb="FF000000"/>
        <rFont val="Segoe UI"/>
        <family val="2"/>
        <charset val="1"/>
      </rPr>
      <t xml:space="preserve">Construcción de carreteras y vías de ferrocarril, de proyectos de servicio público y de otras obras de ingeniería civil</t>
    </r>
  </si>
  <si>
    <t xml:space="preserve">COLuc045</t>
  </si>
  <si>
    <r>
      <rPr>
        <sz val="11"/>
        <color rgb="FF000000"/>
        <rFont val="Calibri"/>
        <family val="2"/>
        <charset val="1"/>
      </rPr>
      <t xml:space="preserve">069 </t>
    </r>
    <r>
      <rPr>
        <sz val="7"/>
        <color rgb="FF000000"/>
        <rFont val="Segoe UI"/>
        <family val="2"/>
        <charset val="1"/>
      </rPr>
      <t xml:space="preserve">Actividades especializadas para la construcción de edificaciones y obras de ingeniería civil (Alquiler de maquinaría y equipo de construcción con operadores)</t>
    </r>
  </si>
  <si>
    <t xml:space="preserve">COLuc046</t>
  </si>
  <si>
    <r>
      <rPr>
        <sz val="11"/>
        <color rgb="FF000000"/>
        <rFont val="Calibri"/>
        <family val="2"/>
        <charset val="1"/>
      </rPr>
      <t xml:space="preserve">070 </t>
    </r>
    <r>
      <rPr>
        <sz val="7"/>
        <color rgb="FF000000"/>
        <rFont val="Segoe UI"/>
        <family val="2"/>
        <charset val="1"/>
      </rPr>
      <t xml:space="preserve">Comercio al por mayor y en comisión o por contrata; comercio al por menor (incluso el comercio al por menor de combustibles); comercio de vehículos automotores y motocicletas, sus partes, piezas y accesorios</t>
    </r>
  </si>
  <si>
    <t xml:space="preserve">COLuc047</t>
  </si>
  <si>
    <r>
      <rPr>
        <sz val="11"/>
        <color rgb="FF000000"/>
        <rFont val="Calibri"/>
        <family val="2"/>
        <charset val="1"/>
      </rPr>
      <t xml:space="preserve">071 </t>
    </r>
    <r>
      <rPr>
        <sz val="7"/>
        <color rgb="FF000000"/>
        <rFont val="Segoe UI"/>
        <family val="2"/>
        <charset val="1"/>
      </rPr>
      <t xml:space="preserve">Mantenimiento y reparación de vehículos automotores y motocicletas</t>
    </r>
  </si>
  <si>
    <t xml:space="preserve">COLuc048</t>
  </si>
  <si>
    <r>
      <rPr>
        <sz val="11"/>
        <color rgb="FF000000"/>
        <rFont val="Calibri"/>
        <family val="2"/>
        <charset val="1"/>
      </rPr>
      <t xml:space="preserve">072 + 074 </t>
    </r>
    <r>
      <rPr>
        <sz val="7"/>
        <color rgb="FF000000"/>
        <rFont val="Segoe UI"/>
        <family val="2"/>
        <charset val="1"/>
      </rPr>
      <t xml:space="preserve">Transporte terrestre y transporte por tuberías</t>
    </r>
  </si>
  <si>
    <t xml:space="preserve">COLuc049</t>
  </si>
  <si>
    <r>
      <rPr>
        <sz val="11"/>
        <color rgb="FF000000"/>
        <rFont val="Calibri"/>
        <family val="2"/>
        <charset val="1"/>
      </rPr>
      <t xml:space="preserve">073 </t>
    </r>
    <r>
      <rPr>
        <sz val="7"/>
        <color rgb="FF000000"/>
        <rFont val="Segoe UI"/>
        <family val="2"/>
        <charset val="1"/>
      </rPr>
      <t xml:space="preserve">Transporte acuático</t>
    </r>
  </si>
  <si>
    <t xml:space="preserve">COLuc050</t>
  </si>
  <si>
    <r>
      <rPr>
        <sz val="11"/>
        <color rgb="FF000000"/>
        <rFont val="Calibri"/>
        <family val="2"/>
        <charset val="1"/>
      </rPr>
      <t xml:space="preserve">075 </t>
    </r>
    <r>
      <rPr>
        <sz val="7"/>
        <color rgb="FF000000"/>
        <rFont val="Segoe UI"/>
        <family val="2"/>
        <charset val="1"/>
      </rPr>
      <t xml:space="preserve">Transporte aéreo</t>
    </r>
  </si>
  <si>
    <t xml:space="preserve">COLuc051</t>
  </si>
  <si>
    <r>
      <rPr>
        <sz val="11"/>
        <color rgb="FF000000"/>
        <rFont val="Calibri"/>
        <family val="2"/>
        <charset val="1"/>
      </rPr>
      <t xml:space="preserve">076 </t>
    </r>
    <r>
      <rPr>
        <sz val="7"/>
        <color rgb="FF000000"/>
        <rFont val="Segoe UI"/>
        <family val="2"/>
        <charset val="1"/>
      </rPr>
      <t xml:space="preserve">Almacenamiento y actividades complementarias al transporte</t>
    </r>
  </si>
  <si>
    <t xml:space="preserve">COLuc052</t>
  </si>
  <si>
    <r>
      <rPr>
        <sz val="11"/>
        <color rgb="FF000000"/>
        <rFont val="Calibri"/>
        <family val="2"/>
        <charset val="1"/>
      </rPr>
      <t xml:space="preserve">077 </t>
    </r>
    <r>
      <rPr>
        <sz val="7"/>
        <color rgb="FF000000"/>
        <rFont val="Segoe UI"/>
        <family val="2"/>
        <charset val="1"/>
      </rPr>
      <t xml:space="preserve">Actividades de correo y de servicios de mensajería</t>
    </r>
  </si>
  <si>
    <t xml:space="preserve">COLuc053</t>
  </si>
  <si>
    <r>
      <rPr>
        <sz val="11"/>
        <color rgb="FF000000"/>
        <rFont val="Calibri"/>
        <family val="2"/>
        <charset val="1"/>
      </rPr>
      <t xml:space="preserve">I </t>
    </r>
    <r>
      <rPr>
        <sz val="7"/>
        <color rgb="FF000000"/>
        <rFont val="Segoe UI"/>
        <family val="2"/>
        <charset val="1"/>
      </rPr>
      <t xml:space="preserve">Alojamiento y servicios de comida</t>
    </r>
  </si>
  <si>
    <t xml:space="preserve">COLuc054</t>
  </si>
  <si>
    <r>
      <rPr>
        <sz val="11"/>
        <color rgb="FF000000"/>
        <rFont val="Calibri"/>
        <family val="2"/>
        <charset val="1"/>
      </rPr>
      <t xml:space="preserve">J </t>
    </r>
    <r>
      <rPr>
        <sz val="7"/>
        <color rgb="FF000000"/>
        <rFont val="Segoe UI"/>
        <family val="2"/>
        <charset val="1"/>
      </rPr>
      <t xml:space="preserve">Información y comunicaciones</t>
    </r>
  </si>
  <si>
    <t xml:space="preserve">COLuc055</t>
  </si>
  <si>
    <r>
      <rPr>
        <sz val="11"/>
        <color rgb="FF000000"/>
        <rFont val="Calibri"/>
        <family val="2"/>
        <charset val="1"/>
      </rPr>
      <t xml:space="preserve">K </t>
    </r>
    <r>
      <rPr>
        <sz val="7"/>
        <color rgb="FF000000"/>
        <rFont val="Segoe UI"/>
        <family val="2"/>
        <charset val="1"/>
      </rPr>
      <t xml:space="preserve">Actividades financieras y de seguros</t>
    </r>
  </si>
  <si>
    <t xml:space="preserve">COLuc056</t>
  </si>
  <si>
    <r>
      <rPr>
        <sz val="11"/>
        <color rgb="FF000000"/>
        <rFont val="Calibri"/>
        <family val="2"/>
        <charset val="1"/>
      </rPr>
      <t xml:space="preserve">089 </t>
    </r>
    <r>
      <rPr>
        <sz val="7"/>
        <color rgb="FF000000"/>
        <rFont val="Segoe UI"/>
        <family val="2"/>
        <charset val="1"/>
      </rPr>
      <t xml:space="preserve">Actividades inmobiliarias</t>
    </r>
  </si>
  <si>
    <t xml:space="preserve">COLuc057</t>
  </si>
  <si>
    <r>
      <rPr>
        <sz val="11"/>
        <color rgb="FF000000"/>
        <rFont val="Calibri"/>
        <family val="2"/>
        <charset val="1"/>
      </rPr>
      <t xml:space="preserve">M </t>
    </r>
    <r>
      <rPr>
        <sz val="7"/>
        <color rgb="FF000000"/>
        <rFont val="Segoe UI"/>
        <family val="2"/>
        <charset val="1"/>
      </rPr>
      <t xml:space="preserve">Actividades profesionales, científicas y técnicas</t>
    </r>
  </si>
  <si>
    <t xml:space="preserve">COLuc058</t>
  </si>
  <si>
    <r>
      <rPr>
        <sz val="11"/>
        <color rgb="FF000000"/>
        <rFont val="Calibri"/>
        <family val="2"/>
        <charset val="1"/>
      </rPr>
      <t xml:space="preserve">N </t>
    </r>
    <r>
      <rPr>
        <sz val="7"/>
        <color rgb="FF000000"/>
        <rFont val="Segoe UI"/>
        <family val="2"/>
        <charset val="1"/>
      </rPr>
      <t xml:space="preserve">Actividades de servicios administrativos y de apoyo</t>
    </r>
  </si>
  <si>
    <t xml:space="preserve">COLuc059</t>
  </si>
  <si>
    <r>
      <rPr>
        <sz val="11"/>
        <color rgb="FF000000"/>
        <rFont val="Calibri"/>
        <family val="2"/>
        <charset val="1"/>
      </rPr>
      <t xml:space="preserve">O </t>
    </r>
    <r>
      <rPr>
        <sz val="7"/>
        <color rgb="FF000000"/>
        <rFont val="Segoe UI"/>
        <family val="2"/>
        <charset val="1"/>
      </rPr>
      <t xml:space="preserve">Administración pública y defensa; planes de seguridad social de afiliación obligatoria</t>
    </r>
  </si>
  <si>
    <t xml:space="preserve">COLuc060</t>
  </si>
  <si>
    <r>
      <rPr>
        <sz val="11"/>
        <color rgb="FF000000"/>
        <rFont val="Calibri"/>
        <family val="2"/>
        <charset val="1"/>
      </rPr>
      <t xml:space="preserve">100 </t>
    </r>
    <r>
      <rPr>
        <sz val="7"/>
        <color rgb="FF000000"/>
        <rFont val="Segoe UI"/>
        <family val="2"/>
        <charset val="1"/>
      </rPr>
      <t xml:space="preserve">Educación de mercado</t>
    </r>
  </si>
  <si>
    <t xml:space="preserve">COLuc061</t>
  </si>
  <si>
    <r>
      <rPr>
        <sz val="11"/>
        <color rgb="FF000000"/>
        <rFont val="Calibri"/>
        <family val="2"/>
        <charset val="1"/>
      </rPr>
      <t xml:space="preserve">101 </t>
    </r>
    <r>
      <rPr>
        <sz val="7"/>
        <color rgb="FF000000"/>
        <rFont val="Segoe UI"/>
        <family val="2"/>
        <charset val="1"/>
      </rPr>
      <t xml:space="preserve">Educación de no mercado</t>
    </r>
  </si>
  <si>
    <t xml:space="preserve">COLuc062</t>
  </si>
  <si>
    <r>
      <rPr>
        <sz val="11"/>
        <color rgb="FF000000"/>
        <rFont val="Calibri"/>
        <family val="2"/>
        <charset val="1"/>
      </rPr>
      <t xml:space="preserve">Q </t>
    </r>
    <r>
      <rPr>
        <sz val="7"/>
        <color rgb="FF000000"/>
        <rFont val="Segoe UI"/>
        <family val="2"/>
        <charset val="1"/>
      </rPr>
      <t xml:space="preserve">Actividades de atención de la salud humana y de servicios sociales</t>
    </r>
  </si>
  <si>
    <t xml:space="preserve">COLuc063</t>
  </si>
  <si>
    <r>
      <rPr>
        <sz val="11"/>
        <color rgb="FF000000"/>
        <rFont val="Calibri"/>
        <family val="2"/>
        <charset val="1"/>
      </rPr>
      <t xml:space="preserve">R + S </t>
    </r>
    <r>
      <rPr>
        <sz val="7"/>
        <color rgb="FF000000"/>
        <rFont val="Segoe UI"/>
        <family val="2"/>
        <charset val="1"/>
      </rPr>
      <t xml:space="preserve">Actividades artísticas, de entretenimiento y recreación y otras actividades de servicios</t>
    </r>
  </si>
  <si>
    <t xml:space="preserve">COLuc064</t>
  </si>
  <si>
    <r>
      <rPr>
        <sz val="11"/>
        <color rgb="FF000000"/>
        <rFont val="Calibri"/>
        <family val="2"/>
        <charset val="1"/>
      </rPr>
      <t xml:space="preserve">109 </t>
    </r>
    <r>
      <rPr>
        <sz val="7"/>
        <color rgb="FF000000"/>
        <rFont val="Segoe UI"/>
        <family val="2"/>
        <charset val="1"/>
      </rPr>
      <t xml:space="preserve">Actividades de los hogares individuales en calidad de empleadores</t>
    </r>
  </si>
  <si>
    <t xml:space="preserve">COLuc065</t>
  </si>
  <si>
    <t xml:space="preserve">COLuc066</t>
  </si>
  <si>
    <t xml:space="preserve">COLuc067</t>
  </si>
  <si>
    <t xml:space="preserve">Consumo intermedio</t>
  </si>
  <si>
    <t xml:space="preserve">A precios de comprador</t>
  </si>
  <si>
    <t xml:space="preserve">COLuc068</t>
  </si>
  <si>
    <t xml:space="preserve">A precios básicos</t>
  </si>
  <si>
    <t xml:space="preserve">COLuc069</t>
  </si>
  <si>
    <t xml:space="preserve">Impuestos excepto IVA</t>
  </si>
  <si>
    <t xml:space="preserve">COLuc070</t>
  </si>
  <si>
    <t xml:space="preserve">COLuc071</t>
  </si>
  <si>
    <t xml:space="preserve">COLuc072</t>
  </si>
  <si>
    <t xml:space="preserve">COLuc073</t>
  </si>
  <si>
    <t xml:space="preserve">COLuc074</t>
  </si>
  <si>
    <t xml:space="preserve">COLuc075</t>
  </si>
  <si>
    <t xml:space="preserve">Gasto de consumo final</t>
  </si>
  <si>
    <t xml:space="preserve">Total gasto de consumo final</t>
  </si>
  <si>
    <t xml:space="preserve">COLuc076</t>
  </si>
  <si>
    <t xml:space="preserve">COLuc077</t>
  </si>
  <si>
    <t xml:space="preserve">Pa31</t>
  </si>
  <si>
    <t xml:space="preserve">Hogares</t>
  </si>
  <si>
    <t xml:space="preserve">COLuc078</t>
  </si>
  <si>
    <t xml:space="preserve">COLuc079</t>
  </si>
  <si>
    <t xml:space="preserve">COLuc080</t>
  </si>
  <si>
    <t xml:space="preserve">COLuc081</t>
  </si>
  <si>
    <t xml:space="preserve">COLuc082</t>
  </si>
  <si>
    <t xml:space="preserve">COLuc083</t>
  </si>
  <si>
    <t xml:space="preserve">COLuc084</t>
  </si>
  <si>
    <t xml:space="preserve">COLuc085</t>
  </si>
  <si>
    <t xml:space="preserve">Pb30</t>
  </si>
  <si>
    <t xml:space="preserve">ISFLH1</t>
  </si>
  <si>
    <t xml:space="preserve">COLuc086</t>
  </si>
  <si>
    <t xml:space="preserve">COLuc087</t>
  </si>
  <si>
    <t xml:space="preserve">COLuc088</t>
  </si>
  <si>
    <t xml:space="preserve">COLuc089</t>
  </si>
  <si>
    <t xml:space="preserve">COLuc090</t>
  </si>
  <si>
    <t xml:space="preserve">COLuc091</t>
  </si>
  <si>
    <t xml:space="preserve">COLuc092</t>
  </si>
  <si>
    <t xml:space="preserve">COLuc093</t>
  </si>
  <si>
    <t xml:space="preserve">Pc31</t>
  </si>
  <si>
    <t xml:space="preserve">Gobierno</t>
  </si>
  <si>
    <t xml:space="preserve">Colectivo</t>
  </si>
  <si>
    <t xml:space="preserve">COLuc094</t>
  </si>
  <si>
    <t xml:space="preserve">Pc32</t>
  </si>
  <si>
    <t xml:space="preserve">Individual</t>
  </si>
  <si>
    <t xml:space="preserve">COLuc095</t>
  </si>
  <si>
    <t xml:space="preserve">COLuc096</t>
  </si>
  <si>
    <t xml:space="preserve">COLuc097</t>
  </si>
  <si>
    <t xml:space="preserve">COLuc098</t>
  </si>
  <si>
    <t xml:space="preserve">COLuc099</t>
  </si>
  <si>
    <t xml:space="preserve">COLuc100</t>
  </si>
  <si>
    <t xml:space="preserve">COLuc101</t>
  </si>
  <si>
    <t xml:space="preserve">COLuc102</t>
  </si>
  <si>
    <t xml:space="preserve">COLuc103</t>
  </si>
  <si>
    <t xml:space="preserve">Formación bruta de capital</t>
  </si>
  <si>
    <t xml:space="preserve">Total formación bruta de capital</t>
  </si>
  <si>
    <t xml:space="preserve">COLuc104</t>
  </si>
  <si>
    <t xml:space="preserve">P51b</t>
  </si>
  <si>
    <t xml:space="preserve">Formación bruta de capital fijo</t>
  </si>
  <si>
    <t xml:space="preserve">COLuc105</t>
  </si>
  <si>
    <t xml:space="preserve">COLuc106</t>
  </si>
  <si>
    <t xml:space="preserve">COLuc107</t>
  </si>
  <si>
    <t xml:space="preserve">COLuc108</t>
  </si>
  <si>
    <t xml:space="preserve">COLuc109</t>
  </si>
  <si>
    <t xml:space="preserve">COLuc110</t>
  </si>
  <si>
    <t xml:space="preserve">COLuc111</t>
  </si>
  <si>
    <t xml:space="preserve">COLuc112</t>
  </si>
  <si>
    <t xml:space="preserve">P52</t>
  </si>
  <si>
    <t xml:space="preserve">Variación de existencias</t>
  </si>
  <si>
    <t xml:space="preserve">COLuc113</t>
  </si>
  <si>
    <t xml:space="preserve">COLuc114</t>
  </si>
  <si>
    <t xml:space="preserve">COLuc115</t>
  </si>
  <si>
    <t xml:space="preserve">COLuc116</t>
  </si>
  <si>
    <t xml:space="preserve">COLuc117</t>
  </si>
  <si>
    <t xml:space="preserve">COLuc118</t>
  </si>
  <si>
    <t xml:space="preserve">COLuc119</t>
  </si>
  <si>
    <t xml:space="preserve">COLuc120</t>
  </si>
  <si>
    <t xml:space="preserve">P53</t>
  </si>
  <si>
    <t xml:space="preserve">Adquisición menos disposición de objetos valiosos</t>
  </si>
  <si>
    <t xml:space="preserve">COLuc121</t>
  </si>
  <si>
    <t xml:space="preserve">COLuc122</t>
  </si>
  <si>
    <t xml:space="preserve">COLuc123</t>
  </si>
  <si>
    <t xml:space="preserve">COLuc124</t>
  </si>
  <si>
    <t xml:space="preserve">COLuc125</t>
  </si>
  <si>
    <t xml:space="preserve">COLuc126</t>
  </si>
  <si>
    <t xml:space="preserve">COLuc127</t>
  </si>
  <si>
    <t xml:space="preserve">COLuc128</t>
  </si>
  <si>
    <t xml:space="preserve">P61</t>
  </si>
  <si>
    <t xml:space="preserve">Exportaciones</t>
  </si>
  <si>
    <t xml:space="preserve">COLuc129</t>
  </si>
  <si>
    <t xml:space="preserve">P62</t>
  </si>
  <si>
    <t xml:space="preserve">COLuc130</t>
  </si>
  <si>
    <t xml:space="preserve">COLuc131</t>
  </si>
  <si>
    <t xml:space="preserve">COLuc132</t>
  </si>
  <si>
    <t xml:space="preserve">COLuc133</t>
  </si>
  <si>
    <t xml:space="preserve">COLuc134</t>
  </si>
  <si>
    <t xml:space="preserve">COLuc135</t>
  </si>
  <si>
    <t xml:space="preserve">COLuc136</t>
  </si>
  <si>
    <t xml:space="preserve">COLvc001</t>
  </si>
  <si>
    <t xml:space="preserve">COLvc002</t>
  </si>
  <si>
    <t xml:space="preserve">COLvc003</t>
  </si>
  <si>
    <t xml:space="preserve">COLvc004</t>
  </si>
  <si>
    <t xml:space="preserve">A0101-01 Agricultura y actividades de servicios conexas </t>
  </si>
  <si>
    <t xml:space="preserve">COLvc005</t>
  </si>
  <si>
    <t xml:space="preserve">A0101-02 Cultivo permanente de café </t>
  </si>
  <si>
    <t xml:space="preserve">COLvc006</t>
  </si>
  <si>
    <t xml:space="preserve">A0102 Ganadería, caza y actividades de servicios conexas </t>
  </si>
  <si>
    <t xml:space="preserve">COLvc007</t>
  </si>
  <si>
    <t xml:space="preserve">A02 Silvicultura y extracción de madera</t>
  </si>
  <si>
    <t xml:space="preserve">COLvc008</t>
  </si>
  <si>
    <t xml:space="preserve">A03 Pesca y acuicultura</t>
  </si>
  <si>
    <t xml:space="preserve">COLvc009</t>
  </si>
  <si>
    <t xml:space="preserve">017 Extracción de carbón de piedra y lignito</t>
  </si>
  <si>
    <t xml:space="preserve">COLvc010</t>
  </si>
  <si>
    <t xml:space="preserve">018 + 021 Extracción de petróleo crudo y gas natural y actividades de apoyo para la extracción de petróleo y de gas natural</t>
  </si>
  <si>
    <t xml:space="preserve">COLvc011</t>
  </si>
  <si>
    <t xml:space="preserve">019 Extracción de minerales metalíferos</t>
  </si>
  <si>
    <t xml:space="preserve">COLvc012</t>
  </si>
  <si>
    <t xml:space="preserve">020 Extracción de otras minas y canteras</t>
  </si>
  <si>
    <t xml:space="preserve">COLvc013</t>
  </si>
  <si>
    <t xml:space="preserve">022 Actividades de apoyo para otras actividades de explotación de minas y canteras</t>
  </si>
  <si>
    <t xml:space="preserve">COLvc014</t>
  </si>
  <si>
    <t xml:space="preserve">023 + 024 + 025 Procesamiento y conservación de carne y productos cárnicos de bovinos, bufalinos, porcinos y otras carnes n.c.p.; procesamiento y conservación de carne y productos cárnicos de aves de corral y procesamiento y conservación de pescados, crustáceos y moluscos</t>
  </si>
  <si>
    <t xml:space="preserve">COLvc015</t>
  </si>
  <si>
    <t xml:space="preserve">026
Elaboración de aceites y grasas de origen vegetal y animal</t>
  </si>
  <si>
    <t xml:space="preserve">COLvc016</t>
  </si>
  <si>
    <t xml:space="preserve">027
Elaboración de productos lácteos</t>
  </si>
  <si>
    <t xml:space="preserve">COLvc017</t>
  </si>
  <si>
    <t xml:space="preserve">028 + 032 + 035
Elaboración de productos de molinería, almidones y productos derivados del almidón; elaboración de productos de panadería; elaboración de macarrones, fideos, alcuzcuz, y productos farináceos similares y elaboración de alimentos preparados para animales</t>
  </si>
  <si>
    <t xml:space="preserve">COLvc018</t>
  </si>
  <si>
    <t xml:space="preserve">029
Elaboración de productos de café</t>
  </si>
  <si>
    <t xml:space="preserve">COLvc019</t>
  </si>
  <si>
    <t xml:space="preserve">030 + 031
Elaboración de azúcar y elaboración de panela</t>
  </si>
  <si>
    <t xml:space="preserve">COLvc020</t>
  </si>
  <si>
    <t xml:space="preserve">033
Elaboración de cacao, chocolate y productos de confitería</t>
  </si>
  <si>
    <t xml:space="preserve">COLvc021</t>
  </si>
  <si>
    <t xml:space="preserve">034
Procesamiento y conservación de frutas, legumbres, hortalizas y tubérculos; elaboración de otros productos alimenticios (platos preparados y conservados mediante enlatado o congelado, elaboración de sopas y caldos en estado sólidos, polvo o instantáneas entre otros)</t>
  </si>
  <si>
    <t xml:space="preserve">COLvc022</t>
  </si>
  <si>
    <t xml:space="preserve">036
Elaboración de bebidas (incluido el hielo) y elaboración de productos de tabaco</t>
  </si>
  <si>
    <t xml:space="preserve">COLvc023</t>
  </si>
  <si>
    <t xml:space="preserve">037 + 038
Preparación, hilatura, tejeduría y acabado de productos textiles; fabricación de otros productos textiles, Confección de prendas de vestir</t>
  </si>
  <si>
    <t xml:space="preserve">COLvc024</t>
  </si>
  <si>
    <t xml:space="preserve">039
Curtido y recurtido de cueros; fabricación de calzado; fabricación de artículos de viaje, maletas, bolsos de mano y artículos similares, y fabricación de artículos de talabartería y guarnicionería; adobo y teñido de pieles</t>
  </si>
  <si>
    <t xml:space="preserve">COLvc025</t>
  </si>
  <si>
    <t xml:space="preserve">040
Transformación de la madera y fabricación de productos de madera y de corcho, excepto muebles; fabricación de artículos de cestería y espartería</t>
  </si>
  <si>
    <t xml:space="preserve">COLvc026</t>
  </si>
  <si>
    <t xml:space="preserve">041
Fabricación de papel, cartón y productos de papel y de cartón</t>
  </si>
  <si>
    <t xml:space="preserve">COLvc027</t>
  </si>
  <si>
    <t xml:space="preserve">042
Actividades de impresión; producción de copias a partir de grabaciones originales (Copia a partir de un original en CD, DVD, Bluray)</t>
  </si>
  <si>
    <t xml:space="preserve">COLvc028</t>
  </si>
  <si>
    <t xml:space="preserve">043 + 044
Coquización, fabricación de productos de la refinación del petróleo y actividades de mezcla de combustibles</t>
  </si>
  <si>
    <t xml:space="preserve">COLvc029</t>
  </si>
  <si>
    <t xml:space="preserve">045 + 046 + 047
Fabricación de sustancias químicas básicas, abonos y compuestos inorgánicos nitrogenados, plásticos y caucho sintético en formas primarias; fabricación de otros productos químicos; fabricación de fibras sintéticas y artificiales; fabricación de productos farmacéuticos, sustancias químicas medicinales y productos botánicos de uso farmacéutico</t>
  </si>
  <si>
    <t xml:space="preserve">COLvc030</t>
  </si>
  <si>
    <t xml:space="preserve">048
Fabricación de productos de caucho y de plástico</t>
  </si>
  <si>
    <t xml:space="preserve">COLvc031</t>
  </si>
  <si>
    <t xml:space="preserve">049
Fabricación de otros productos minerales no metálicos</t>
  </si>
  <si>
    <t xml:space="preserve">COLvc032</t>
  </si>
  <si>
    <t xml:space="preserve">050 + 051
Fabricación de productos metalúrgicos básicos; fabricación de productos elaborados de metal, excepto maquinaria y equipo</t>
  </si>
  <si>
    <t xml:space="preserve">COLvc033</t>
  </si>
  <si>
    <t xml:space="preserve">052
Fabricación de aparatos y equipo eléctrico; fabricación de productos informáticos, electrónicos y ópticos</t>
  </si>
  <si>
    <t xml:space="preserve">COLvc034</t>
  </si>
  <si>
    <t xml:space="preserve">053 + 057
Fabricación de maquinaria y equipo n.c.p.; instalación, mantenimiento y reparación especializado de maquinaria y equipo</t>
  </si>
  <si>
    <t xml:space="preserve">COLvc035</t>
  </si>
  <si>
    <t xml:space="preserve">054
Fabricación de vehículos automotores, remolques y semirremolques; fabricación de otros tipos de equipo de transporte</t>
  </si>
  <si>
    <t xml:space="preserve">COLvc036</t>
  </si>
  <si>
    <t xml:space="preserve">055
Fabricación de muebles, colchones y somieres</t>
  </si>
  <si>
    <t xml:space="preserve">COLvc037</t>
  </si>
  <si>
    <t xml:space="preserve">056
Otras industrias manufactureras</t>
  </si>
  <si>
    <t xml:space="preserve">COLvc038</t>
  </si>
  <si>
    <t xml:space="preserve">058 + 059 + 060
Generación de energía eléctrica; transmisión de energía eléctrica y distribución y comercialización de energía eléctrica</t>
  </si>
  <si>
    <t xml:space="preserve">COLvc039</t>
  </si>
  <si>
    <t xml:space="preserve">061
Producción de gas; distribución de combustibles gaseosos por tuberías; suministro de vapor y aire acondicionado</t>
  </si>
  <si>
    <t xml:space="preserve">COLvc040</t>
  </si>
  <si>
    <t xml:space="preserve">062
Captación, tratamiento y distribución de agua</t>
  </si>
  <si>
    <t xml:space="preserve">COLvc041</t>
  </si>
  <si>
    <t xml:space="preserve">063+064+066
Evacuación y tratamiento de aguas residuales; recolección, tratamiento y disposición de desechos y actividades de saneamiento ambiental y otros servicios de gestión de desechos</t>
  </si>
  <si>
    <t xml:space="preserve">COLvc042</t>
  </si>
  <si>
    <t xml:space="preserve">065
Recuperación de materiales (reciclaje)</t>
  </si>
  <si>
    <t xml:space="preserve">COLvc043</t>
  </si>
  <si>
    <t xml:space="preserve">067
Construcción de edificaciones residenciales y no residenciales</t>
  </si>
  <si>
    <t xml:space="preserve">COLvc044</t>
  </si>
  <si>
    <t xml:space="preserve">068
Construcción de carreteras y vías de ferrocarril, de proyectos de servicio público y de otras obras de ingeniería civil</t>
  </si>
  <si>
    <t xml:space="preserve">COLvc045</t>
  </si>
  <si>
    <t xml:space="preserve">069
Actividades especializadas para la construcción de edificaciones y obras de ingeniería civil (Alquiler de maquinaría y equipo de construcción con operadores)</t>
  </si>
  <si>
    <t xml:space="preserve">COLvc046</t>
  </si>
  <si>
    <t xml:space="preserve">070
Comercio al por mayor y en comisión o por contrata; comercio al por menor (incluso el comercio al por menor de combustibles); comercio de vehículos automotores y motocicletas, sus partes, piezas y accesorios</t>
  </si>
  <si>
    <t xml:space="preserve">COLvc047</t>
  </si>
  <si>
    <t xml:space="preserve">071
Mantenimiento y reparación de vehículos automotores y motocicletas</t>
  </si>
  <si>
    <t xml:space="preserve">COLvc048</t>
  </si>
  <si>
    <t xml:space="preserve">072 + 074
Transporte terrestre y transporte por tuberías</t>
  </si>
  <si>
    <t xml:space="preserve">COLvc049</t>
  </si>
  <si>
    <t xml:space="preserve">073
Transporte acuático</t>
  </si>
  <si>
    <t xml:space="preserve">COLvc050</t>
  </si>
  <si>
    <t xml:space="preserve">075
Transporte aéreo</t>
  </si>
  <si>
    <t xml:space="preserve">COLvc051</t>
  </si>
  <si>
    <t xml:space="preserve">076
Almacenamiento y actividades complementarias al transporte</t>
  </si>
  <si>
    <t xml:space="preserve">COLvc052</t>
  </si>
  <si>
    <t xml:space="preserve">077
Actividades de correo y de servicios de mensajería</t>
  </si>
  <si>
    <t xml:space="preserve">COLvc053</t>
  </si>
  <si>
    <t xml:space="preserve">I
Alojamiento y servicios de comida</t>
  </si>
  <si>
    <t xml:space="preserve">COLvc054</t>
  </si>
  <si>
    <t xml:space="preserve">J
Información y comunicaciones</t>
  </si>
  <si>
    <t xml:space="preserve">COLvc055</t>
  </si>
  <si>
    <t xml:space="preserve">K
Actividades financieras y de seguros</t>
  </si>
  <si>
    <t xml:space="preserve">COLvc056</t>
  </si>
  <si>
    <t xml:space="preserve">089
Actividades inmobiliarias</t>
  </si>
  <si>
    <t xml:space="preserve">COLvc057</t>
  </si>
  <si>
    <t xml:space="preserve">M
Actividades profesionales, científicas y técnicas</t>
  </si>
  <si>
    <t xml:space="preserve">COLvc058</t>
  </si>
  <si>
    <t xml:space="preserve">N
Actividades de servicios administrativos y de apoyo</t>
  </si>
  <si>
    <t xml:space="preserve">COLvc059</t>
  </si>
  <si>
    <t xml:space="preserve">O
Administración pública y defensa; planes de seguridad social de afiliación obligatoria</t>
  </si>
  <si>
    <t xml:space="preserve">COLvc060</t>
  </si>
  <si>
    <t xml:space="preserve">100
Educación de mercado</t>
  </si>
  <si>
    <t xml:space="preserve">COLvc061</t>
  </si>
  <si>
    <t xml:space="preserve">101
Educación de no mercado</t>
  </si>
  <si>
    <t xml:space="preserve">COLvc062</t>
  </si>
  <si>
    <t xml:space="preserve">Q
Actividades de atención de la salud humana y de servicios sociales</t>
  </si>
  <si>
    <t xml:space="preserve">COLvc063</t>
  </si>
  <si>
    <t xml:space="preserve">R + S
Actividades artísticas, de entretenimiento y recreación y otras actividades de servicios</t>
  </si>
  <si>
    <t xml:space="preserve">COLvc064</t>
  </si>
  <si>
    <t xml:space="preserve">109 Actividades de los hogares individuales en calidad de empleadores</t>
  </si>
  <si>
    <t xml:space="preserve">quadrant_code</t>
  </si>
  <si>
    <t xml:space="preserve">quadrant</t>
  </si>
  <si>
    <t xml:space="preserve">target_table</t>
  </si>
  <si>
    <t xml:space="preserve">cell_range</t>
  </si>
  <si>
    <t xml:space="preserve">excl_rows</t>
  </si>
  <si>
    <t xml:space="preserve">excl_cols</t>
  </si>
  <si>
    <t xml:space="preserve">q01</t>
  </si>
  <si>
    <t xml:space="preserve">Cuadro oferta</t>
  </si>
  <si>
    <t xml:space="preserve">t01</t>
  </si>
  <si>
    <t xml:space="preserve">C14:CB81</t>
  </si>
  <si>
    <t xml:space="preserve">1,8,70,71,72,73,74,75</t>
  </si>
  <si>
    <t xml:space="preserve">q02</t>
  </si>
  <si>
    <t xml:space="preserve">Cuadro utilización</t>
  </si>
  <si>
    <t xml:space="preserve">t02</t>
  </si>
  <si>
    <t xml:space="preserve">C15:EH82</t>
  </si>
  <si>
    <t xml:space="preserve">1,65:76,78:84,86:92,95:103,105:111,113:119,121:127,130:136</t>
  </si>
  <si>
    <t xml:space="preserve">q03</t>
  </si>
  <si>
    <t xml:space="preserve">Valor agregado</t>
  </si>
  <si>
    <t xml:space="preserve">t03</t>
  </si>
  <si>
    <t xml:space="preserve">C85:BN85</t>
  </si>
  <si>
    <t xml:space="preserve">1,2,3</t>
  </si>
  <si>
    <t xml:space="preserve">corr_ntg2</t>
  </si>
  <si>
    <t xml:space="preserve">id_area_columnas</t>
  </si>
  <si>
    <t xml:space="preserve">ATC01</t>
  </si>
  <si>
    <t xml:space="preserve">Producción / Consumo intermedio</t>
  </si>
  <si>
    <t xml:space="preserve">Producción</t>
  </si>
  <si>
    <t xml:space="preserve">P1</t>
  </si>
  <si>
    <t xml:space="preserve">P11</t>
  </si>
  <si>
    <t xml:space="preserve">Producción de mercado</t>
  </si>
  <si>
    <t xml:space="preserve">P12</t>
  </si>
  <si>
    <t xml:space="preserve">Producción para uso final propio</t>
  </si>
  <si>
    <t xml:space="preserve">P13</t>
  </si>
  <si>
    <t xml:space="preserve">Otra producción no de mercado</t>
  </si>
  <si>
    <t xml:space="preserve">Consumo</t>
  </si>
  <si>
    <t xml:space="preserve">P2</t>
  </si>
  <si>
    <t xml:space="preserve">Consumo intermedio de mercado</t>
  </si>
  <si>
    <t xml:space="preserve">P22</t>
  </si>
  <si>
    <t xml:space="preserve">Consumo intermedio para uso final propio</t>
  </si>
  <si>
    <t xml:space="preserve">P23</t>
  </si>
  <si>
    <t xml:space="preserve">Consumo intermedio no de mercado</t>
  </si>
  <si>
    <t xml:space="preserve">ATC06</t>
  </si>
  <si>
    <t xml:space="preserve">Gasto de consumo final de los hogares</t>
  </si>
  <si>
    <t xml:space="preserve">P3</t>
  </si>
  <si>
    <t xml:space="preserve">Consumo final</t>
  </si>
  <si>
    <t xml:space="preserve">Gasto de consumo ISFLH</t>
  </si>
  <si>
    <t xml:space="preserve">Pb31</t>
  </si>
  <si>
    <t xml:space="preserve">Gasto de consumo individual ISFLSH</t>
  </si>
  <si>
    <t xml:space="preserve">Pb32</t>
  </si>
  <si>
    <t xml:space="preserve">Gasto de consumo colectivo ISFLSH</t>
  </si>
  <si>
    <t xml:space="preserve">Pc30</t>
  </si>
  <si>
    <t xml:space="preserve">Gasto de consumo de gobierno</t>
  </si>
  <si>
    <t xml:space="preserve">Gasto de consumo individual de gobierno</t>
  </si>
  <si>
    <t xml:space="preserve">Gasto de consumo colectivo de gobierno</t>
  </si>
  <si>
    <t xml:space="preserve">P41</t>
  </si>
  <si>
    <t xml:space="preserve">Consumo individual efectivo</t>
  </si>
  <si>
    <t xml:space="preserve">P4</t>
  </si>
  <si>
    <t xml:space="preserve">Consumo final efectivo</t>
  </si>
  <si>
    <t xml:space="preserve">P42</t>
  </si>
  <si>
    <t xml:space="preserve">Consumo colectivo efectivo</t>
  </si>
  <si>
    <t xml:space="preserve">ATC07</t>
  </si>
  <si>
    <t xml:space="preserve">P5</t>
  </si>
  <si>
    <t xml:space="preserve">Formación de capital</t>
  </si>
  <si>
    <t xml:space="preserve">P51c</t>
  </si>
  <si>
    <t xml:space="preserve">Consumo de capital fijo</t>
  </si>
  <si>
    <t xml:space="preserve">Adquisiciones menos disposiciones de objetos valiosos</t>
  </si>
  <si>
    <t xml:space="preserve">P60</t>
  </si>
  <si>
    <t xml:space="preserve">ATC02</t>
  </si>
  <si>
    <t xml:space="preserve">Exportaciones / Importaciones</t>
  </si>
  <si>
    <t xml:space="preserve">Exportaciones de bienes y servicios</t>
  </si>
  <si>
    <t xml:space="preserve">P6</t>
  </si>
  <si>
    <t xml:space="preserve">Exportaciones de bienes</t>
  </si>
  <si>
    <t xml:space="preserve">Exportaciones de servicios</t>
  </si>
  <si>
    <t xml:space="preserve">P70</t>
  </si>
  <si>
    <t xml:space="preserve">Importaciones de bienes y servicios</t>
  </si>
  <si>
    <t xml:space="preserve">P7</t>
  </si>
  <si>
    <t xml:space="preserve">Importaciones de bienes</t>
  </si>
  <si>
    <t xml:space="preserve">Importaciones de servicios</t>
  </si>
  <si>
    <t xml:space="preserve">ATC03</t>
  </si>
  <si>
    <t xml:space="preserve">Ajuste CIF/FOB</t>
  </si>
  <si>
    <t xml:space="preserve">Ajuste CIF/FOB sobre importaciones</t>
  </si>
  <si>
    <t xml:space="preserve">ATC04</t>
  </si>
  <si>
    <t xml:space="preserve">Impuestos menos subvenciones sobre los productos</t>
  </si>
  <si>
    <t xml:space="preserve">Impuestos tipo valor agregado (IVA)</t>
  </si>
  <si>
    <t xml:space="preserve">D2</t>
  </si>
  <si>
    <t xml:space="preserve">Impuestos sobre la producción y las importaciones</t>
  </si>
  <si>
    <t xml:space="preserve">Impuestos y derechos sobre las importaciones excepto IVA</t>
  </si>
  <si>
    <t xml:space="preserve">D213</t>
  </si>
  <si>
    <t xml:space="preserve">Impuestos sobre las exportaciones</t>
  </si>
  <si>
    <t xml:space="preserve">Impuestos sobre los productos, excepto IVA e impuestos sobre las importaciones </t>
  </si>
  <si>
    <t xml:space="preserve">D291</t>
  </si>
  <si>
    <t xml:space="preserve">Otros impuestos sobre la producción </t>
  </si>
  <si>
    <t xml:space="preserve">D29</t>
  </si>
  <si>
    <t xml:space="preserve">D3</t>
  </si>
  <si>
    <t xml:space="preserve">Subvenciones</t>
  </si>
  <si>
    <t xml:space="preserve">D39</t>
  </si>
  <si>
    <t xml:space="preserve">ATCO4</t>
  </si>
  <si>
    <t xml:space="preserve">Otras subvenciones a la producción</t>
  </si>
  <si>
    <t xml:space="preserve">ATC05</t>
  </si>
  <si>
    <t xml:space="preserve">Márgenes de distribución</t>
  </si>
  <si>
    <t xml:space="preserve">M1</t>
  </si>
  <si>
    <t xml:space="preserve">M13</t>
  </si>
  <si>
    <t xml:space="preserve">Márgenes de distribución de electricidad</t>
  </si>
  <si>
    <t xml:space="preserve">Agricultura, ganadería, silvicultura y pesca</t>
  </si>
  <si>
    <t xml:space="preserve">Agricultura</t>
  </si>
  <si>
    <t xml:space="preserve">Agriculture, forestry and fishing</t>
  </si>
  <si>
    <t xml:space="preserve">Explotación de minas y canteras</t>
  </si>
  <si>
    <t xml:space="preserve">Minería</t>
  </si>
  <si>
    <t xml:space="preserve">Mining and quarrying</t>
  </si>
  <si>
    <t xml:space="preserve">Industrias manufactureras</t>
  </si>
  <si>
    <t xml:space="preserve">Manufacturas</t>
  </si>
  <si>
    <t xml:space="preserve">Manufacturing</t>
  </si>
  <si>
    <t xml:space="preserve">Suministro de electricidad, gas, vapor y aire acondicionado</t>
  </si>
  <si>
    <t xml:space="preserve">Servicios básicos</t>
  </si>
  <si>
    <t xml:space="preserve">Electricity, gas, steam and air conditioning supply</t>
  </si>
  <si>
    <t xml:space="preserve">Suministro de agua; evacuación de aguas residuales, gestión de desechos y descontaminación</t>
  </si>
  <si>
    <t xml:space="preserve">Suministro de agua</t>
  </si>
  <si>
    <t xml:space="preserve">Water supply; sewerage, waste management and remediation activities</t>
  </si>
  <si>
    <t xml:space="preserve">Construcción</t>
  </si>
  <si>
    <t xml:space="preserve">Construction</t>
  </si>
  <si>
    <t xml:space="preserve">Comercio al por mayor y al por menor; reparación de vehículos automotores y motocicletas</t>
  </si>
  <si>
    <t xml:space="preserve">Comercio</t>
  </si>
  <si>
    <t xml:space="preserve">Wholesale and retail trade; repair of motor vehicles and motorcycles</t>
  </si>
  <si>
    <t xml:space="preserve">Transporte y almacenamiento</t>
  </si>
  <si>
    <t xml:space="preserve">Transportation and storage</t>
  </si>
  <si>
    <t xml:space="preserve">Information and communication</t>
  </si>
  <si>
    <t xml:space="preserve">Actividades de alojamiento y de servicio de comidas</t>
  </si>
  <si>
    <t xml:space="preserve">Alojamiento y alimentación</t>
  </si>
  <si>
    <t xml:space="preserve">Accommodation and food service activities</t>
  </si>
  <si>
    <t xml:space="preserve">Finanzas y seguros</t>
  </si>
  <si>
    <t xml:space="preserve">Financial and insurance activities</t>
  </si>
  <si>
    <t xml:space="preserve">Inmobiliarios</t>
  </si>
  <si>
    <t xml:space="preserve">Real estate activities</t>
  </si>
  <si>
    <t xml:space="preserve">Servicios profesionales</t>
  </si>
  <si>
    <t xml:space="preserve">Professional, scientific and technical activities</t>
  </si>
  <si>
    <t xml:space="preserve">Servicios administrativos</t>
  </si>
  <si>
    <t xml:space="preserve">Administrative and support service activities</t>
  </si>
  <si>
    <t xml:space="preserve">Enseñanza</t>
  </si>
  <si>
    <t xml:space="preserve">Education</t>
  </si>
  <si>
    <t xml:space="preserve">Actividades de atención de la salud humana y de asistencia social</t>
  </si>
  <si>
    <t xml:space="preserve">Salud</t>
  </si>
  <si>
    <t xml:space="preserve">Human health and social work activities</t>
  </si>
  <si>
    <t xml:space="preserve">R</t>
  </si>
  <si>
    <t xml:space="preserve">Actividades artísticas, de entretenimiento y recreativas</t>
  </si>
  <si>
    <t xml:space="preserve">Recreación</t>
  </si>
  <si>
    <t xml:space="preserve">Arts, entertainment and recreation</t>
  </si>
  <si>
    <t xml:space="preserve">Otras actividades de servicios</t>
  </si>
  <si>
    <t xml:space="preserve">Other service activities</t>
  </si>
  <si>
    <t xml:space="preserve">Actividades de los hogares como empleadores; actividades no diferenciadas de los hogares como productores de bienes y servicios para uso propio</t>
  </si>
  <si>
    <t xml:space="preserve">Hogares como empleadores</t>
  </si>
  <si>
    <t xml:space="preserve">Activities of households as employers; undifferentiated goods- and services-producing activities of households for own use</t>
  </si>
  <si>
    <t xml:space="preserve">Administración pública</t>
  </si>
  <si>
    <t xml:space="preserve">Public administration and defence; compulsory social security</t>
  </si>
  <si>
    <t xml:space="preserve">Correlativo Bioeconomía Productos</t>
  </si>
  <si>
    <t xml:space="preserve">Bioeconomía Productos</t>
  </si>
  <si>
    <t xml:space="preserve">Electricidad y agua</t>
  </si>
  <si>
    <t xml:space="preserve">Extractos tintóreos o curtientes; taninos y sus derivados; materias colorantes n.c.p.</t>
  </si>
  <si>
    <t xml:space="preserve">Productos minerales naturales activados; negro animal; aceite de resina; aceites terpénicos producidos por tratamiento de madera de coníferas; dipenteno crudo; paracimeno crudo; aceite de pino; colofonia y ácidos resínicos, y sus derivados; esencias de colofonia y aceites de colofonia, alquitrán de madera; aceites de alquitrán de madera, creosota de madera, nafta de madera, resina vegetal</t>
  </si>
  <si>
    <t xml:space="preserve">Fertilizantes y pesticidas</t>
  </si>
  <si>
    <t xml:space="preserve">Pinturas y barnices y productos relacionados; colores para la pintura artística; tinta</t>
  </si>
  <si>
    <t xml:space="preserve">Otros productos químicos; Fibras textiles artificiales o sintéticas</t>
  </si>
  <si>
    <t xml:space="preserve">Productos farmacéuticos</t>
  </si>
  <si>
    <t xml:space="preserve">Jabón, preparados para la limpieza, perfumes y preparados de tocador</t>
  </si>
  <si>
    <t xml:space="preserve">ATF06</t>
  </si>
  <si>
    <t xml:space="preserve">ATF07</t>
  </si>
  <si>
    <t xml:space="preserve">Puestos de trabajo</t>
  </si>
  <si>
    <t xml:space="preserve">Detalle Transacciones</t>
  </si>
  <si>
    <t xml:space="preserve">Producción no de mercado</t>
  </si>
  <si>
    <t xml:space="preserve">Exportación de bienes</t>
  </si>
  <si>
    <t xml:space="preserve">Exportación de servicios</t>
  </si>
  <si>
    <t xml:space="preserve">Importación de bienes</t>
  </si>
  <si>
    <t xml:space="preserve">Importación de servicios</t>
  </si>
  <si>
    <t xml:space="preserve">Impuesto tipo Valor Agregado (IVA)</t>
  </si>
  <si>
    <t xml:space="preserve">Impuestos y derechos sobre importaciones exluyendo IVA</t>
  </si>
  <si>
    <t xml:space="preserve">Impuestos sobre la exportación</t>
  </si>
  <si>
    <t xml:space="preserve">Impuestos a los productos excluyendo IVA, impuestos a la importación</t>
  </si>
  <si>
    <t xml:space="preserve">P31</t>
  </si>
  <si>
    <t xml:space="preserve">Gasto de consumo final privado</t>
  </si>
  <si>
    <t xml:space="preserve">P32</t>
  </si>
  <si>
    <t xml:space="preserve">Gasto de consumo final público</t>
  </si>
  <si>
    <t xml:space="preserve">id_ntg2</t>
  </si>
  <si>
    <t xml:space="preserve">ntg2</t>
  </si>
  <si>
    <t xml:space="preserve">corr_ntg</t>
  </si>
  <si>
    <t xml:space="preserve">id_ntg</t>
  </si>
  <si>
    <t xml:space="preserve">ntg</t>
  </si>
  <si>
    <t xml:space="preserve">Nom_Loc_Prod_COL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</si>
</sst>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  <font>
      <sz val="9"/>
      <color rgb="FF000000"/>
      <name val="Segoe UI"/>
      <family val="2"/>
      <charset val="1"/>
    </font>
    <font>
      <sz val="11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8"/>
      <color theme="1"/>
      <name val="Segoe UI"/>
      <family val="2"/>
      <charset val="1"/>
    </font>
    <font>
      <sz val="11"/>
      <color rgb="FF444444"/>
      <name val="Calibri"/>
      <family val="2"/>
      <charset val="1"/>
    </font>
    <font>
      <b val="true"/>
      <sz val="8"/>
      <color rgb="FF000000"/>
      <name val="Segoe UI"/>
      <family val="2"/>
      <charset val="1"/>
    </font>
    <font>
      <sz val="7"/>
      <color rgb="FF000000"/>
      <name val="Segoe UI"/>
      <family val="2"/>
      <charset val="1"/>
    </font>
    <font>
      <b val="true"/>
      <sz val="9"/>
      <color rgb="FF000000"/>
      <name val="Segoe UI"/>
      <family val="2"/>
      <charset val="1"/>
    </font>
    <font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theme="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1"/>
        <bgColor rgb="FF003300"/>
      </patternFill>
    </fill>
    <fill>
      <patternFill patternType="solid">
        <fgColor theme="9" tint="0.3999"/>
        <bgColor rgb="FF99CCFF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5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0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12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0" fillId="3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3" borderId="1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2" fillId="3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1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9" activeCellId="0" sqref="B9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1" t="s">
        <v>2</v>
      </c>
      <c r="B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38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2" activeCellId="0" sqref="A2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0" width="36.09"/>
    <col collapsed="false" customWidth="true" hidden="false" outlineLevel="0" max="2" min="2" style="2" width="18.91"/>
    <col collapsed="false" customWidth="true" hidden="false" outlineLevel="0" max="3" min="3" style="2" width="36.09"/>
    <col collapsed="false" customWidth="true" hidden="false" outlineLevel="0" max="4" min="4" style="2" width="10.82"/>
    <col collapsed="false" customWidth="true" hidden="false" outlineLevel="0" max="5" min="5" style="2" width="10.18"/>
    <col collapsed="false" customWidth="true" hidden="false" outlineLevel="0" max="6" min="6" style="2" width="46.45"/>
    <col collapsed="false" customWidth="true" hidden="false" outlineLevel="0" max="7" min="7" style="2" width="34"/>
    <col collapsed="false" customWidth="true" hidden="false" outlineLevel="0" max="8" min="8" style="2" width="8.45"/>
    <col collapsed="false" customWidth="true" hidden="false" outlineLevel="0" max="10" min="9" style="2" width="6.18"/>
    <col collapsed="false" customWidth="true" hidden="false" outlineLevel="0" max="20" min="20" style="0" width="15.45"/>
  </cols>
  <sheetData>
    <row r="1" s="6" customFormat="true" ht="66.9" hidden="false" customHeight="false" outlineLevel="0" collapsed="false">
      <c r="A1" s="3" t="s">
        <v>1</v>
      </c>
      <c r="B1" s="4" t="s">
        <v>4</v>
      </c>
      <c r="C1" s="4" t="s">
        <v>5</v>
      </c>
      <c r="D1" s="4" t="s">
        <v>6</v>
      </c>
      <c r="E1" s="4" t="s">
        <v>7</v>
      </c>
      <c r="F1" s="4" t="s">
        <v>8</v>
      </c>
      <c r="G1" s="5" t="s">
        <v>9</v>
      </c>
      <c r="H1" s="5" t="s">
        <v>10</v>
      </c>
      <c r="I1" s="6" t="s">
        <v>11</v>
      </c>
      <c r="J1" s="6" t="s">
        <v>12</v>
      </c>
      <c r="K1" s="7" t="s">
        <v>13</v>
      </c>
      <c r="L1" s="7" t="s">
        <v>14</v>
      </c>
      <c r="M1" s="7" t="s">
        <v>15</v>
      </c>
      <c r="N1" s="7" t="s">
        <v>16</v>
      </c>
      <c r="O1" s="7" t="s">
        <v>17</v>
      </c>
      <c r="P1" s="7" t="s">
        <v>18</v>
      </c>
      <c r="Q1" s="7" t="s">
        <v>19</v>
      </c>
      <c r="R1" s="7" t="s">
        <v>20</v>
      </c>
      <c r="S1" s="7" t="s">
        <v>21</v>
      </c>
      <c r="T1" s="8" t="s">
        <v>22</v>
      </c>
    </row>
    <row r="2" customFormat="false" ht="14.25" hidden="false" customHeight="false" outlineLevel="0" collapsed="false">
      <c r="A2" s="9" t="s">
        <v>23</v>
      </c>
      <c r="B2" s="10" t="s">
        <v>24</v>
      </c>
      <c r="C2" s="10" t="str">
        <f aca="false">VLOOKUP(B2, at_filas!$A$2:$C$8,2,FALSE())</f>
        <v>Producción</v>
      </c>
      <c r="D2" s="10" t="n">
        <f aca="false">VLOOKUP(B2, at_filas!$A$2:$C$8,3,FALSE())</f>
        <v>1</v>
      </c>
      <c r="E2" s="11" t="n">
        <v>1</v>
      </c>
      <c r="F2" s="12" t="s">
        <v>25</v>
      </c>
      <c r="G2" s="2" t="s">
        <v>26</v>
      </c>
      <c r="H2" s="2" t="n">
        <v>0</v>
      </c>
      <c r="I2" s="2" t="s">
        <v>27</v>
      </c>
      <c r="J2" s="2" t="s">
        <v>28</v>
      </c>
      <c r="K2" s="13" t="n">
        <v>1</v>
      </c>
      <c r="L2" s="13" t="str">
        <f aca="false">VLOOKUP(K2,clasif_filas!$A$1:$J$39,2,FALSE())</f>
        <v>Productos de la agricultura, la horticultura y la jardinería comercial</v>
      </c>
      <c r="M2" s="13" t="n">
        <f aca="false">VLOOKUP(K2,clasif_filas!$A$1:$J$39,3,FALSE())</f>
        <v>1</v>
      </c>
      <c r="N2" s="13" t="str">
        <f aca="false">VLOOKUP(K2,clasif_filas!$A$1:$J$39,4,FALSE())</f>
        <v>Productos de la agricultura, la horticultura y la jardinería comercial</v>
      </c>
      <c r="O2" s="13" t="n">
        <f aca="false">VLOOKUP(K2,clasif_filas!$A$1:$J$39,5,FALSE())</f>
        <v>1</v>
      </c>
      <c r="P2" s="13" t="str">
        <f aca="false">VLOOKUP(K2,clasif_filas!$A$1:$J$39,6,FALSE())</f>
        <v>Biomasa que se cultiva para producir alimentos, forrajes, fibras y energía</v>
      </c>
      <c r="Q2" s="13" t="n">
        <f aca="false">VLOOKUP(K2,clasif_filas!$A$1:$J$39,7,FALSE())</f>
        <v>0</v>
      </c>
      <c r="R2" s="13" t="str">
        <f aca="false">VLOOKUP(K2,clasif_filas!$A$1:$J$39,8,FALSE())</f>
        <v>Productos de la agricultura, la silvicultura yla pesca</v>
      </c>
      <c r="S2" s="13" t="n">
        <f aca="false">VLOOKUP(K2,clasif_filas!$A$1:$J$39,9,FALSE())</f>
        <v>1</v>
      </c>
      <c r="T2" s="14" t="str">
        <f aca="false">VLOOKUP(K2,clasif_filas!$A$1:$J$39,10,FALSE())</f>
        <v>Bioeconomía</v>
      </c>
    </row>
    <row r="3" customFormat="false" ht="14.25" hidden="false" customHeight="false" outlineLevel="0" collapsed="false">
      <c r="A3" s="15" t="s">
        <v>29</v>
      </c>
      <c r="B3" s="2" t="s">
        <v>24</v>
      </c>
      <c r="C3" s="2" t="str">
        <f aca="false">VLOOKUP(B3, at_filas!$A$2:$C$8,2,FALSE())</f>
        <v>Producción</v>
      </c>
      <c r="D3" s="2" t="n">
        <f aca="false">VLOOKUP(B3, at_filas!$A$2:$C$8,3,FALSE())</f>
        <v>1</v>
      </c>
      <c r="E3" s="16" t="n">
        <v>2</v>
      </c>
      <c r="F3" s="17" t="s">
        <v>30</v>
      </c>
      <c r="G3" s="2" t="s">
        <v>26</v>
      </c>
      <c r="H3" s="2" t="n">
        <v>0</v>
      </c>
      <c r="I3" s="2" t="s">
        <v>27</v>
      </c>
      <c r="J3" s="2" t="s">
        <v>28</v>
      </c>
      <c r="K3" s="0" t="n">
        <v>2</v>
      </c>
      <c r="L3" s="0" t="str">
        <f aca="false">VLOOKUP(K3,clasif_filas!$A$1:$J$39,2,FALSE())</f>
        <v>Animales vivos y productos animales (excepto la carne)</v>
      </c>
      <c r="M3" s="0" t="n">
        <f aca="false">VLOOKUP(K3,clasif_filas!$A$1:$J$39,3,FALSE())</f>
        <v>2</v>
      </c>
      <c r="N3" s="0" t="str">
        <f aca="false">VLOOKUP(K3,clasif_filas!$A$1:$J$39,4,FALSE())</f>
        <v>Animales vivos y productos animales (excepto la carne)</v>
      </c>
      <c r="O3" s="0" t="n">
        <f aca="false">VLOOKUP(K3,clasif_filas!$A$1:$J$39,5,FALSE())</f>
        <v>1</v>
      </c>
      <c r="P3" s="0" t="str">
        <f aca="false">VLOOKUP(K3,clasif_filas!$A$1:$J$39,6,FALSE())</f>
        <v>Biomasa que se cultiva para producir alimentos, forrajes, fibras y energía</v>
      </c>
      <c r="Q3" s="0" t="n">
        <f aca="false">VLOOKUP(K3,clasif_filas!$A$1:$J$39,7,FALSE())</f>
        <v>0</v>
      </c>
      <c r="R3" s="0" t="str">
        <f aca="false">VLOOKUP(K3,clasif_filas!$A$1:$J$39,8,FALSE())</f>
        <v>Productos de la agricultura, la silvicultura yla pesca</v>
      </c>
      <c r="S3" s="0" t="n">
        <f aca="false">VLOOKUP(K3,clasif_filas!$A$1:$J$39,9,FALSE())</f>
        <v>1</v>
      </c>
      <c r="T3" s="18" t="str">
        <f aca="false">VLOOKUP(K3,clasif_filas!$A$1:$J$39,10,FALSE())</f>
        <v>Bioeconomía</v>
      </c>
    </row>
    <row r="4" customFormat="false" ht="14.25" hidden="false" customHeight="false" outlineLevel="0" collapsed="false">
      <c r="A4" s="15" t="s">
        <v>31</v>
      </c>
      <c r="B4" s="2" t="s">
        <v>24</v>
      </c>
      <c r="C4" s="2" t="str">
        <f aca="false">VLOOKUP(B4, at_filas!$A$2:$C$8,2,FALSE())</f>
        <v>Producción</v>
      </c>
      <c r="D4" s="2" t="n">
        <f aca="false">VLOOKUP(B4, at_filas!$A$2:$C$8,3,FALSE())</f>
        <v>1</v>
      </c>
      <c r="E4" s="16" t="n">
        <v>3</v>
      </c>
      <c r="F4" s="17" t="s">
        <v>32</v>
      </c>
      <c r="G4" s="2" t="s">
        <v>33</v>
      </c>
      <c r="H4" s="2" t="n">
        <v>1</v>
      </c>
      <c r="I4" s="2" t="s">
        <v>27</v>
      </c>
      <c r="J4" s="2" t="s">
        <v>33</v>
      </c>
      <c r="K4" s="0" t="n">
        <v>3</v>
      </c>
      <c r="L4" s="0" t="str">
        <f aca="false">VLOOKUP(K4,clasif_filas!$A$1:$J$39,2,FALSE())</f>
        <v>Productos forestales y de la tala</v>
      </c>
      <c r="M4" s="0" t="n">
        <f aca="false">VLOOKUP(K4,clasif_filas!$A$1:$J$39,3,FALSE())</f>
        <v>3</v>
      </c>
      <c r="N4" s="0" t="str">
        <f aca="false">VLOOKUP(K4,clasif_filas!$A$1:$J$39,4,FALSE())</f>
        <v>Productos forestales y de la tala</v>
      </c>
      <c r="O4" s="0" t="n">
        <f aca="false">VLOOKUP(K4,clasif_filas!$A$1:$J$39,5,FALSE())</f>
        <v>3</v>
      </c>
      <c r="P4" s="0" t="str">
        <f aca="false">VLOOKUP(K4,clasif_filas!$A$1:$J$39,6,FALSE())</f>
        <v>Biomasa forestal, sobre todo la que se cultiva para su aprovechamiento en las industrias forestal y del papel, y aquella extraída legalmente de ecosistemas naturales</v>
      </c>
      <c r="Q4" s="0" t="n">
        <f aca="false">VLOOKUP(K4,clasif_filas!$A$1:$J$39,7,FALSE())</f>
        <v>0</v>
      </c>
      <c r="R4" s="0" t="str">
        <f aca="false">VLOOKUP(K4,clasif_filas!$A$1:$J$39,8,FALSE())</f>
        <v>Productos de la agricultura, la silvicultura yla pesca</v>
      </c>
      <c r="S4" s="0" t="n">
        <f aca="false">VLOOKUP(K4,clasif_filas!$A$1:$J$39,9,FALSE())</f>
        <v>1</v>
      </c>
      <c r="T4" s="18" t="str">
        <f aca="false">VLOOKUP(K4,clasif_filas!$A$1:$J$39,10,FALSE())</f>
        <v>Bioeconomía</v>
      </c>
    </row>
    <row r="5" customFormat="false" ht="14.25" hidden="false" customHeight="false" outlineLevel="0" collapsed="false">
      <c r="A5" s="15" t="s">
        <v>34</v>
      </c>
      <c r="B5" s="2" t="s">
        <v>24</v>
      </c>
      <c r="C5" s="2" t="str">
        <f aca="false">VLOOKUP(B5, at_filas!$A$2:$C$8,2,FALSE())</f>
        <v>Producción</v>
      </c>
      <c r="D5" s="2" t="n">
        <f aca="false">VLOOKUP(B5, at_filas!$A$2:$C$8,3,FALSE())</f>
        <v>1</v>
      </c>
      <c r="E5" s="16" t="n">
        <v>4</v>
      </c>
      <c r="F5" s="17" t="s">
        <v>35</v>
      </c>
      <c r="G5" s="2" t="s">
        <v>26</v>
      </c>
      <c r="H5" s="2" t="n">
        <v>1</v>
      </c>
      <c r="I5" s="2" t="s">
        <v>27</v>
      </c>
      <c r="J5" s="2" t="s">
        <v>28</v>
      </c>
      <c r="K5" s="0" t="n">
        <v>4</v>
      </c>
      <c r="L5" s="0" t="str">
        <f aca="false">VLOOKUP(K5,clasif_filas!$A$1:$J$39,2,FALSE())</f>
        <v>Pescado y otros productos de la pesca</v>
      </c>
      <c r="M5" s="0" t="n">
        <f aca="false">VLOOKUP(K5,clasif_filas!$A$1:$J$39,3,FALSE())</f>
        <v>4</v>
      </c>
      <c r="N5" s="0" t="str">
        <f aca="false">VLOOKUP(K5,clasif_filas!$A$1:$J$39,4,FALSE())</f>
        <v>Pescado y otros productos de la pesca</v>
      </c>
      <c r="O5" s="0" t="n">
        <f aca="false">VLOOKUP(K5,clasif_filas!$A$1:$J$39,5,FALSE())</f>
        <v>2</v>
      </c>
      <c r="P5" s="0" t="str">
        <f aca="false">VLOOKUP(K5,clasif_filas!$A$1:$J$39,6,FALSE())</f>
        <v>Biomasa de los recursos marinos y la producida mediante la acuicultura</v>
      </c>
      <c r="Q5" s="0" t="n">
        <f aca="false">VLOOKUP(K5,clasif_filas!$A$1:$J$39,7,FALSE())</f>
        <v>0</v>
      </c>
      <c r="R5" s="0" t="str">
        <f aca="false">VLOOKUP(K5,clasif_filas!$A$1:$J$39,8,FALSE())</f>
        <v>Productos de la agricultura, la silvicultura yla pesca</v>
      </c>
      <c r="S5" s="0" t="n">
        <f aca="false">VLOOKUP(K5,clasif_filas!$A$1:$J$39,9,FALSE())</f>
        <v>1</v>
      </c>
      <c r="T5" s="18" t="str">
        <f aca="false">VLOOKUP(K5,clasif_filas!$A$1:$J$39,10,FALSE())</f>
        <v>Bioeconomía</v>
      </c>
    </row>
    <row r="6" customFormat="false" ht="14.25" hidden="false" customHeight="false" outlineLevel="0" collapsed="false">
      <c r="A6" s="15" t="s">
        <v>36</v>
      </c>
      <c r="B6" s="2" t="s">
        <v>24</v>
      </c>
      <c r="C6" s="2" t="str">
        <f aca="false">VLOOKUP(B6, at_filas!$A$2:$C$8,2,FALSE())</f>
        <v>Producción</v>
      </c>
      <c r="D6" s="2" t="n">
        <f aca="false">VLOOKUP(B6, at_filas!$A$2:$C$8,3,FALSE())</f>
        <v>1</v>
      </c>
      <c r="E6" s="16" t="n">
        <v>11</v>
      </c>
      <c r="F6" s="17" t="s">
        <v>37</v>
      </c>
      <c r="G6" s="2" t="s">
        <v>38</v>
      </c>
      <c r="H6" s="2" t="n">
        <v>4</v>
      </c>
      <c r="I6" s="2" t="s">
        <v>38</v>
      </c>
      <c r="J6" s="2" t="s">
        <v>38</v>
      </c>
      <c r="K6" s="0" t="n">
        <v>11</v>
      </c>
      <c r="L6" s="0" t="str">
        <f aca="false">VLOOKUP(K6,clasif_filas!$A$1:$J$39,2,FALSE())</f>
        <v>Minerales, combustibles y derivados</v>
      </c>
      <c r="M6" s="0" t="n">
        <f aca="false">VLOOKUP(K6,clasif_filas!$A$1:$J$39,3,FALSE())</f>
        <v>11</v>
      </c>
      <c r="N6" s="0" t="str">
        <f aca="false">VLOOKUP(K6,clasif_filas!$A$1:$J$39,4,FALSE())</f>
        <v>Minerales, combustibles y derivados</v>
      </c>
      <c r="O6" s="0" t="n">
        <f aca="false">VLOOKUP(K6,clasif_filas!$A$1:$J$39,5,FALSE())</f>
        <v>99</v>
      </c>
      <c r="P6" s="0" t="str">
        <f aca="false">VLOOKUP(K6,clasif_filas!$A$1:$J$39,6,FALSE())</f>
        <v>No Bioeconomía</v>
      </c>
      <c r="Q6" s="0" t="n">
        <f aca="false">VLOOKUP(K6,clasif_filas!$A$1:$J$39,7,FALSE())</f>
        <v>1</v>
      </c>
      <c r="R6" s="0" t="str">
        <f aca="false">VLOOKUP(K6,clasif_filas!$A$1:$J$39,8,FALSE())</f>
        <v>Minerales; electricidad, gas y agua</v>
      </c>
      <c r="S6" s="0" t="n">
        <f aca="false">VLOOKUP(K6,clasif_filas!$A$1:$J$39,9,FALSE())</f>
        <v>3</v>
      </c>
      <c r="T6" s="18" t="str">
        <f aca="false">VLOOKUP(K6,clasif_filas!$A$1:$J$39,10,FALSE())</f>
        <v>No bioeconomía</v>
      </c>
    </row>
    <row r="7" customFormat="false" ht="25.55" hidden="false" customHeight="false" outlineLevel="0" collapsed="false">
      <c r="A7" s="15" t="s">
        <v>39</v>
      </c>
      <c r="B7" s="2" t="s">
        <v>24</v>
      </c>
      <c r="C7" s="2" t="str">
        <f aca="false">VLOOKUP(B7, at_filas!$A$2:$C$8,2,FALSE())</f>
        <v>Producción</v>
      </c>
      <c r="D7" s="2" t="n">
        <f aca="false">VLOOKUP(B7, at_filas!$A$2:$C$8,3,FALSE())</f>
        <v>1</v>
      </c>
      <c r="E7" s="16" t="s">
        <v>40</v>
      </c>
      <c r="F7" s="17" t="s">
        <v>41</v>
      </c>
      <c r="G7" s="2" t="s">
        <v>38</v>
      </c>
      <c r="H7" s="2" t="n">
        <v>4</v>
      </c>
      <c r="I7" s="2" t="s">
        <v>38</v>
      </c>
      <c r="J7" s="2" t="s">
        <v>38</v>
      </c>
      <c r="K7" s="0" t="n">
        <v>11</v>
      </c>
      <c r="L7" s="0" t="str">
        <f aca="false">VLOOKUP(K7,clasif_filas!$A$1:$J$39,2,FALSE())</f>
        <v>Minerales, combustibles y derivados</v>
      </c>
      <c r="M7" s="0" t="n">
        <f aca="false">VLOOKUP(K7,clasif_filas!$A$1:$J$39,3,FALSE())</f>
        <v>11</v>
      </c>
      <c r="N7" s="0" t="str">
        <f aca="false">VLOOKUP(K7,clasif_filas!$A$1:$J$39,4,FALSE())</f>
        <v>Minerales, combustibles y derivados</v>
      </c>
      <c r="O7" s="0" t="n">
        <f aca="false">VLOOKUP(K7,clasif_filas!$A$1:$J$39,5,FALSE())</f>
        <v>99</v>
      </c>
      <c r="P7" s="0" t="str">
        <f aca="false">VLOOKUP(K7,clasif_filas!$A$1:$J$39,6,FALSE())</f>
        <v>No Bioeconomía</v>
      </c>
      <c r="Q7" s="0" t="n">
        <f aca="false">VLOOKUP(K7,clasif_filas!$A$1:$J$39,7,FALSE())</f>
        <v>1</v>
      </c>
      <c r="R7" s="0" t="str">
        <f aca="false">VLOOKUP(K7,clasif_filas!$A$1:$J$39,8,FALSE())</f>
        <v>Minerales; electricidad, gas y agua</v>
      </c>
      <c r="S7" s="0" t="n">
        <f aca="false">VLOOKUP(K7,clasif_filas!$A$1:$J$39,9,FALSE())</f>
        <v>3</v>
      </c>
      <c r="T7" s="18" t="str">
        <f aca="false">VLOOKUP(K7,clasif_filas!$A$1:$J$39,10,FALSE())</f>
        <v>No bioeconomía</v>
      </c>
    </row>
    <row r="8" customFormat="false" ht="14.25" hidden="false" customHeight="false" outlineLevel="0" collapsed="false">
      <c r="A8" s="15" t="s">
        <v>42</v>
      </c>
      <c r="B8" s="2" t="s">
        <v>24</v>
      </c>
      <c r="C8" s="2" t="str">
        <f aca="false">VLOOKUP(B8, at_filas!$A$2:$C$8,2,FALSE())</f>
        <v>Producción</v>
      </c>
      <c r="D8" s="2" t="n">
        <f aca="false">VLOOKUP(B8, at_filas!$A$2:$C$8,3,FALSE())</f>
        <v>1</v>
      </c>
      <c r="E8" s="16" t="n">
        <v>14</v>
      </c>
      <c r="F8" s="17" t="s">
        <v>43</v>
      </c>
      <c r="G8" s="2" t="s">
        <v>38</v>
      </c>
      <c r="H8" s="2" t="n">
        <v>4</v>
      </c>
      <c r="I8" s="2" t="s">
        <v>38</v>
      </c>
      <c r="J8" s="2" t="s">
        <v>38</v>
      </c>
      <c r="K8" s="0" t="n">
        <v>11</v>
      </c>
      <c r="L8" s="0" t="str">
        <f aca="false">VLOOKUP(K8,clasif_filas!$A$1:$J$39,2,FALSE())</f>
        <v>Minerales, combustibles y derivados</v>
      </c>
      <c r="M8" s="0" t="n">
        <f aca="false">VLOOKUP(K8,clasif_filas!$A$1:$J$39,3,FALSE())</f>
        <v>11</v>
      </c>
      <c r="N8" s="0" t="str">
        <f aca="false">VLOOKUP(K8,clasif_filas!$A$1:$J$39,4,FALSE())</f>
        <v>Minerales, combustibles y derivados</v>
      </c>
      <c r="O8" s="0" t="n">
        <f aca="false">VLOOKUP(K8,clasif_filas!$A$1:$J$39,5,FALSE())</f>
        <v>99</v>
      </c>
      <c r="P8" s="0" t="str">
        <f aca="false">VLOOKUP(K8,clasif_filas!$A$1:$J$39,6,FALSE())</f>
        <v>No Bioeconomía</v>
      </c>
      <c r="Q8" s="0" t="n">
        <f aca="false">VLOOKUP(K8,clasif_filas!$A$1:$J$39,7,FALSE())</f>
        <v>1</v>
      </c>
      <c r="R8" s="0" t="str">
        <f aca="false">VLOOKUP(K8,clasif_filas!$A$1:$J$39,8,FALSE())</f>
        <v>Minerales; electricidad, gas y agua</v>
      </c>
      <c r="S8" s="0" t="n">
        <f aca="false">VLOOKUP(K8,clasif_filas!$A$1:$J$39,9,FALSE())</f>
        <v>3</v>
      </c>
      <c r="T8" s="18" t="str">
        <f aca="false">VLOOKUP(K8,clasif_filas!$A$1:$J$39,10,FALSE())</f>
        <v>No bioeconomía</v>
      </c>
    </row>
    <row r="9" customFormat="false" ht="14.25" hidden="false" customHeight="false" outlineLevel="0" collapsed="false">
      <c r="A9" s="15" t="s">
        <v>44</v>
      </c>
      <c r="B9" s="2" t="s">
        <v>24</v>
      </c>
      <c r="C9" s="2" t="str">
        <f aca="false">VLOOKUP(B9, at_filas!$A$2:$C$8,2,FALSE())</f>
        <v>Producción</v>
      </c>
      <c r="D9" s="2" t="n">
        <f aca="false">VLOOKUP(B9, at_filas!$A$2:$C$8,3,FALSE())</f>
        <v>1</v>
      </c>
      <c r="E9" s="16" t="n">
        <v>15</v>
      </c>
      <c r="F9" s="17" t="s">
        <v>45</v>
      </c>
      <c r="G9" s="2" t="s">
        <v>38</v>
      </c>
      <c r="H9" s="2" t="n">
        <v>4</v>
      </c>
      <c r="I9" s="2" t="s">
        <v>38</v>
      </c>
      <c r="J9" s="2" t="s">
        <v>38</v>
      </c>
      <c r="K9" s="0" t="n">
        <v>11</v>
      </c>
      <c r="L9" s="0" t="str">
        <f aca="false">VLOOKUP(K9,clasif_filas!$A$1:$J$39,2,FALSE())</f>
        <v>Minerales, combustibles y derivados</v>
      </c>
      <c r="M9" s="0" t="n">
        <f aca="false">VLOOKUP(K9,clasif_filas!$A$1:$J$39,3,FALSE())</f>
        <v>11</v>
      </c>
      <c r="N9" s="0" t="str">
        <f aca="false">VLOOKUP(K9,clasif_filas!$A$1:$J$39,4,FALSE())</f>
        <v>Minerales, combustibles y derivados</v>
      </c>
      <c r="O9" s="0" t="n">
        <f aca="false">VLOOKUP(K9,clasif_filas!$A$1:$J$39,5,FALSE())</f>
        <v>99</v>
      </c>
      <c r="P9" s="0" t="str">
        <f aca="false">VLOOKUP(K9,clasif_filas!$A$1:$J$39,6,FALSE())</f>
        <v>No Bioeconomía</v>
      </c>
      <c r="Q9" s="0" t="n">
        <f aca="false">VLOOKUP(K9,clasif_filas!$A$1:$J$39,7,FALSE())</f>
        <v>1</v>
      </c>
      <c r="R9" s="0" t="str">
        <f aca="false">VLOOKUP(K9,clasif_filas!$A$1:$J$39,8,FALSE())</f>
        <v>Minerales; electricidad, gas y agua</v>
      </c>
      <c r="S9" s="0" t="n">
        <f aca="false">VLOOKUP(K9,clasif_filas!$A$1:$J$39,9,FALSE())</f>
        <v>3</v>
      </c>
      <c r="T9" s="18" t="str">
        <f aca="false">VLOOKUP(K9,clasif_filas!$A$1:$J$39,10,FALSE())</f>
        <v>No bioeconomía</v>
      </c>
    </row>
    <row r="10" customFormat="false" ht="14.25" hidden="false" customHeight="false" outlineLevel="0" collapsed="false">
      <c r="A10" s="15" t="s">
        <v>46</v>
      </c>
      <c r="B10" s="2" t="s">
        <v>24</v>
      </c>
      <c r="C10" s="2" t="str">
        <f aca="false">VLOOKUP(B10, at_filas!$A$2:$C$8,2,FALSE())</f>
        <v>Producción</v>
      </c>
      <c r="D10" s="2" t="n">
        <f aca="false">VLOOKUP(B10, at_filas!$A$2:$C$8,3,FALSE())</f>
        <v>1</v>
      </c>
      <c r="E10" s="16" t="n">
        <v>16</v>
      </c>
      <c r="F10" s="17" t="s">
        <v>47</v>
      </c>
      <c r="G10" s="2" t="s">
        <v>38</v>
      </c>
      <c r="H10" s="2" t="n">
        <v>4</v>
      </c>
      <c r="I10" s="2" t="s">
        <v>38</v>
      </c>
      <c r="J10" s="2" t="s">
        <v>38</v>
      </c>
      <c r="K10" s="0" t="n">
        <v>11</v>
      </c>
      <c r="L10" s="0" t="str">
        <f aca="false">VLOOKUP(K10,clasif_filas!$A$1:$J$39,2,FALSE())</f>
        <v>Minerales, combustibles y derivados</v>
      </c>
      <c r="M10" s="0" t="n">
        <f aca="false">VLOOKUP(K10,clasif_filas!$A$1:$J$39,3,FALSE())</f>
        <v>11</v>
      </c>
      <c r="N10" s="0" t="str">
        <f aca="false">VLOOKUP(K10,clasif_filas!$A$1:$J$39,4,FALSE())</f>
        <v>Minerales, combustibles y derivados</v>
      </c>
      <c r="O10" s="0" t="n">
        <f aca="false">VLOOKUP(K10,clasif_filas!$A$1:$J$39,5,FALSE())</f>
        <v>99</v>
      </c>
      <c r="P10" s="0" t="str">
        <f aca="false">VLOOKUP(K10,clasif_filas!$A$1:$J$39,6,FALSE())</f>
        <v>No Bioeconomía</v>
      </c>
      <c r="Q10" s="0" t="n">
        <f aca="false">VLOOKUP(K10,clasif_filas!$A$1:$J$39,7,FALSE())</f>
        <v>1</v>
      </c>
      <c r="R10" s="0" t="str">
        <f aca="false">VLOOKUP(K10,clasif_filas!$A$1:$J$39,8,FALSE())</f>
        <v>Minerales; electricidad, gas y agua</v>
      </c>
      <c r="S10" s="0" t="n">
        <f aca="false">VLOOKUP(K10,clasif_filas!$A$1:$J$39,9,FALSE())</f>
        <v>3</v>
      </c>
      <c r="T10" s="18" t="str">
        <f aca="false">VLOOKUP(K10,clasif_filas!$A$1:$J$39,10,FALSE())</f>
        <v>No bioeconomía</v>
      </c>
    </row>
    <row r="11" customFormat="false" ht="14.25" hidden="false" customHeight="false" outlineLevel="0" collapsed="false">
      <c r="A11" s="15" t="s">
        <v>48</v>
      </c>
      <c r="B11" s="2" t="s">
        <v>24</v>
      </c>
      <c r="C11" s="2" t="str">
        <f aca="false">VLOOKUP(B11, at_filas!$A$2:$C$8,2,FALSE())</f>
        <v>Producción</v>
      </c>
      <c r="D11" s="2" t="n">
        <f aca="false">VLOOKUP(B11, at_filas!$A$2:$C$8,3,FALSE())</f>
        <v>1</v>
      </c>
      <c r="E11" s="16" t="n">
        <v>17</v>
      </c>
      <c r="F11" s="17" t="s">
        <v>49</v>
      </c>
      <c r="G11" s="2" t="s">
        <v>38</v>
      </c>
      <c r="H11" s="2" t="n">
        <v>4</v>
      </c>
      <c r="I11" s="2" t="s">
        <v>38</v>
      </c>
      <c r="J11" s="2" t="s">
        <v>38</v>
      </c>
      <c r="K11" s="0" t="n">
        <v>11</v>
      </c>
      <c r="L11" s="0" t="str">
        <f aca="false">VLOOKUP(K11,clasif_filas!$A$1:$J$39,2,FALSE())</f>
        <v>Minerales, combustibles y derivados</v>
      </c>
      <c r="M11" s="0" t="n">
        <f aca="false">VLOOKUP(K11,clasif_filas!$A$1:$J$39,3,FALSE())</f>
        <v>11</v>
      </c>
      <c r="N11" s="0" t="str">
        <f aca="false">VLOOKUP(K11,clasif_filas!$A$1:$J$39,4,FALSE())</f>
        <v>Minerales, combustibles y derivados</v>
      </c>
      <c r="O11" s="0" t="n">
        <f aca="false">VLOOKUP(K11,clasif_filas!$A$1:$J$39,5,FALSE())</f>
        <v>99</v>
      </c>
      <c r="P11" s="0" t="str">
        <f aca="false">VLOOKUP(K11,clasif_filas!$A$1:$J$39,6,FALSE())</f>
        <v>No Bioeconomía</v>
      </c>
      <c r="Q11" s="0" t="n">
        <f aca="false">VLOOKUP(K11,clasif_filas!$A$1:$J$39,7,FALSE())</f>
        <v>1</v>
      </c>
      <c r="R11" s="0" t="str">
        <f aca="false">VLOOKUP(K11,clasif_filas!$A$1:$J$39,8,FALSE())</f>
        <v>Minerales; electricidad, gas y agua</v>
      </c>
      <c r="S11" s="0" t="n">
        <f aca="false">VLOOKUP(K11,clasif_filas!$A$1:$J$39,9,FALSE())</f>
        <v>3</v>
      </c>
      <c r="T11" s="18" t="str">
        <f aca="false">VLOOKUP(K11,clasif_filas!$A$1:$J$39,10,FALSE())</f>
        <v>No bioeconomía</v>
      </c>
    </row>
    <row r="12" customFormat="false" ht="14.25" hidden="false" customHeight="false" outlineLevel="0" collapsed="false">
      <c r="A12" s="15" t="s">
        <v>50</v>
      </c>
      <c r="B12" s="2" t="s">
        <v>24</v>
      </c>
      <c r="C12" s="2" t="str">
        <f aca="false">VLOOKUP(B12, at_filas!$A$2:$C$8,2,FALSE())</f>
        <v>Producción</v>
      </c>
      <c r="D12" s="2" t="n">
        <f aca="false">VLOOKUP(B12, at_filas!$A$2:$C$8,3,FALSE())</f>
        <v>1</v>
      </c>
      <c r="E12" s="16" t="n">
        <v>18</v>
      </c>
      <c r="F12" s="17" t="s">
        <v>51</v>
      </c>
      <c r="G12" s="2" t="s">
        <v>33</v>
      </c>
      <c r="H12" s="2" t="n">
        <v>1</v>
      </c>
      <c r="I12" s="2" t="s">
        <v>27</v>
      </c>
      <c r="J12" s="2" t="s">
        <v>33</v>
      </c>
      <c r="K12" s="0" t="n">
        <v>18</v>
      </c>
      <c r="L12" s="0" t="str">
        <f aca="false">VLOOKUP(K12,clasif_filas!$A$1:$J$39,2,FALSE())</f>
        <v>Agua natural</v>
      </c>
      <c r="M12" s="0" t="n">
        <f aca="false">VLOOKUP(K12,clasif_filas!$A$1:$J$39,3,FALSE())</f>
        <v>18</v>
      </c>
      <c r="N12" s="0" t="str">
        <f aca="false">VLOOKUP(K12,clasif_filas!$A$1:$J$39,4,FALSE())</f>
        <v>Agua natural</v>
      </c>
      <c r="O12" s="0" t="n">
        <f aca="false">VLOOKUP(K12,clasif_filas!$A$1:$J$39,5,FALSE())</f>
        <v>6</v>
      </c>
      <c r="P12" s="0" t="str">
        <f aca="false">VLOOKUP(K12,clasif_filas!$A$1:$J$39,6,FALSE())</f>
        <v>Conocimiento, procesos y servicios relacionados</v>
      </c>
      <c r="Q12" s="0" t="n">
        <f aca="false">VLOOKUP(K12,clasif_filas!$A$1:$J$39,7,FALSE())</f>
        <v>1</v>
      </c>
      <c r="R12" s="0" t="str">
        <f aca="false">VLOOKUP(K12,clasif_filas!$A$1:$J$39,8,FALSE())</f>
        <v>Minerales; electricidad, gas y agua</v>
      </c>
      <c r="S12" s="0" t="n">
        <f aca="false">VLOOKUP(K12,clasif_filas!$A$1:$J$39,9,FALSE())</f>
        <v>2</v>
      </c>
      <c r="T12" s="18" t="str">
        <f aca="false">VLOOKUP(K12,clasif_filas!$A$1:$J$39,10,FALSE())</f>
        <v>Bioeconomía extendida</v>
      </c>
    </row>
    <row r="13" customFormat="false" ht="14.25" hidden="false" customHeight="false" outlineLevel="0" collapsed="false">
      <c r="A13" s="15" t="s">
        <v>52</v>
      </c>
      <c r="B13" s="2" t="s">
        <v>24</v>
      </c>
      <c r="C13" s="2" t="str">
        <f aca="false">VLOOKUP(B13, at_filas!$A$2:$C$8,2,FALSE())</f>
        <v>Producción</v>
      </c>
      <c r="D13" s="2" t="n">
        <f aca="false">VLOOKUP(B13, at_filas!$A$2:$C$8,3,FALSE())</f>
        <v>1</v>
      </c>
      <c r="E13" s="16" t="n">
        <v>21</v>
      </c>
      <c r="F13" s="17" t="s">
        <v>53</v>
      </c>
      <c r="G13" s="2" t="s">
        <v>54</v>
      </c>
      <c r="H13" s="2" t="n">
        <v>2</v>
      </c>
      <c r="I13" s="2" t="s">
        <v>55</v>
      </c>
      <c r="J13" s="2" t="s">
        <v>56</v>
      </c>
      <c r="K13" s="0" t="n">
        <v>21</v>
      </c>
      <c r="L13" s="0" t="str">
        <f aca="false">VLOOKUP(K13,clasif_filas!$A$1:$J$39,2,FALSE())</f>
        <v>Carne, pescado, frutas, vegetales, aceites y grasas</v>
      </c>
      <c r="M13" s="0" t="n">
        <f aca="false">VLOOKUP(K13,clasif_filas!$A$1:$J$39,3,FALSE())</f>
        <v>21</v>
      </c>
      <c r="N13" s="0" t="str">
        <f aca="false">VLOOKUP(K13,clasif_filas!$A$1:$J$39,4,FALSE())</f>
        <v>Carne, pescado, frutas, vegetales, aceites y grasas</v>
      </c>
      <c r="O13" s="0" t="n">
        <f aca="false">VLOOKUP(K13,clasif_filas!$A$1:$J$39,5,FALSE())</f>
        <v>6</v>
      </c>
      <c r="P13" s="0" t="str">
        <f aca="false">VLOOKUP(K13,clasif_filas!$A$1:$J$39,6,FALSE())</f>
        <v>Conocimiento, procesos y servicios relacionados</v>
      </c>
      <c r="Q13" s="0" t="n">
        <f aca="false">VLOOKUP(K13,clasif_filas!$A$1:$J$39,7,FALSE())</f>
        <v>2</v>
      </c>
      <c r="R13" s="0" t="str">
        <f aca="false">VLOOKUP(K13,clasif_filas!$A$1:$J$39,8,FALSE())</f>
        <v>Productos alimenticios, bebidas y tabaco; textiles, prendas de vestir y productos de cuero</v>
      </c>
      <c r="S13" s="0" t="n">
        <f aca="false">VLOOKUP(K13,clasif_filas!$A$1:$J$39,9,FALSE())</f>
        <v>1</v>
      </c>
      <c r="T13" s="18" t="str">
        <f aca="false">VLOOKUP(K13,clasif_filas!$A$1:$J$39,10,FALSE())</f>
        <v>Bioeconomía</v>
      </c>
    </row>
    <row r="14" customFormat="false" ht="14.25" hidden="false" customHeight="false" outlineLevel="0" collapsed="false">
      <c r="A14" s="15" t="s">
        <v>57</v>
      </c>
      <c r="B14" s="2" t="s">
        <v>24</v>
      </c>
      <c r="C14" s="2" t="str">
        <f aca="false">VLOOKUP(B14, at_filas!$A$2:$C$8,2,FALSE())</f>
        <v>Producción</v>
      </c>
      <c r="D14" s="2" t="n">
        <f aca="false">VLOOKUP(B14, at_filas!$A$2:$C$8,3,FALSE())</f>
        <v>1</v>
      </c>
      <c r="E14" s="16" t="n">
        <v>22</v>
      </c>
      <c r="F14" s="17" t="s">
        <v>58</v>
      </c>
      <c r="G14" s="2" t="s">
        <v>59</v>
      </c>
      <c r="H14" s="2" t="n">
        <v>2</v>
      </c>
      <c r="I14" s="2" t="s">
        <v>55</v>
      </c>
      <c r="J14" s="2" t="s">
        <v>56</v>
      </c>
      <c r="K14" s="0" t="n">
        <v>22</v>
      </c>
      <c r="L14" s="0" t="str">
        <f aca="false">VLOOKUP(K14,clasif_filas!$A$1:$J$39,2,FALSE())</f>
        <v>Productos lácteos y productos de huevo</v>
      </c>
      <c r="M14" s="0" t="n">
        <f aca="false">VLOOKUP(K14,clasif_filas!$A$1:$J$39,3,FALSE())</f>
        <v>22</v>
      </c>
      <c r="N14" s="0" t="str">
        <f aca="false">VLOOKUP(K14,clasif_filas!$A$1:$J$39,4,FALSE())</f>
        <v>Productos lácteos y productos de huevo</v>
      </c>
      <c r="O14" s="0" t="n">
        <f aca="false">VLOOKUP(K14,clasif_filas!$A$1:$J$39,5,FALSE())</f>
        <v>6</v>
      </c>
      <c r="P14" s="0" t="str">
        <f aca="false">VLOOKUP(K14,clasif_filas!$A$1:$J$39,6,FALSE())</f>
        <v>Conocimiento, procesos y servicios relacionados</v>
      </c>
      <c r="Q14" s="0" t="n">
        <f aca="false">VLOOKUP(K14,clasif_filas!$A$1:$J$39,7,FALSE())</f>
        <v>2</v>
      </c>
      <c r="R14" s="0" t="str">
        <f aca="false">VLOOKUP(K14,clasif_filas!$A$1:$J$39,8,FALSE())</f>
        <v>Productos alimenticios, bebidas y tabaco; textiles, prendas de vestir y productos de cuero</v>
      </c>
      <c r="S14" s="0" t="n">
        <f aca="false">VLOOKUP(K14,clasif_filas!$A$1:$J$39,9,FALSE())</f>
        <v>1</v>
      </c>
      <c r="T14" s="18" t="str">
        <f aca="false">VLOOKUP(K14,clasif_filas!$A$1:$J$39,10,FALSE())</f>
        <v>Bioeconomía</v>
      </c>
    </row>
    <row r="15" customFormat="false" ht="25.55" hidden="false" customHeight="false" outlineLevel="0" collapsed="false">
      <c r="A15" s="15" t="s">
        <v>60</v>
      </c>
      <c r="B15" s="2" t="s">
        <v>24</v>
      </c>
      <c r="C15" s="2" t="str">
        <f aca="false">VLOOKUP(B15, at_filas!$A$2:$C$8,2,FALSE())</f>
        <v>Producción</v>
      </c>
      <c r="D15" s="2" t="n">
        <f aca="false">VLOOKUP(B15, at_filas!$A$2:$C$8,3,FALSE())</f>
        <v>1</v>
      </c>
      <c r="E15" s="16" t="n">
        <v>23</v>
      </c>
      <c r="F15" s="17" t="s">
        <v>61</v>
      </c>
      <c r="G15" s="2" t="s">
        <v>62</v>
      </c>
      <c r="H15" s="2" t="n">
        <v>2</v>
      </c>
      <c r="I15" s="2" t="s">
        <v>55</v>
      </c>
      <c r="J15" s="2" t="s">
        <v>56</v>
      </c>
      <c r="K15" s="0" t="n">
        <v>23</v>
      </c>
      <c r="L15" s="0" t="str">
        <f aca="false">VLOOKUP(K15,clasif_filas!$A$1:$J$39,2,FALSE())</f>
        <v>Productos de molienda, productos con almidón o maicena; otros productos de alimenticios</v>
      </c>
      <c r="M15" s="0" t="n">
        <f aca="false">VLOOKUP(K15,clasif_filas!$A$1:$J$39,3,FALSE())</f>
        <v>23</v>
      </c>
      <c r="N15" s="0" t="str">
        <f aca="false">VLOOKUP(K15,clasif_filas!$A$1:$J$39,4,FALSE())</f>
        <v>Productos de molienda, productos con almidón o maicena; otros productos de alimenticios</v>
      </c>
      <c r="O15" s="0" t="n">
        <f aca="false">VLOOKUP(K15,clasif_filas!$A$1:$J$39,5,FALSE())</f>
        <v>6</v>
      </c>
      <c r="P15" s="0" t="str">
        <f aca="false">VLOOKUP(K15,clasif_filas!$A$1:$J$39,6,FALSE())</f>
        <v>Conocimiento, procesos y servicios relacionados</v>
      </c>
      <c r="Q15" s="0" t="n">
        <f aca="false">VLOOKUP(K15,clasif_filas!$A$1:$J$39,7,FALSE())</f>
        <v>2</v>
      </c>
      <c r="R15" s="0" t="str">
        <f aca="false">VLOOKUP(K15,clasif_filas!$A$1:$J$39,8,FALSE())</f>
        <v>Productos alimenticios, bebidas y tabaco; textiles, prendas de vestir y productos de cuero</v>
      </c>
      <c r="S15" s="0" t="n">
        <f aca="false">VLOOKUP(K15,clasif_filas!$A$1:$J$39,9,FALSE())</f>
        <v>1</v>
      </c>
      <c r="T15" s="18" t="str">
        <f aca="false">VLOOKUP(K15,clasif_filas!$A$1:$J$39,10,FALSE())</f>
        <v>Bioeconomía</v>
      </c>
    </row>
    <row r="16" customFormat="false" ht="14.25" hidden="false" customHeight="false" outlineLevel="0" collapsed="false">
      <c r="A16" s="15" t="s">
        <v>63</v>
      </c>
      <c r="B16" s="2" t="s">
        <v>24</v>
      </c>
      <c r="C16" s="2" t="str">
        <f aca="false">VLOOKUP(B16, at_filas!$A$2:$C$8,2,FALSE())</f>
        <v>Producción</v>
      </c>
      <c r="D16" s="2" t="n">
        <f aca="false">VLOOKUP(B16, at_filas!$A$2:$C$8,3,FALSE())</f>
        <v>1</v>
      </c>
      <c r="E16" s="16" t="n">
        <v>24</v>
      </c>
      <c r="F16" s="17" t="s">
        <v>64</v>
      </c>
      <c r="G16" s="2" t="s">
        <v>65</v>
      </c>
      <c r="H16" s="2" t="n">
        <v>2</v>
      </c>
      <c r="I16" s="2" t="s">
        <v>55</v>
      </c>
      <c r="J16" s="2" t="s">
        <v>56</v>
      </c>
      <c r="K16" s="0" t="n">
        <v>24</v>
      </c>
      <c r="L16" s="0" t="str">
        <f aca="false">VLOOKUP(K16,clasif_filas!$A$1:$J$39,2,FALSE())</f>
        <v>Bebidas</v>
      </c>
      <c r="M16" s="0" t="n">
        <f aca="false">VLOOKUP(K16,clasif_filas!$A$1:$J$39,3,FALSE())</f>
        <v>24</v>
      </c>
      <c r="N16" s="0" t="str">
        <f aca="false">VLOOKUP(K16,clasif_filas!$A$1:$J$39,4,FALSE())</f>
        <v>Bebidas</v>
      </c>
      <c r="O16" s="0" t="n">
        <f aca="false">VLOOKUP(K16,clasif_filas!$A$1:$J$39,5,FALSE())</f>
        <v>6</v>
      </c>
      <c r="P16" s="0" t="str">
        <f aca="false">VLOOKUP(K16,clasif_filas!$A$1:$J$39,6,FALSE())</f>
        <v>Conocimiento, procesos y servicios relacionados</v>
      </c>
      <c r="Q16" s="0" t="n">
        <f aca="false">VLOOKUP(K16,clasif_filas!$A$1:$J$39,7,FALSE())</f>
        <v>2</v>
      </c>
      <c r="R16" s="0" t="str">
        <f aca="false">VLOOKUP(K16,clasif_filas!$A$1:$J$39,8,FALSE())</f>
        <v>Productos alimenticios, bebidas y tabaco; textiles, prendas de vestir y productos de cuero</v>
      </c>
      <c r="S16" s="0" t="n">
        <f aca="false">VLOOKUP(K16,clasif_filas!$A$1:$J$39,9,FALSE())</f>
        <v>1</v>
      </c>
      <c r="T16" s="18" t="str">
        <f aca="false">VLOOKUP(K16,clasif_filas!$A$1:$J$39,10,FALSE())</f>
        <v>Bioeconomía</v>
      </c>
    </row>
    <row r="17" customFormat="false" ht="14.25" hidden="false" customHeight="false" outlineLevel="0" collapsed="false">
      <c r="A17" s="15" t="s">
        <v>66</v>
      </c>
      <c r="B17" s="2" t="s">
        <v>24</v>
      </c>
      <c r="C17" s="2" t="str">
        <f aca="false">VLOOKUP(B17, at_filas!$A$2:$C$8,2,FALSE())</f>
        <v>Producción</v>
      </c>
      <c r="D17" s="2" t="n">
        <f aca="false">VLOOKUP(B17, at_filas!$A$2:$C$8,3,FALSE())</f>
        <v>1</v>
      </c>
      <c r="E17" s="16" t="n">
        <v>25</v>
      </c>
      <c r="F17" s="17" t="s">
        <v>67</v>
      </c>
      <c r="G17" s="2" t="s">
        <v>68</v>
      </c>
      <c r="H17" s="2" t="n">
        <v>2</v>
      </c>
      <c r="I17" s="2" t="s">
        <v>55</v>
      </c>
      <c r="J17" s="2" t="s">
        <v>56</v>
      </c>
      <c r="K17" s="0" t="n">
        <v>25</v>
      </c>
      <c r="L17" s="0" t="str">
        <f aca="false">VLOOKUP(K17,clasif_filas!$A$1:$J$39,2,FALSE())</f>
        <v>Productos del tabaco</v>
      </c>
      <c r="M17" s="0" t="n">
        <f aca="false">VLOOKUP(K17,clasif_filas!$A$1:$J$39,3,FALSE())</f>
        <v>25</v>
      </c>
      <c r="N17" s="0" t="str">
        <f aca="false">VLOOKUP(K17,clasif_filas!$A$1:$J$39,4,FALSE())</f>
        <v>Productos del tabaco</v>
      </c>
      <c r="O17" s="0" t="n">
        <f aca="false">VLOOKUP(K17,clasif_filas!$A$1:$J$39,5,FALSE())</f>
        <v>6</v>
      </c>
      <c r="P17" s="0" t="str">
        <f aca="false">VLOOKUP(K17,clasif_filas!$A$1:$J$39,6,FALSE())</f>
        <v>Conocimiento, procesos y servicios relacionados</v>
      </c>
      <c r="Q17" s="0" t="n">
        <f aca="false">VLOOKUP(K17,clasif_filas!$A$1:$J$39,7,FALSE())</f>
        <v>2</v>
      </c>
      <c r="R17" s="0" t="str">
        <f aca="false">VLOOKUP(K17,clasif_filas!$A$1:$J$39,8,FALSE())</f>
        <v>Productos alimenticios, bebidas y tabaco; textiles, prendas de vestir y productos de cuero</v>
      </c>
      <c r="S17" s="0" t="n">
        <f aca="false">VLOOKUP(K17,clasif_filas!$A$1:$J$39,9,FALSE())</f>
        <v>1</v>
      </c>
      <c r="T17" s="18" t="str">
        <f aca="false">VLOOKUP(K17,clasif_filas!$A$1:$J$39,10,FALSE())</f>
        <v>Bioeconomía</v>
      </c>
    </row>
    <row r="18" customFormat="false" ht="14.25" hidden="false" customHeight="false" outlineLevel="0" collapsed="false">
      <c r="A18" s="15" t="s">
        <v>69</v>
      </c>
      <c r="B18" s="2" t="s">
        <v>24</v>
      </c>
      <c r="C18" s="2" t="str">
        <f aca="false">VLOOKUP(B18, at_filas!$A$2:$C$8,2,FALSE())</f>
        <v>Producción</v>
      </c>
      <c r="D18" s="2" t="n">
        <f aca="false">VLOOKUP(B18, at_filas!$A$2:$C$8,3,FALSE())</f>
        <v>1</v>
      </c>
      <c r="E18" s="16" t="n">
        <v>26</v>
      </c>
      <c r="F18" s="17" t="s">
        <v>70</v>
      </c>
      <c r="G18" s="2" t="s">
        <v>71</v>
      </c>
      <c r="H18" s="2" t="n">
        <v>2</v>
      </c>
      <c r="I18" s="2" t="s">
        <v>55</v>
      </c>
      <c r="J18" s="2" t="s">
        <v>71</v>
      </c>
      <c r="K18" s="0" t="n">
        <v>26</v>
      </c>
      <c r="L18" s="0" t="str">
        <f aca="false">VLOOKUP(K18,clasif_filas!$A$1:$J$39,2,FALSE())</f>
        <v>Hilados e hilos; tejidos y telas afelpadas</v>
      </c>
      <c r="M18" s="0" t="n">
        <f aca="false">VLOOKUP(K18,clasif_filas!$A$1:$J$39,3,FALSE())</f>
        <v>26</v>
      </c>
      <c r="N18" s="0" t="str">
        <f aca="false">VLOOKUP(K18,clasif_filas!$A$1:$J$39,4,FALSE())</f>
        <v>Hilados e hilos; tejidos y telas afelpadas</v>
      </c>
      <c r="O18" s="0" t="n">
        <f aca="false">VLOOKUP(K18,clasif_filas!$A$1:$J$39,5,FALSE())</f>
        <v>6</v>
      </c>
      <c r="P18" s="0" t="str">
        <f aca="false">VLOOKUP(K18,clasif_filas!$A$1:$J$39,6,FALSE())</f>
        <v>Conocimiento, procesos y servicios relacionados</v>
      </c>
      <c r="Q18" s="0" t="n">
        <f aca="false">VLOOKUP(K18,clasif_filas!$A$1:$J$39,7,FALSE())</f>
        <v>2</v>
      </c>
      <c r="R18" s="0" t="str">
        <f aca="false">VLOOKUP(K18,clasif_filas!$A$1:$J$39,8,FALSE())</f>
        <v>Productos alimenticios, bebidas y tabaco; textiles, prendas de vestir y productos de cuero</v>
      </c>
      <c r="S18" s="0" t="n">
        <f aca="false">VLOOKUP(K18,clasif_filas!$A$1:$J$39,9,FALSE())</f>
        <v>2</v>
      </c>
      <c r="T18" s="18" t="str">
        <f aca="false">VLOOKUP(K18,clasif_filas!$A$1:$J$39,10,FALSE())</f>
        <v>Bioeconomía extendida</v>
      </c>
    </row>
    <row r="19" customFormat="false" ht="14.25" hidden="false" customHeight="false" outlineLevel="0" collapsed="false">
      <c r="A19" s="15" t="s">
        <v>72</v>
      </c>
      <c r="B19" s="2" t="s">
        <v>24</v>
      </c>
      <c r="C19" s="2" t="str">
        <f aca="false">VLOOKUP(B19, at_filas!$A$2:$C$8,2,FALSE())</f>
        <v>Producción</v>
      </c>
      <c r="D19" s="2" t="n">
        <f aca="false">VLOOKUP(B19, at_filas!$A$2:$C$8,3,FALSE())</f>
        <v>1</v>
      </c>
      <c r="E19" s="16" t="n">
        <v>27</v>
      </c>
      <c r="F19" s="17" t="s">
        <v>73</v>
      </c>
      <c r="G19" s="2" t="s">
        <v>71</v>
      </c>
      <c r="H19" s="2" t="n">
        <v>2</v>
      </c>
      <c r="I19" s="2" t="s">
        <v>55</v>
      </c>
      <c r="J19" s="2" t="s">
        <v>71</v>
      </c>
      <c r="K19" s="0" t="n">
        <v>27</v>
      </c>
      <c r="L19" s="0" t="str">
        <f aca="false">VLOOKUP(K19,clasif_filas!$A$1:$J$39,2,FALSE())</f>
        <v>Artículos textiles que no sean prendas de vestir</v>
      </c>
      <c r="M19" s="0" t="n">
        <f aca="false">VLOOKUP(K19,clasif_filas!$A$1:$J$39,3,FALSE())</f>
        <v>27</v>
      </c>
      <c r="N19" s="0" t="str">
        <f aca="false">VLOOKUP(K19,clasif_filas!$A$1:$J$39,4,FALSE())</f>
        <v>Artículos textiles que no sean prendas de vestir</v>
      </c>
      <c r="O19" s="0" t="n">
        <f aca="false">VLOOKUP(K19,clasif_filas!$A$1:$J$39,5,FALSE())</f>
        <v>6</v>
      </c>
      <c r="P19" s="0" t="str">
        <f aca="false">VLOOKUP(K19,clasif_filas!$A$1:$J$39,6,FALSE())</f>
        <v>Conocimiento, procesos y servicios relacionados</v>
      </c>
      <c r="Q19" s="0" t="n">
        <f aca="false">VLOOKUP(K19,clasif_filas!$A$1:$J$39,7,FALSE())</f>
        <v>2</v>
      </c>
      <c r="R19" s="0" t="str">
        <f aca="false">VLOOKUP(K19,clasif_filas!$A$1:$J$39,8,FALSE())</f>
        <v>Productos alimenticios, bebidas y tabaco; textiles, prendas de vestir y productos de cuero</v>
      </c>
      <c r="S19" s="0" t="n">
        <f aca="false">VLOOKUP(K19,clasif_filas!$A$1:$J$39,9,FALSE())</f>
        <v>2</v>
      </c>
      <c r="T19" s="18" t="str">
        <f aca="false">VLOOKUP(K19,clasif_filas!$A$1:$J$39,10,FALSE())</f>
        <v>Bioeconomía extendida</v>
      </c>
    </row>
    <row r="20" customFormat="false" ht="14.25" hidden="false" customHeight="false" outlineLevel="0" collapsed="false">
      <c r="A20" s="15" t="s">
        <v>74</v>
      </c>
      <c r="B20" s="2" t="s">
        <v>24</v>
      </c>
      <c r="C20" s="2" t="str">
        <f aca="false">VLOOKUP(B20, at_filas!$A$2:$C$8,2,FALSE())</f>
        <v>Producción</v>
      </c>
      <c r="D20" s="2" t="n">
        <f aca="false">VLOOKUP(B20, at_filas!$A$2:$C$8,3,FALSE())</f>
        <v>1</v>
      </c>
      <c r="E20" s="16" t="n">
        <v>28</v>
      </c>
      <c r="F20" s="17" t="s">
        <v>75</v>
      </c>
      <c r="G20" s="2" t="s">
        <v>71</v>
      </c>
      <c r="H20" s="2" t="n">
        <v>2</v>
      </c>
      <c r="I20" s="2" t="s">
        <v>55</v>
      </c>
      <c r="J20" s="2" t="s">
        <v>71</v>
      </c>
      <c r="K20" s="0" t="n">
        <v>28</v>
      </c>
      <c r="L20" s="0" t="str">
        <f aca="false">VLOOKUP(K20,clasif_filas!$A$1:$J$39,2,FALSE())</f>
        <v>Tejidos de punto o ganchillo; prendas de vestir</v>
      </c>
      <c r="M20" s="0" t="n">
        <f aca="false">VLOOKUP(K20,clasif_filas!$A$1:$J$39,3,FALSE())</f>
        <v>28</v>
      </c>
      <c r="N20" s="0" t="str">
        <f aca="false">VLOOKUP(K20,clasif_filas!$A$1:$J$39,4,FALSE())</f>
        <v>Tejidos de punto o ganchillo; prendas de vestir</v>
      </c>
      <c r="O20" s="0" t="n">
        <f aca="false">VLOOKUP(K20,clasif_filas!$A$1:$J$39,5,FALSE())</f>
        <v>6</v>
      </c>
      <c r="P20" s="0" t="str">
        <f aca="false">VLOOKUP(K20,clasif_filas!$A$1:$J$39,6,FALSE())</f>
        <v>Conocimiento, procesos y servicios relacionados</v>
      </c>
      <c r="Q20" s="0" t="n">
        <f aca="false">VLOOKUP(K20,clasif_filas!$A$1:$J$39,7,FALSE())</f>
        <v>2</v>
      </c>
      <c r="R20" s="0" t="str">
        <f aca="false">VLOOKUP(K20,clasif_filas!$A$1:$J$39,8,FALSE())</f>
        <v>Productos alimenticios, bebidas y tabaco; textiles, prendas de vestir y productos de cuero</v>
      </c>
      <c r="S20" s="0" t="n">
        <f aca="false">VLOOKUP(K20,clasif_filas!$A$1:$J$39,9,FALSE())</f>
        <v>2</v>
      </c>
      <c r="T20" s="18" t="str">
        <f aca="false">VLOOKUP(K20,clasif_filas!$A$1:$J$39,10,FALSE())</f>
        <v>Bioeconomía extendida</v>
      </c>
    </row>
    <row r="21" customFormat="false" ht="14.25" hidden="false" customHeight="false" outlineLevel="0" collapsed="false">
      <c r="A21" s="15" t="s">
        <v>76</v>
      </c>
      <c r="B21" s="2" t="s">
        <v>24</v>
      </c>
      <c r="C21" s="2" t="str">
        <f aca="false">VLOOKUP(B21, at_filas!$A$2:$C$8,2,FALSE())</f>
        <v>Producción</v>
      </c>
      <c r="D21" s="2" t="n">
        <f aca="false">VLOOKUP(B21, at_filas!$A$2:$C$8,3,FALSE())</f>
        <v>1</v>
      </c>
      <c r="E21" s="16" t="n">
        <v>29</v>
      </c>
      <c r="F21" s="17" t="s">
        <v>77</v>
      </c>
      <c r="G21" s="2" t="s">
        <v>71</v>
      </c>
      <c r="H21" s="2" t="n">
        <v>2</v>
      </c>
      <c r="I21" s="2" t="s">
        <v>55</v>
      </c>
      <c r="J21" s="2" t="s">
        <v>71</v>
      </c>
      <c r="K21" s="0" t="n">
        <v>29</v>
      </c>
      <c r="L21" s="0" t="str">
        <f aca="false">VLOOKUP(K21,clasif_filas!$A$1:$J$39,2,FALSE())</f>
        <v>Cuero y productos de cuero; calzado</v>
      </c>
      <c r="M21" s="0" t="n">
        <f aca="false">VLOOKUP(K21,clasif_filas!$A$1:$J$39,3,FALSE())</f>
        <v>29</v>
      </c>
      <c r="N21" s="0" t="str">
        <f aca="false">VLOOKUP(K21,clasif_filas!$A$1:$J$39,4,FALSE())</f>
        <v>Cuero y productos de cuero; calzado</v>
      </c>
      <c r="O21" s="0" t="n">
        <f aca="false">VLOOKUP(K21,clasif_filas!$A$1:$J$39,5,FALSE())</f>
        <v>6</v>
      </c>
      <c r="P21" s="0" t="str">
        <f aca="false">VLOOKUP(K21,clasif_filas!$A$1:$J$39,6,FALSE())</f>
        <v>Conocimiento, procesos y servicios relacionados</v>
      </c>
      <c r="Q21" s="0" t="n">
        <f aca="false">VLOOKUP(K21,clasif_filas!$A$1:$J$39,7,FALSE())</f>
        <v>2</v>
      </c>
      <c r="R21" s="0" t="str">
        <f aca="false">VLOOKUP(K21,clasif_filas!$A$1:$J$39,8,FALSE())</f>
        <v>Productos alimenticios, bebidas y tabaco; textiles, prendas de vestir y productos de cuero</v>
      </c>
      <c r="S21" s="0" t="n">
        <f aca="false">VLOOKUP(K21,clasif_filas!$A$1:$J$39,9,FALSE())</f>
        <v>2</v>
      </c>
      <c r="T21" s="18" t="str">
        <f aca="false">VLOOKUP(K21,clasif_filas!$A$1:$J$39,10,FALSE())</f>
        <v>Bioeconomía extendida</v>
      </c>
    </row>
    <row r="22" customFormat="false" ht="14.25" hidden="false" customHeight="false" outlineLevel="0" collapsed="false">
      <c r="A22" s="15" t="s">
        <v>78</v>
      </c>
      <c r="B22" s="2" t="s">
        <v>24</v>
      </c>
      <c r="C22" s="2" t="str">
        <f aca="false">VLOOKUP(B22, at_filas!$A$2:$C$8,2,FALSE())</f>
        <v>Producción</v>
      </c>
      <c r="D22" s="2" t="n">
        <f aca="false">VLOOKUP(B22, at_filas!$A$2:$C$8,3,FALSE())</f>
        <v>1</v>
      </c>
      <c r="E22" s="16" t="n">
        <v>31</v>
      </c>
      <c r="F22" s="17" t="s">
        <v>79</v>
      </c>
      <c r="G22" s="2" t="s">
        <v>80</v>
      </c>
      <c r="H22" s="2" t="n">
        <v>2</v>
      </c>
      <c r="I22" s="2" t="s">
        <v>55</v>
      </c>
      <c r="J22" s="2" t="s">
        <v>80</v>
      </c>
      <c r="K22" s="0" t="n">
        <v>31</v>
      </c>
      <c r="L22" s="0" t="str">
        <f aca="false">VLOOKUP(K22,clasif_filas!$A$1:$J$39,2,FALSE())</f>
        <v>Productos de materiales de madera, corcho, cestería y espartería</v>
      </c>
      <c r="M22" s="0" t="n">
        <f aca="false">VLOOKUP(K22,clasif_filas!$A$1:$J$39,3,FALSE())</f>
        <v>31</v>
      </c>
      <c r="N22" s="0" t="str">
        <f aca="false">VLOOKUP(K22,clasif_filas!$A$1:$J$39,4,FALSE())</f>
        <v>Productos de materiales de madera, corcho, cestería y espartería</v>
      </c>
      <c r="O22" s="0" t="n">
        <f aca="false">VLOOKUP(K22,clasif_filas!$A$1:$J$39,5,FALSE())</f>
        <v>6</v>
      </c>
      <c r="P22" s="0" t="str">
        <f aca="false">VLOOKUP(K22,clasif_filas!$A$1:$J$39,6,FALSE())</f>
        <v>Conocimiento, procesos y servicios relacionados</v>
      </c>
      <c r="Q22" s="0" t="n">
        <f aca="false">VLOOKUP(K22,clasif_filas!$A$1:$J$39,7,FALSE())</f>
        <v>3</v>
      </c>
      <c r="R22" s="0" t="str">
        <f aca="false">VLOOKUP(K22,clasif_filas!$A$1:$J$39,8,FALSE())</f>
        <v>Otros bienes transportables, excepto productos metálicos, maquinaria y equipo</v>
      </c>
      <c r="S22" s="0" t="n">
        <f aca="false">VLOOKUP(K22,clasif_filas!$A$1:$J$39,9,FALSE())</f>
        <v>1</v>
      </c>
      <c r="T22" s="18" t="str">
        <f aca="false">VLOOKUP(K22,clasif_filas!$A$1:$J$39,10,FALSE())</f>
        <v>Bioeconomía</v>
      </c>
    </row>
    <row r="23" customFormat="false" ht="25.55" hidden="false" customHeight="false" outlineLevel="0" collapsed="false">
      <c r="A23" s="15" t="s">
        <v>81</v>
      </c>
      <c r="B23" s="2" t="s">
        <v>24</v>
      </c>
      <c r="C23" s="2" t="str">
        <f aca="false">VLOOKUP(B23, at_filas!$A$2:$C$8,2,FALSE())</f>
        <v>Producción</v>
      </c>
      <c r="D23" s="2" t="n">
        <f aca="false">VLOOKUP(B23, at_filas!$A$2:$C$8,3,FALSE())</f>
        <v>1</v>
      </c>
      <c r="E23" s="16" t="n">
        <v>32</v>
      </c>
      <c r="F23" s="17" t="s">
        <v>82</v>
      </c>
      <c r="G23" s="2" t="s">
        <v>83</v>
      </c>
      <c r="H23" s="2" t="n">
        <v>2</v>
      </c>
      <c r="I23" s="2" t="s">
        <v>55</v>
      </c>
      <c r="J23" s="2" t="s">
        <v>83</v>
      </c>
      <c r="K23" s="0" t="n">
        <v>32</v>
      </c>
      <c r="L23" s="0" t="str">
        <f aca="false">VLOOKUP(K23,clasif_filas!$A$1:$J$39,2,FALSE())</f>
        <v>Pulpa de papel, papel y productos de papel; impresos, y artículos similares</v>
      </c>
      <c r="M23" s="0" t="n">
        <f aca="false">VLOOKUP(K23,clasif_filas!$A$1:$J$39,3,FALSE())</f>
        <v>32</v>
      </c>
      <c r="N23" s="0" t="str">
        <f aca="false">VLOOKUP(K23,clasif_filas!$A$1:$J$39,4,FALSE())</f>
        <v>Pulpa de papel, papel y productos de papel; impresos, y artículos similares</v>
      </c>
      <c r="O23" s="0" t="n">
        <f aca="false">VLOOKUP(K23,clasif_filas!$A$1:$J$39,5,FALSE())</f>
        <v>6</v>
      </c>
      <c r="P23" s="0" t="str">
        <f aca="false">VLOOKUP(K23,clasif_filas!$A$1:$J$39,6,FALSE())</f>
        <v>Conocimiento, procesos y servicios relacionados</v>
      </c>
      <c r="Q23" s="0" t="n">
        <f aca="false">VLOOKUP(K23,clasif_filas!$A$1:$J$39,7,FALSE())</f>
        <v>3</v>
      </c>
      <c r="R23" s="0" t="str">
        <f aca="false">VLOOKUP(K23,clasif_filas!$A$1:$J$39,8,FALSE())</f>
        <v>Otros bienes transportables, excepto productos metálicos, maquinaria y equipo</v>
      </c>
      <c r="S23" s="0" t="n">
        <f aca="false">VLOOKUP(K23,clasif_filas!$A$1:$J$39,9,FALSE())</f>
        <v>1</v>
      </c>
      <c r="T23" s="18" t="str">
        <f aca="false">VLOOKUP(K23,clasif_filas!$A$1:$J$39,10,FALSE())</f>
        <v>Bioeconomía</v>
      </c>
    </row>
    <row r="24" customFormat="false" ht="25.55" hidden="false" customHeight="false" outlineLevel="0" collapsed="false">
      <c r="A24" s="15" t="s">
        <v>84</v>
      </c>
      <c r="B24" s="2" t="s">
        <v>24</v>
      </c>
      <c r="C24" s="2" t="str">
        <f aca="false">VLOOKUP(B24, at_filas!$A$2:$C$8,2,FALSE())</f>
        <v>Producción</v>
      </c>
      <c r="D24" s="2" t="n">
        <f aca="false">VLOOKUP(B24, at_filas!$A$2:$C$8,3,FALSE())</f>
        <v>1</v>
      </c>
      <c r="E24" s="16" t="n">
        <v>33</v>
      </c>
      <c r="F24" s="17" t="s">
        <v>85</v>
      </c>
      <c r="G24" s="2" t="s">
        <v>38</v>
      </c>
      <c r="H24" s="2" t="n">
        <v>4</v>
      </c>
      <c r="I24" s="2" t="s">
        <v>38</v>
      </c>
      <c r="J24" s="2" t="s">
        <v>38</v>
      </c>
      <c r="K24" s="0" t="n">
        <v>11</v>
      </c>
      <c r="L24" s="0" t="str">
        <f aca="false">VLOOKUP(K24,clasif_filas!$A$1:$J$39,2,FALSE())</f>
        <v>Minerales, combustibles y derivados</v>
      </c>
      <c r="M24" s="0" t="n">
        <f aca="false">VLOOKUP(K24,clasif_filas!$A$1:$J$39,3,FALSE())</f>
        <v>11</v>
      </c>
      <c r="N24" s="0" t="str">
        <f aca="false">VLOOKUP(K24,clasif_filas!$A$1:$J$39,4,FALSE())</f>
        <v>Minerales, combustibles y derivados</v>
      </c>
      <c r="O24" s="0" t="n">
        <f aca="false">VLOOKUP(K24,clasif_filas!$A$1:$J$39,5,FALSE())</f>
        <v>99</v>
      </c>
      <c r="P24" s="0" t="str">
        <f aca="false">VLOOKUP(K24,clasif_filas!$A$1:$J$39,6,FALSE())</f>
        <v>No Bioeconomía</v>
      </c>
      <c r="Q24" s="0" t="n">
        <f aca="false">VLOOKUP(K24,clasif_filas!$A$1:$J$39,7,FALSE())</f>
        <v>1</v>
      </c>
      <c r="R24" s="0" t="str">
        <f aca="false">VLOOKUP(K24,clasif_filas!$A$1:$J$39,8,FALSE())</f>
        <v>Minerales; electricidad, gas y agua</v>
      </c>
      <c r="S24" s="0" t="n">
        <f aca="false">VLOOKUP(K24,clasif_filas!$A$1:$J$39,9,FALSE())</f>
        <v>3</v>
      </c>
      <c r="T24" s="18" t="str">
        <f aca="false">VLOOKUP(K24,clasif_filas!$A$1:$J$39,10,FALSE())</f>
        <v>No bioeconomía</v>
      </c>
    </row>
    <row r="25" customFormat="false" ht="14.25" hidden="false" customHeight="false" outlineLevel="0" collapsed="false">
      <c r="A25" s="15" t="s">
        <v>86</v>
      </c>
      <c r="B25" s="2" t="s">
        <v>24</v>
      </c>
      <c r="C25" s="2" t="str">
        <f aca="false">VLOOKUP(B25, at_filas!$A$2:$C$8,2,FALSE())</f>
        <v>Producción</v>
      </c>
      <c r="D25" s="2" t="n">
        <f aca="false">VLOOKUP(B25, at_filas!$A$2:$C$8,3,FALSE())</f>
        <v>1</v>
      </c>
      <c r="E25" s="16" t="n">
        <v>34</v>
      </c>
      <c r="F25" s="17" t="s">
        <v>87</v>
      </c>
      <c r="G25" s="19" t="s">
        <v>88</v>
      </c>
      <c r="H25" s="2" t="n">
        <v>3</v>
      </c>
      <c r="I25" s="2" t="s">
        <v>89</v>
      </c>
      <c r="J25" s="19" t="s">
        <v>88</v>
      </c>
      <c r="K25" s="0" t="n">
        <v>341</v>
      </c>
      <c r="L25" s="0" t="str">
        <f aca="false">VLOOKUP(K25,clasif_filas!$A$1:$J$39,2,FALSE())</f>
        <v>Químicos orgánicos básicos</v>
      </c>
      <c r="M25" s="0" t="n">
        <f aca="false">VLOOKUP(K25,clasif_filas!$A$1:$J$39,3,FALSE())</f>
        <v>34</v>
      </c>
      <c r="N25" s="0" t="str">
        <f aca="false">VLOOKUP(K25,clasif_filas!$A$1:$J$39,4,FALSE())</f>
        <v>Químicos básicos</v>
      </c>
      <c r="O25" s="0" t="n">
        <f aca="false">VLOOKUP(K25,clasif_filas!$A$1:$J$39,5,FALSE())</f>
        <v>6</v>
      </c>
      <c r="P25" s="0" t="str">
        <f aca="false">VLOOKUP(K25,clasif_filas!$A$1:$J$39,6,FALSE())</f>
        <v>Conocimiento, procesos y servicios relacionados</v>
      </c>
      <c r="Q25" s="0" t="n">
        <f aca="false">VLOOKUP(K25,clasif_filas!$A$1:$J$39,7,FALSE())</f>
        <v>3</v>
      </c>
      <c r="R25" s="0" t="str">
        <f aca="false">VLOOKUP(K25,clasif_filas!$A$1:$J$39,8,FALSE())</f>
        <v>Otros bienes transportables, excepto productos metálicos, maquinaria y equipo</v>
      </c>
      <c r="S25" s="0" t="n">
        <f aca="false">VLOOKUP(K25,clasif_filas!$A$1:$J$39,9,FALSE())</f>
        <v>2</v>
      </c>
      <c r="T25" s="18" t="str">
        <f aca="false">VLOOKUP(K25,clasif_filas!$A$1:$J$39,10,FALSE())</f>
        <v>Bioeconomía extendida</v>
      </c>
    </row>
    <row r="26" customFormat="false" ht="25.55" hidden="false" customHeight="false" outlineLevel="0" collapsed="false">
      <c r="A26" s="15" t="s">
        <v>90</v>
      </c>
      <c r="B26" s="2" t="s">
        <v>24</v>
      </c>
      <c r="C26" s="2" t="str">
        <f aca="false">VLOOKUP(B26, at_filas!$A$2:$C$8,2,FALSE())</f>
        <v>Producción</v>
      </c>
      <c r="D26" s="2" t="n">
        <f aca="false">VLOOKUP(B26, at_filas!$A$2:$C$8,3,FALSE())</f>
        <v>1</v>
      </c>
      <c r="E26" s="16" t="n">
        <v>35</v>
      </c>
      <c r="F26" s="17" t="s">
        <v>91</v>
      </c>
      <c r="G26" s="2" t="s">
        <v>38</v>
      </c>
      <c r="H26" s="2" t="n">
        <v>4</v>
      </c>
      <c r="I26" s="2" t="s">
        <v>38</v>
      </c>
      <c r="J26" s="2" t="s">
        <v>38</v>
      </c>
      <c r="K26" s="0" t="n">
        <v>342</v>
      </c>
      <c r="L26" s="0" t="str">
        <f aca="false">VLOOKUP(K26,clasif_filas!$A$1:$J$39,2,FALSE())</f>
        <v>Otros químicos, plásticos, caucho y fibras sintéticas</v>
      </c>
      <c r="M26" s="0" t="n">
        <f aca="false">VLOOKUP(K26,clasif_filas!$A$1:$J$39,3,FALSE())</f>
        <v>34</v>
      </c>
      <c r="N26" s="0" t="str">
        <f aca="false">VLOOKUP(K26,clasif_filas!$A$1:$J$39,4,FALSE())</f>
        <v>Químicos básicos</v>
      </c>
      <c r="O26" s="0" t="n">
        <f aca="false">VLOOKUP(K26,clasif_filas!$A$1:$J$39,5,FALSE())</f>
        <v>99</v>
      </c>
      <c r="P26" s="0" t="str">
        <f aca="false">VLOOKUP(K26,clasif_filas!$A$1:$J$39,6,FALSE())</f>
        <v>No Bioeconomía</v>
      </c>
      <c r="Q26" s="0" t="n">
        <f aca="false">VLOOKUP(K26,clasif_filas!$A$1:$J$39,7,FALSE())</f>
        <v>3</v>
      </c>
      <c r="R26" s="0" t="str">
        <f aca="false">VLOOKUP(K26,clasif_filas!$A$1:$J$39,8,FALSE())</f>
        <v>Otros bienes transportables, excepto productos metálicos, maquinaria y equipo</v>
      </c>
      <c r="S26" s="0" t="n">
        <f aca="false">VLOOKUP(K26,clasif_filas!$A$1:$J$39,9,FALSE())</f>
        <v>3</v>
      </c>
      <c r="T26" s="18" t="str">
        <f aca="false">VLOOKUP(K26,clasif_filas!$A$1:$J$39,10,FALSE())</f>
        <v>No bioeconomía</v>
      </c>
    </row>
    <row r="27" customFormat="false" ht="14.25" hidden="false" customHeight="false" outlineLevel="0" collapsed="false">
      <c r="A27" s="15" t="s">
        <v>92</v>
      </c>
      <c r="B27" s="2" t="s">
        <v>24</v>
      </c>
      <c r="C27" s="2" t="str">
        <f aca="false">VLOOKUP(B27, at_filas!$A$2:$C$8,2,FALSE())</f>
        <v>Producción</v>
      </c>
      <c r="D27" s="2" t="n">
        <f aca="false">VLOOKUP(B27, at_filas!$A$2:$C$8,3,FALSE())</f>
        <v>1</v>
      </c>
      <c r="E27" s="16" t="n">
        <v>36</v>
      </c>
      <c r="F27" s="17" t="s">
        <v>93</v>
      </c>
      <c r="G27" s="2" t="s">
        <v>38</v>
      </c>
      <c r="H27" s="2" t="n">
        <v>4</v>
      </c>
      <c r="I27" s="2" t="s">
        <v>38</v>
      </c>
      <c r="J27" s="2" t="s">
        <v>38</v>
      </c>
      <c r="K27" s="0" t="n">
        <v>342</v>
      </c>
      <c r="L27" s="0" t="str">
        <f aca="false">VLOOKUP(K27,clasif_filas!$A$1:$J$39,2,FALSE())</f>
        <v>Otros químicos, plásticos, caucho y fibras sintéticas</v>
      </c>
      <c r="M27" s="0" t="n">
        <f aca="false">VLOOKUP(K27,clasif_filas!$A$1:$J$39,3,FALSE())</f>
        <v>34</v>
      </c>
      <c r="N27" s="0" t="str">
        <f aca="false">VLOOKUP(K27,clasif_filas!$A$1:$J$39,4,FALSE())</f>
        <v>Químicos básicos</v>
      </c>
      <c r="O27" s="0" t="n">
        <f aca="false">VLOOKUP(K27,clasif_filas!$A$1:$J$39,5,FALSE())</f>
        <v>99</v>
      </c>
      <c r="P27" s="0" t="str">
        <f aca="false">VLOOKUP(K27,clasif_filas!$A$1:$J$39,6,FALSE())</f>
        <v>No Bioeconomía</v>
      </c>
      <c r="Q27" s="0" t="n">
        <f aca="false">VLOOKUP(K27,clasif_filas!$A$1:$J$39,7,FALSE())</f>
        <v>3</v>
      </c>
      <c r="R27" s="0" t="str">
        <f aca="false">VLOOKUP(K27,clasif_filas!$A$1:$J$39,8,FALSE())</f>
        <v>Otros bienes transportables, excepto productos metálicos, maquinaria y equipo</v>
      </c>
      <c r="S27" s="0" t="n">
        <f aca="false">VLOOKUP(K27,clasif_filas!$A$1:$J$39,9,FALSE())</f>
        <v>3</v>
      </c>
      <c r="T27" s="18" t="str">
        <f aca="false">VLOOKUP(K27,clasif_filas!$A$1:$J$39,10,FALSE())</f>
        <v>No bioeconomía</v>
      </c>
    </row>
    <row r="28" customFormat="false" ht="25.55" hidden="false" customHeight="false" outlineLevel="0" collapsed="false">
      <c r="A28" s="15" t="s">
        <v>94</v>
      </c>
      <c r="B28" s="2" t="s">
        <v>24</v>
      </c>
      <c r="C28" s="2" t="str">
        <f aca="false">VLOOKUP(B28, at_filas!$A$2:$C$8,2,FALSE())</f>
        <v>Producción</v>
      </c>
      <c r="D28" s="2" t="n">
        <f aca="false">VLOOKUP(B28, at_filas!$A$2:$C$8,3,FALSE())</f>
        <v>1</v>
      </c>
      <c r="E28" s="16" t="n">
        <v>37</v>
      </c>
      <c r="F28" s="17" t="s">
        <v>95</v>
      </c>
      <c r="G28" s="2" t="s">
        <v>38</v>
      </c>
      <c r="H28" s="2" t="n">
        <v>4</v>
      </c>
      <c r="I28" s="2" t="s">
        <v>38</v>
      </c>
      <c r="J28" s="2" t="s">
        <v>38</v>
      </c>
      <c r="K28" s="0" t="n">
        <v>37</v>
      </c>
      <c r="L28" s="0" t="str">
        <f aca="false">VLOOKUP(K28,clasif_filas!$A$1:$J$39,2,FALSE())</f>
        <v>Vidrios y productos de vidrio y otros productos no metálicos n.c.p.</v>
      </c>
      <c r="M28" s="0" t="n">
        <f aca="false">VLOOKUP(K28,clasif_filas!$A$1:$J$39,3,FALSE())</f>
        <v>37</v>
      </c>
      <c r="N28" s="0" t="str">
        <f aca="false">VLOOKUP(K28,clasif_filas!$A$1:$J$39,4,FALSE())</f>
        <v>Vidrios y productos de vidrio y otros productos no metálicos n.c.p.</v>
      </c>
      <c r="O28" s="0" t="n">
        <f aca="false">VLOOKUP(K28,clasif_filas!$A$1:$J$39,5,FALSE())</f>
        <v>99</v>
      </c>
      <c r="P28" s="0" t="str">
        <f aca="false">VLOOKUP(K28,clasif_filas!$A$1:$J$39,6,FALSE())</f>
        <v>No Bioeconomía</v>
      </c>
      <c r="Q28" s="0" t="n">
        <f aca="false">VLOOKUP(K28,clasif_filas!$A$1:$J$39,7,FALSE())</f>
        <v>3</v>
      </c>
      <c r="R28" s="0" t="str">
        <f aca="false">VLOOKUP(K28,clasif_filas!$A$1:$J$39,8,FALSE())</f>
        <v>Otros bienes transportables, excepto productos metálicos, maquinaria y equipo</v>
      </c>
      <c r="S28" s="0" t="n">
        <f aca="false">VLOOKUP(K28,clasif_filas!$A$1:$J$39,9,FALSE())</f>
        <v>3</v>
      </c>
      <c r="T28" s="18" t="str">
        <f aca="false">VLOOKUP(K28,clasif_filas!$A$1:$J$39,10,FALSE())</f>
        <v>No bioeconomía</v>
      </c>
    </row>
    <row r="29" customFormat="false" ht="14.25" hidden="false" customHeight="false" outlineLevel="0" collapsed="false">
      <c r="A29" s="15" t="s">
        <v>96</v>
      </c>
      <c r="B29" s="2" t="s">
        <v>24</v>
      </c>
      <c r="C29" s="2" t="str">
        <f aca="false">VLOOKUP(B29, at_filas!$A$2:$C$8,2,FALSE())</f>
        <v>Producción</v>
      </c>
      <c r="D29" s="2" t="n">
        <f aca="false">VLOOKUP(B29, at_filas!$A$2:$C$8,3,FALSE())</f>
        <v>1</v>
      </c>
      <c r="E29" s="16" t="n">
        <v>38</v>
      </c>
      <c r="F29" s="17" t="s">
        <v>97</v>
      </c>
      <c r="G29" s="2" t="s">
        <v>38</v>
      </c>
      <c r="H29" s="2" t="n">
        <v>4</v>
      </c>
      <c r="I29" s="2" t="s">
        <v>38</v>
      </c>
      <c r="J29" s="2" t="s">
        <v>38</v>
      </c>
      <c r="K29" s="0" t="n">
        <v>38</v>
      </c>
      <c r="L29" s="0" t="str">
        <f aca="false">VLOOKUP(K29,clasif_filas!$A$1:$J$39,2,FALSE())</f>
        <v>Muebles; otros bienes transportables n.c.p.</v>
      </c>
      <c r="M29" s="0" t="n">
        <f aca="false">VLOOKUP(K29,clasif_filas!$A$1:$J$39,3,FALSE())</f>
        <v>38</v>
      </c>
      <c r="N29" s="0" t="str">
        <f aca="false">VLOOKUP(K29,clasif_filas!$A$1:$J$39,4,FALSE())</f>
        <v>Muebles; otros bienes transportables n.c.p.</v>
      </c>
      <c r="O29" s="0" t="n">
        <f aca="false">VLOOKUP(K29,clasif_filas!$A$1:$J$39,5,FALSE())</f>
        <v>99</v>
      </c>
      <c r="P29" s="0" t="str">
        <f aca="false">VLOOKUP(K29,clasif_filas!$A$1:$J$39,6,FALSE())</f>
        <v>No Bioeconomía</v>
      </c>
      <c r="Q29" s="0" t="n">
        <f aca="false">VLOOKUP(K29,clasif_filas!$A$1:$J$39,7,FALSE())</f>
        <v>3</v>
      </c>
      <c r="R29" s="0" t="str">
        <f aca="false">VLOOKUP(K29,clasif_filas!$A$1:$J$39,8,FALSE())</f>
        <v>Otros bienes transportables, excepto productos metálicos, maquinaria y equipo</v>
      </c>
      <c r="S29" s="0" t="n">
        <f aca="false">VLOOKUP(K29,clasif_filas!$A$1:$J$39,9,FALSE())</f>
        <v>3</v>
      </c>
      <c r="T29" s="18" t="str">
        <f aca="false">VLOOKUP(K29,clasif_filas!$A$1:$J$39,10,FALSE())</f>
        <v>No bioeconomía</v>
      </c>
    </row>
    <row r="30" customFormat="false" ht="14.25" hidden="false" customHeight="false" outlineLevel="0" collapsed="false">
      <c r="A30" s="15" t="s">
        <v>98</v>
      </c>
      <c r="B30" s="2" t="s">
        <v>24</v>
      </c>
      <c r="C30" s="2" t="str">
        <f aca="false">VLOOKUP(B30, at_filas!$A$2:$C$8,2,FALSE())</f>
        <v>Producción</v>
      </c>
      <c r="D30" s="2" t="n">
        <f aca="false">VLOOKUP(B30, at_filas!$A$2:$C$8,3,FALSE())</f>
        <v>1</v>
      </c>
      <c r="E30" s="16" t="n">
        <v>39</v>
      </c>
      <c r="F30" s="17" t="s">
        <v>99</v>
      </c>
      <c r="G30" s="2" t="s">
        <v>100</v>
      </c>
      <c r="H30" s="2" t="n">
        <v>1</v>
      </c>
      <c r="I30" s="2" t="s">
        <v>27</v>
      </c>
      <c r="J30" s="2" t="s">
        <v>28</v>
      </c>
      <c r="K30" s="0" t="n">
        <v>39</v>
      </c>
      <c r="L30" s="0" t="str">
        <f aca="false">VLOOKUP(K30,clasif_filas!$A$1:$J$39,2,FALSE())</f>
        <v>Desperdicios o desechos</v>
      </c>
      <c r="M30" s="0" t="n">
        <f aca="false">VLOOKUP(K30,clasif_filas!$A$1:$J$39,3,FALSE())</f>
        <v>39</v>
      </c>
      <c r="N30" s="0" t="str">
        <f aca="false">VLOOKUP(K30,clasif_filas!$A$1:$J$39,4,FALSE())</f>
        <v>Desperdicios o desechos</v>
      </c>
      <c r="O30" s="0" t="n">
        <f aca="false">VLOOKUP(K30,clasif_filas!$A$1:$J$39,5,FALSE())</f>
        <v>4</v>
      </c>
      <c r="P30" s="0" t="str">
        <f aca="false">VLOOKUP(K30,clasif_filas!$A$1:$J$39,6,FALSE())</f>
        <v>Biomasa residual en los sectores agropecuario, pesca y acuacultura, forestal y agroindustrial</v>
      </c>
      <c r="Q30" s="0" t="n">
        <f aca="false">VLOOKUP(K30,clasif_filas!$A$1:$J$39,7,FALSE())</f>
        <v>3</v>
      </c>
      <c r="R30" s="0" t="str">
        <f aca="false">VLOOKUP(K30,clasif_filas!$A$1:$J$39,8,FALSE())</f>
        <v>Otros bienes transportables, excepto productos metálicos, maquinaria y equipo</v>
      </c>
      <c r="S30" s="0" t="n">
        <f aca="false">VLOOKUP(K30,clasif_filas!$A$1:$J$39,9,FALSE())</f>
        <v>2</v>
      </c>
      <c r="T30" s="18" t="str">
        <f aca="false">VLOOKUP(K30,clasif_filas!$A$1:$J$39,10,FALSE())</f>
        <v>Bioeconomía extendida</v>
      </c>
    </row>
    <row r="31" customFormat="false" ht="14.25" hidden="false" customHeight="false" outlineLevel="0" collapsed="false">
      <c r="A31" s="15" t="s">
        <v>101</v>
      </c>
      <c r="B31" s="2" t="s">
        <v>24</v>
      </c>
      <c r="C31" s="2" t="str">
        <f aca="false">VLOOKUP(B31, at_filas!$A$2:$C$8,2,FALSE())</f>
        <v>Producción</v>
      </c>
      <c r="D31" s="2" t="n">
        <f aca="false">VLOOKUP(B31, at_filas!$A$2:$C$8,3,FALSE())</f>
        <v>1</v>
      </c>
      <c r="E31" s="16" t="n">
        <v>41</v>
      </c>
      <c r="F31" s="17" t="s">
        <v>102</v>
      </c>
      <c r="G31" s="2" t="s">
        <v>38</v>
      </c>
      <c r="H31" s="2" t="n">
        <v>4</v>
      </c>
      <c r="I31" s="2" t="s">
        <v>38</v>
      </c>
      <c r="J31" s="2" t="s">
        <v>38</v>
      </c>
      <c r="K31" s="0" t="s">
        <v>103</v>
      </c>
      <c r="L31" s="0" t="str">
        <f aca="false">VLOOKUP(K31,clasif_filas!$A$1:$J$39,2,FALSE())</f>
        <v>Metales, Maquianria, equipos y transporte</v>
      </c>
      <c r="M31" s="0" t="str">
        <f aca="false">VLOOKUP(K31,clasif_filas!$A$1:$J$39,3,FALSE())</f>
        <v>41-49</v>
      </c>
      <c r="N31" s="0" t="str">
        <f aca="false">VLOOKUP(K31,clasif_filas!$A$1:$J$39,4,FALSE())</f>
        <v>Metales, Maquianria, equipos y transporte</v>
      </c>
      <c r="O31" s="0" t="n">
        <f aca="false">VLOOKUP(K31,clasif_filas!$A$1:$J$39,5,FALSE())</f>
        <v>99</v>
      </c>
      <c r="P31" s="0" t="str">
        <f aca="false">VLOOKUP(K31,clasif_filas!$A$1:$J$39,6,FALSE())</f>
        <v>No Bioeconomía</v>
      </c>
      <c r="Q31" s="0" t="n">
        <f aca="false">VLOOKUP(K31,clasif_filas!$A$1:$J$39,7,FALSE())</f>
        <v>4</v>
      </c>
      <c r="R31" s="0" t="str">
        <f aca="false">VLOOKUP(K31,clasif_filas!$A$1:$J$39,8,FALSE())</f>
        <v>Productos metálicos, maquinaria y equipo</v>
      </c>
      <c r="S31" s="0" t="n">
        <f aca="false">VLOOKUP(K31,clasif_filas!$A$1:$J$39,9,FALSE())</f>
        <v>3</v>
      </c>
      <c r="T31" s="18" t="str">
        <f aca="false">VLOOKUP(K31,clasif_filas!$A$1:$J$39,10,FALSE())</f>
        <v>No bioeconomía</v>
      </c>
    </row>
    <row r="32" customFormat="false" ht="14.25" hidden="false" customHeight="false" outlineLevel="0" collapsed="false">
      <c r="A32" s="15" t="s">
        <v>104</v>
      </c>
      <c r="B32" s="2" t="s">
        <v>24</v>
      </c>
      <c r="C32" s="2" t="str">
        <f aca="false">VLOOKUP(B32, at_filas!$A$2:$C$8,2,FALSE())</f>
        <v>Producción</v>
      </c>
      <c r="D32" s="2" t="n">
        <f aca="false">VLOOKUP(B32, at_filas!$A$2:$C$8,3,FALSE())</f>
        <v>1</v>
      </c>
      <c r="E32" s="16" t="n">
        <v>42</v>
      </c>
      <c r="F32" s="17" t="s">
        <v>105</v>
      </c>
      <c r="G32" s="2" t="s">
        <v>38</v>
      </c>
      <c r="H32" s="2" t="n">
        <v>4</v>
      </c>
      <c r="I32" s="2" t="s">
        <v>38</v>
      </c>
      <c r="J32" s="2" t="s">
        <v>38</v>
      </c>
      <c r="K32" s="0" t="s">
        <v>103</v>
      </c>
      <c r="L32" s="0" t="str">
        <f aca="false">VLOOKUP(K32,clasif_filas!$A$1:$J$39,2,FALSE())</f>
        <v>Metales, Maquianria, equipos y transporte</v>
      </c>
      <c r="M32" s="0" t="str">
        <f aca="false">VLOOKUP(K32,clasif_filas!$A$1:$J$39,3,FALSE())</f>
        <v>41-49</v>
      </c>
      <c r="N32" s="0" t="str">
        <f aca="false">VLOOKUP(K32,clasif_filas!$A$1:$J$39,4,FALSE())</f>
        <v>Metales, Maquianria, equipos y transporte</v>
      </c>
      <c r="O32" s="0" t="n">
        <f aca="false">VLOOKUP(K32,clasif_filas!$A$1:$J$39,5,FALSE())</f>
        <v>99</v>
      </c>
      <c r="P32" s="0" t="str">
        <f aca="false">VLOOKUP(K32,clasif_filas!$A$1:$J$39,6,FALSE())</f>
        <v>No Bioeconomía</v>
      </c>
      <c r="Q32" s="0" t="n">
        <f aca="false">VLOOKUP(K32,clasif_filas!$A$1:$J$39,7,FALSE())</f>
        <v>4</v>
      </c>
      <c r="R32" s="0" t="str">
        <f aca="false">VLOOKUP(K32,clasif_filas!$A$1:$J$39,8,FALSE())</f>
        <v>Productos metálicos, maquinaria y equipo</v>
      </c>
      <c r="S32" s="0" t="n">
        <f aca="false">VLOOKUP(K32,clasif_filas!$A$1:$J$39,9,FALSE())</f>
        <v>3</v>
      </c>
      <c r="T32" s="18" t="str">
        <f aca="false">VLOOKUP(K32,clasif_filas!$A$1:$J$39,10,FALSE())</f>
        <v>No bioeconomía</v>
      </c>
    </row>
    <row r="33" customFormat="false" ht="14.25" hidden="false" customHeight="false" outlineLevel="0" collapsed="false">
      <c r="A33" s="15" t="s">
        <v>106</v>
      </c>
      <c r="B33" s="2" t="s">
        <v>24</v>
      </c>
      <c r="C33" s="2" t="str">
        <f aca="false">VLOOKUP(B33, at_filas!$A$2:$C$8,2,FALSE())</f>
        <v>Producción</v>
      </c>
      <c r="D33" s="2" t="n">
        <f aca="false">VLOOKUP(B33, at_filas!$A$2:$C$8,3,FALSE())</f>
        <v>1</v>
      </c>
      <c r="E33" s="16" t="n">
        <v>43</v>
      </c>
      <c r="F33" s="17" t="s">
        <v>107</v>
      </c>
      <c r="G33" s="2" t="s">
        <v>38</v>
      </c>
      <c r="H33" s="2" t="n">
        <v>4</v>
      </c>
      <c r="I33" s="2" t="s">
        <v>38</v>
      </c>
      <c r="J33" s="2" t="s">
        <v>38</v>
      </c>
      <c r="K33" s="0" t="s">
        <v>103</v>
      </c>
      <c r="L33" s="0" t="str">
        <f aca="false">VLOOKUP(K33,clasif_filas!$A$1:$J$39,2,FALSE())</f>
        <v>Metales, Maquianria, equipos y transporte</v>
      </c>
      <c r="M33" s="0" t="str">
        <f aca="false">VLOOKUP(K33,clasif_filas!$A$1:$J$39,3,FALSE())</f>
        <v>41-49</v>
      </c>
      <c r="N33" s="0" t="str">
        <f aca="false">VLOOKUP(K33,clasif_filas!$A$1:$J$39,4,FALSE())</f>
        <v>Metales, Maquianria, equipos y transporte</v>
      </c>
      <c r="O33" s="0" t="n">
        <f aca="false">VLOOKUP(K33,clasif_filas!$A$1:$J$39,5,FALSE())</f>
        <v>99</v>
      </c>
      <c r="P33" s="0" t="str">
        <f aca="false">VLOOKUP(K33,clasif_filas!$A$1:$J$39,6,FALSE())</f>
        <v>No Bioeconomía</v>
      </c>
      <c r="Q33" s="0" t="n">
        <f aca="false">VLOOKUP(K33,clasif_filas!$A$1:$J$39,7,FALSE())</f>
        <v>4</v>
      </c>
      <c r="R33" s="0" t="str">
        <f aca="false">VLOOKUP(K33,clasif_filas!$A$1:$J$39,8,FALSE())</f>
        <v>Productos metálicos, maquinaria y equipo</v>
      </c>
      <c r="S33" s="0" t="n">
        <f aca="false">VLOOKUP(K33,clasif_filas!$A$1:$J$39,9,FALSE())</f>
        <v>3</v>
      </c>
      <c r="T33" s="18" t="str">
        <f aca="false">VLOOKUP(K33,clasif_filas!$A$1:$J$39,10,FALSE())</f>
        <v>No bioeconomía</v>
      </c>
    </row>
    <row r="34" customFormat="false" ht="14.25" hidden="false" customHeight="false" outlineLevel="0" collapsed="false">
      <c r="A34" s="15" t="s">
        <v>108</v>
      </c>
      <c r="B34" s="2" t="s">
        <v>24</v>
      </c>
      <c r="C34" s="2" t="str">
        <f aca="false">VLOOKUP(B34, at_filas!$A$2:$C$8,2,FALSE())</f>
        <v>Producción</v>
      </c>
      <c r="D34" s="2" t="n">
        <f aca="false">VLOOKUP(B34, at_filas!$A$2:$C$8,3,FALSE())</f>
        <v>1</v>
      </c>
      <c r="E34" s="16" t="n">
        <v>44</v>
      </c>
      <c r="F34" s="17" t="s">
        <v>109</v>
      </c>
      <c r="G34" s="2" t="s">
        <v>38</v>
      </c>
      <c r="H34" s="2" t="n">
        <v>4</v>
      </c>
      <c r="I34" s="2" t="s">
        <v>38</v>
      </c>
      <c r="J34" s="2" t="s">
        <v>38</v>
      </c>
      <c r="K34" s="0" t="s">
        <v>103</v>
      </c>
      <c r="L34" s="0" t="str">
        <f aca="false">VLOOKUP(K34,clasif_filas!$A$1:$J$39,2,FALSE())</f>
        <v>Metales, Maquianria, equipos y transporte</v>
      </c>
      <c r="M34" s="0" t="str">
        <f aca="false">VLOOKUP(K34,clasif_filas!$A$1:$J$39,3,FALSE())</f>
        <v>41-49</v>
      </c>
      <c r="N34" s="0" t="str">
        <f aca="false">VLOOKUP(K34,clasif_filas!$A$1:$J$39,4,FALSE())</f>
        <v>Metales, Maquianria, equipos y transporte</v>
      </c>
      <c r="O34" s="0" t="n">
        <f aca="false">VLOOKUP(K34,clasif_filas!$A$1:$J$39,5,FALSE())</f>
        <v>99</v>
      </c>
      <c r="P34" s="0" t="str">
        <f aca="false">VLOOKUP(K34,clasif_filas!$A$1:$J$39,6,FALSE())</f>
        <v>No Bioeconomía</v>
      </c>
      <c r="Q34" s="0" t="n">
        <f aca="false">VLOOKUP(K34,clasif_filas!$A$1:$J$39,7,FALSE())</f>
        <v>4</v>
      </c>
      <c r="R34" s="0" t="str">
        <f aca="false">VLOOKUP(K34,clasif_filas!$A$1:$J$39,8,FALSE())</f>
        <v>Productos metálicos, maquinaria y equipo</v>
      </c>
      <c r="S34" s="0" t="n">
        <f aca="false">VLOOKUP(K34,clasif_filas!$A$1:$J$39,9,FALSE())</f>
        <v>3</v>
      </c>
      <c r="T34" s="18" t="str">
        <f aca="false">VLOOKUP(K34,clasif_filas!$A$1:$J$39,10,FALSE())</f>
        <v>No bioeconomía</v>
      </c>
    </row>
    <row r="35" customFormat="false" ht="14.25" hidden="false" customHeight="false" outlineLevel="0" collapsed="false">
      <c r="A35" s="15" t="s">
        <v>110</v>
      </c>
      <c r="B35" s="2" t="s">
        <v>24</v>
      </c>
      <c r="C35" s="2" t="str">
        <f aca="false">VLOOKUP(B35, at_filas!$A$2:$C$8,2,FALSE())</f>
        <v>Producción</v>
      </c>
      <c r="D35" s="2" t="n">
        <f aca="false">VLOOKUP(B35, at_filas!$A$2:$C$8,3,FALSE())</f>
        <v>1</v>
      </c>
      <c r="E35" s="16" t="n">
        <v>45</v>
      </c>
      <c r="F35" s="17" t="s">
        <v>111</v>
      </c>
      <c r="G35" s="2" t="s">
        <v>38</v>
      </c>
      <c r="H35" s="2" t="n">
        <v>4</v>
      </c>
      <c r="I35" s="2" t="s">
        <v>38</v>
      </c>
      <c r="J35" s="2" t="s">
        <v>38</v>
      </c>
      <c r="K35" s="0" t="s">
        <v>103</v>
      </c>
      <c r="L35" s="0" t="str">
        <f aca="false">VLOOKUP(K35,clasif_filas!$A$1:$J$39,2,FALSE())</f>
        <v>Metales, Maquianria, equipos y transporte</v>
      </c>
      <c r="M35" s="0" t="str">
        <f aca="false">VLOOKUP(K35,clasif_filas!$A$1:$J$39,3,FALSE())</f>
        <v>41-49</v>
      </c>
      <c r="N35" s="0" t="str">
        <f aca="false">VLOOKUP(K35,clasif_filas!$A$1:$J$39,4,FALSE())</f>
        <v>Metales, Maquianria, equipos y transporte</v>
      </c>
      <c r="O35" s="0" t="n">
        <f aca="false">VLOOKUP(K35,clasif_filas!$A$1:$J$39,5,FALSE())</f>
        <v>99</v>
      </c>
      <c r="P35" s="0" t="str">
        <f aca="false">VLOOKUP(K35,clasif_filas!$A$1:$J$39,6,FALSE())</f>
        <v>No Bioeconomía</v>
      </c>
      <c r="Q35" s="0" t="n">
        <f aca="false">VLOOKUP(K35,clasif_filas!$A$1:$J$39,7,FALSE())</f>
        <v>4</v>
      </c>
      <c r="R35" s="0" t="str">
        <f aca="false">VLOOKUP(K35,clasif_filas!$A$1:$J$39,8,FALSE())</f>
        <v>Productos metálicos, maquinaria y equipo</v>
      </c>
      <c r="S35" s="0" t="n">
        <f aca="false">VLOOKUP(K35,clasif_filas!$A$1:$J$39,9,FALSE())</f>
        <v>3</v>
      </c>
      <c r="T35" s="18" t="str">
        <f aca="false">VLOOKUP(K35,clasif_filas!$A$1:$J$39,10,FALSE())</f>
        <v>No bioeconomía</v>
      </c>
    </row>
    <row r="36" customFormat="false" ht="14.25" hidden="false" customHeight="false" outlineLevel="0" collapsed="false">
      <c r="A36" s="15" t="s">
        <v>112</v>
      </c>
      <c r="B36" s="2" t="s">
        <v>24</v>
      </c>
      <c r="C36" s="2" t="str">
        <f aca="false">VLOOKUP(B36, at_filas!$A$2:$C$8,2,FALSE())</f>
        <v>Producción</v>
      </c>
      <c r="D36" s="2" t="n">
        <f aca="false">VLOOKUP(B36, at_filas!$A$2:$C$8,3,FALSE())</f>
        <v>1</v>
      </c>
      <c r="E36" s="16" t="n">
        <v>46</v>
      </c>
      <c r="F36" s="17" t="s">
        <v>113</v>
      </c>
      <c r="G36" s="2" t="s">
        <v>38</v>
      </c>
      <c r="H36" s="2" t="n">
        <v>4</v>
      </c>
      <c r="I36" s="2" t="s">
        <v>38</v>
      </c>
      <c r="J36" s="2" t="s">
        <v>38</v>
      </c>
      <c r="K36" s="0" t="s">
        <v>103</v>
      </c>
      <c r="L36" s="0" t="str">
        <f aca="false">VLOOKUP(K36,clasif_filas!$A$1:$J$39,2,FALSE())</f>
        <v>Metales, Maquianria, equipos y transporte</v>
      </c>
      <c r="M36" s="0" t="str">
        <f aca="false">VLOOKUP(K36,clasif_filas!$A$1:$J$39,3,FALSE())</f>
        <v>41-49</v>
      </c>
      <c r="N36" s="0" t="str">
        <f aca="false">VLOOKUP(K36,clasif_filas!$A$1:$J$39,4,FALSE())</f>
        <v>Metales, Maquianria, equipos y transporte</v>
      </c>
      <c r="O36" s="0" t="n">
        <f aca="false">VLOOKUP(K36,clasif_filas!$A$1:$J$39,5,FALSE())</f>
        <v>99</v>
      </c>
      <c r="P36" s="0" t="str">
        <f aca="false">VLOOKUP(K36,clasif_filas!$A$1:$J$39,6,FALSE())</f>
        <v>No Bioeconomía</v>
      </c>
      <c r="Q36" s="0" t="n">
        <f aca="false">VLOOKUP(K36,clasif_filas!$A$1:$J$39,7,FALSE())</f>
        <v>4</v>
      </c>
      <c r="R36" s="0" t="str">
        <f aca="false">VLOOKUP(K36,clasif_filas!$A$1:$J$39,8,FALSE())</f>
        <v>Productos metálicos, maquinaria y equipo</v>
      </c>
      <c r="S36" s="0" t="n">
        <f aca="false">VLOOKUP(K36,clasif_filas!$A$1:$J$39,9,FALSE())</f>
        <v>3</v>
      </c>
      <c r="T36" s="18" t="str">
        <f aca="false">VLOOKUP(K36,clasif_filas!$A$1:$J$39,10,FALSE())</f>
        <v>No bioeconomía</v>
      </c>
    </row>
    <row r="37" customFormat="false" ht="14.25" hidden="false" customHeight="false" outlineLevel="0" collapsed="false">
      <c r="A37" s="15" t="s">
        <v>114</v>
      </c>
      <c r="B37" s="2" t="s">
        <v>24</v>
      </c>
      <c r="C37" s="2" t="str">
        <f aca="false">VLOOKUP(B37, at_filas!$A$2:$C$8,2,FALSE())</f>
        <v>Producción</v>
      </c>
      <c r="D37" s="2" t="n">
        <f aca="false">VLOOKUP(B37, at_filas!$A$2:$C$8,3,FALSE())</f>
        <v>1</v>
      </c>
      <c r="E37" s="16" t="n">
        <v>47</v>
      </c>
      <c r="F37" s="17" t="s">
        <v>115</v>
      </c>
      <c r="G37" s="2" t="s">
        <v>38</v>
      </c>
      <c r="H37" s="2" t="n">
        <v>4</v>
      </c>
      <c r="I37" s="2" t="s">
        <v>38</v>
      </c>
      <c r="J37" s="2" t="s">
        <v>38</v>
      </c>
      <c r="K37" s="0" t="s">
        <v>103</v>
      </c>
      <c r="L37" s="0" t="str">
        <f aca="false">VLOOKUP(K37,clasif_filas!$A$1:$J$39,2,FALSE())</f>
        <v>Metales, Maquianria, equipos y transporte</v>
      </c>
      <c r="M37" s="0" t="str">
        <f aca="false">VLOOKUP(K37,clasif_filas!$A$1:$J$39,3,FALSE())</f>
        <v>41-49</v>
      </c>
      <c r="N37" s="0" t="str">
        <f aca="false">VLOOKUP(K37,clasif_filas!$A$1:$J$39,4,FALSE())</f>
        <v>Metales, Maquianria, equipos y transporte</v>
      </c>
      <c r="O37" s="0" t="n">
        <f aca="false">VLOOKUP(K37,clasif_filas!$A$1:$J$39,5,FALSE())</f>
        <v>99</v>
      </c>
      <c r="P37" s="0" t="str">
        <f aca="false">VLOOKUP(K37,clasif_filas!$A$1:$J$39,6,FALSE())</f>
        <v>No Bioeconomía</v>
      </c>
      <c r="Q37" s="0" t="n">
        <f aca="false">VLOOKUP(K37,clasif_filas!$A$1:$J$39,7,FALSE())</f>
        <v>4</v>
      </c>
      <c r="R37" s="0" t="str">
        <f aca="false">VLOOKUP(K37,clasif_filas!$A$1:$J$39,8,FALSE())</f>
        <v>Productos metálicos, maquinaria y equipo</v>
      </c>
      <c r="S37" s="0" t="n">
        <f aca="false">VLOOKUP(K37,clasif_filas!$A$1:$J$39,9,FALSE())</f>
        <v>3</v>
      </c>
      <c r="T37" s="18" t="str">
        <f aca="false">VLOOKUP(K37,clasif_filas!$A$1:$J$39,10,FALSE())</f>
        <v>No bioeconomía</v>
      </c>
    </row>
    <row r="38" customFormat="false" ht="14.25" hidden="false" customHeight="false" outlineLevel="0" collapsed="false">
      <c r="A38" s="15" t="s">
        <v>116</v>
      </c>
      <c r="B38" s="2" t="s">
        <v>24</v>
      </c>
      <c r="C38" s="2" t="str">
        <f aca="false">VLOOKUP(B38, at_filas!$A$2:$C$8,2,FALSE())</f>
        <v>Producción</v>
      </c>
      <c r="D38" s="2" t="n">
        <f aca="false">VLOOKUP(B38, at_filas!$A$2:$C$8,3,FALSE())</f>
        <v>1</v>
      </c>
      <c r="E38" s="16" t="n">
        <v>48</v>
      </c>
      <c r="F38" s="17" t="s">
        <v>117</v>
      </c>
      <c r="G38" s="2" t="s">
        <v>38</v>
      </c>
      <c r="H38" s="2" t="n">
        <v>4</v>
      </c>
      <c r="I38" s="2" t="s">
        <v>38</v>
      </c>
      <c r="J38" s="2" t="s">
        <v>38</v>
      </c>
      <c r="K38" s="0" t="s">
        <v>103</v>
      </c>
      <c r="L38" s="0" t="str">
        <f aca="false">VLOOKUP(K38,clasif_filas!$A$1:$J$39,2,FALSE())</f>
        <v>Metales, Maquianria, equipos y transporte</v>
      </c>
      <c r="M38" s="0" t="str">
        <f aca="false">VLOOKUP(K38,clasif_filas!$A$1:$J$39,3,FALSE())</f>
        <v>41-49</v>
      </c>
      <c r="N38" s="0" t="str">
        <f aca="false">VLOOKUP(K38,clasif_filas!$A$1:$J$39,4,FALSE())</f>
        <v>Metales, Maquianria, equipos y transporte</v>
      </c>
      <c r="O38" s="0" t="n">
        <f aca="false">VLOOKUP(K38,clasif_filas!$A$1:$J$39,5,FALSE())</f>
        <v>99</v>
      </c>
      <c r="P38" s="0" t="str">
        <f aca="false">VLOOKUP(K38,clasif_filas!$A$1:$J$39,6,FALSE())</f>
        <v>No Bioeconomía</v>
      </c>
      <c r="Q38" s="0" t="n">
        <f aca="false">VLOOKUP(K38,clasif_filas!$A$1:$J$39,7,FALSE())</f>
        <v>4</v>
      </c>
      <c r="R38" s="0" t="str">
        <f aca="false">VLOOKUP(K38,clasif_filas!$A$1:$J$39,8,FALSE())</f>
        <v>Productos metálicos, maquinaria y equipo</v>
      </c>
      <c r="S38" s="0" t="n">
        <f aca="false">VLOOKUP(K38,clasif_filas!$A$1:$J$39,9,FALSE())</f>
        <v>3</v>
      </c>
      <c r="T38" s="18" t="str">
        <f aca="false">VLOOKUP(K38,clasif_filas!$A$1:$J$39,10,FALSE())</f>
        <v>No bioeconomía</v>
      </c>
    </row>
    <row r="39" customFormat="false" ht="14.25" hidden="false" customHeight="false" outlineLevel="0" collapsed="false">
      <c r="A39" s="15" t="s">
        <v>118</v>
      </c>
      <c r="B39" s="2" t="s">
        <v>24</v>
      </c>
      <c r="C39" s="2" t="str">
        <f aca="false">VLOOKUP(B39, at_filas!$A$2:$C$8,2,FALSE())</f>
        <v>Producción</v>
      </c>
      <c r="D39" s="2" t="n">
        <f aca="false">VLOOKUP(B39, at_filas!$A$2:$C$8,3,FALSE())</f>
        <v>1</v>
      </c>
      <c r="E39" s="16" t="n">
        <v>49</v>
      </c>
      <c r="F39" s="17" t="s">
        <v>119</v>
      </c>
      <c r="G39" s="2" t="s">
        <v>38</v>
      </c>
      <c r="H39" s="2" t="n">
        <v>4</v>
      </c>
      <c r="I39" s="2" t="s">
        <v>38</v>
      </c>
      <c r="J39" s="2" t="s">
        <v>38</v>
      </c>
      <c r="K39" s="0" t="s">
        <v>103</v>
      </c>
      <c r="L39" s="0" t="str">
        <f aca="false">VLOOKUP(K39,clasif_filas!$A$1:$J$39,2,FALSE())</f>
        <v>Metales, Maquianria, equipos y transporte</v>
      </c>
      <c r="M39" s="0" t="str">
        <f aca="false">VLOOKUP(K39,clasif_filas!$A$1:$J$39,3,FALSE())</f>
        <v>41-49</v>
      </c>
      <c r="N39" s="0" t="str">
        <f aca="false">VLOOKUP(K39,clasif_filas!$A$1:$J$39,4,FALSE())</f>
        <v>Metales, Maquianria, equipos y transporte</v>
      </c>
      <c r="O39" s="0" t="n">
        <f aca="false">VLOOKUP(K39,clasif_filas!$A$1:$J$39,5,FALSE())</f>
        <v>99</v>
      </c>
      <c r="P39" s="0" t="str">
        <f aca="false">VLOOKUP(K39,clasif_filas!$A$1:$J$39,6,FALSE())</f>
        <v>No Bioeconomía</v>
      </c>
      <c r="Q39" s="0" t="n">
        <f aca="false">VLOOKUP(K39,clasif_filas!$A$1:$J$39,7,FALSE())</f>
        <v>4</v>
      </c>
      <c r="R39" s="0" t="str">
        <f aca="false">VLOOKUP(K39,clasif_filas!$A$1:$J$39,8,FALSE())</f>
        <v>Productos metálicos, maquinaria y equipo</v>
      </c>
      <c r="S39" s="0" t="n">
        <f aca="false">VLOOKUP(K39,clasif_filas!$A$1:$J$39,9,FALSE())</f>
        <v>3</v>
      </c>
      <c r="T39" s="18" t="str">
        <f aca="false">VLOOKUP(K39,clasif_filas!$A$1:$J$39,10,FALSE())</f>
        <v>No bioeconomía</v>
      </c>
    </row>
    <row r="40" customFormat="false" ht="14.25" hidden="false" customHeight="false" outlineLevel="0" collapsed="false">
      <c r="A40" s="15" t="s">
        <v>120</v>
      </c>
      <c r="B40" s="2" t="s">
        <v>24</v>
      </c>
      <c r="C40" s="2" t="str">
        <f aca="false">VLOOKUP(B40, at_filas!$A$2:$C$8,2,FALSE())</f>
        <v>Producción</v>
      </c>
      <c r="D40" s="2" t="n">
        <f aca="false">VLOOKUP(B40, at_filas!$A$2:$C$8,3,FALSE())</f>
        <v>1</v>
      </c>
      <c r="E40" s="16" t="n">
        <v>53</v>
      </c>
      <c r="F40" s="17" t="s">
        <v>121</v>
      </c>
      <c r="G40" s="2" t="s">
        <v>38</v>
      </c>
      <c r="H40" s="2" t="n">
        <v>4</v>
      </c>
      <c r="I40" s="2" t="s">
        <v>38</v>
      </c>
      <c r="J40" s="2" t="s">
        <v>38</v>
      </c>
      <c r="K40" s="0" t="n">
        <v>5</v>
      </c>
      <c r="L40" s="0" t="str">
        <f aca="false">VLOOKUP(K40,clasif_filas!$A$1:$J$39,2,FALSE())</f>
        <v>Construcciones y servicios de construcción</v>
      </c>
      <c r="M40" s="0" t="n">
        <f aca="false">VLOOKUP(K40,clasif_filas!$A$1:$J$39,3,FALSE())</f>
        <v>53</v>
      </c>
      <c r="N40" s="0" t="str">
        <f aca="false">VLOOKUP(K40,clasif_filas!$A$1:$J$39,4,FALSE())</f>
        <v>Construcciones</v>
      </c>
      <c r="O40" s="0" t="n">
        <f aca="false">VLOOKUP(K40,clasif_filas!$A$1:$J$39,5,FALSE())</f>
        <v>99</v>
      </c>
      <c r="P40" s="0" t="str">
        <f aca="false">VLOOKUP(K40,clasif_filas!$A$1:$J$39,6,FALSE())</f>
        <v>No Bioeconomía</v>
      </c>
      <c r="Q40" s="0" t="n">
        <f aca="false">VLOOKUP(K40,clasif_filas!$A$1:$J$39,7,FALSE())</f>
        <v>5</v>
      </c>
      <c r="R40" s="0" t="str">
        <f aca="false">VLOOKUP(K40,clasif_filas!$A$1:$J$39,8,FALSE())</f>
        <v>Construcciones y servicios de construcción</v>
      </c>
      <c r="S40" s="0" t="n">
        <f aca="false">VLOOKUP(K40,clasif_filas!$A$1:$J$39,9,FALSE())</f>
        <v>3</v>
      </c>
      <c r="T40" s="18" t="str">
        <f aca="false">VLOOKUP(K40,clasif_filas!$A$1:$J$39,10,FALSE())</f>
        <v>No bioeconomía</v>
      </c>
    </row>
    <row r="41" customFormat="false" ht="14.25" hidden="false" customHeight="false" outlineLevel="0" collapsed="false">
      <c r="A41" s="15" t="s">
        <v>122</v>
      </c>
      <c r="B41" s="2" t="s">
        <v>24</v>
      </c>
      <c r="C41" s="2" t="str">
        <f aca="false">VLOOKUP(B41, at_filas!$A$2:$C$8,2,FALSE())</f>
        <v>Producción</v>
      </c>
      <c r="D41" s="2" t="n">
        <f aca="false">VLOOKUP(B41, at_filas!$A$2:$C$8,3,FALSE())</f>
        <v>1</v>
      </c>
      <c r="E41" s="16" t="n">
        <v>54</v>
      </c>
      <c r="F41" s="17" t="s">
        <v>123</v>
      </c>
      <c r="G41" s="2" t="s">
        <v>38</v>
      </c>
      <c r="H41" s="2" t="n">
        <v>4</v>
      </c>
      <c r="I41" s="2" t="s">
        <v>38</v>
      </c>
      <c r="J41" s="2" t="s">
        <v>38</v>
      </c>
      <c r="K41" s="0" t="n">
        <v>5</v>
      </c>
      <c r="L41" s="0" t="str">
        <f aca="false">VLOOKUP(K41,clasif_filas!$A$1:$J$39,2,FALSE())</f>
        <v>Construcciones y servicios de construcción</v>
      </c>
      <c r="M41" s="0" t="n">
        <f aca="false">VLOOKUP(K41,clasif_filas!$A$1:$J$39,3,FALSE())</f>
        <v>53</v>
      </c>
      <c r="N41" s="0" t="str">
        <f aca="false">VLOOKUP(K41,clasif_filas!$A$1:$J$39,4,FALSE())</f>
        <v>Construcciones</v>
      </c>
      <c r="O41" s="0" t="n">
        <f aca="false">VLOOKUP(K41,clasif_filas!$A$1:$J$39,5,FALSE())</f>
        <v>99</v>
      </c>
      <c r="P41" s="0" t="str">
        <f aca="false">VLOOKUP(K41,clasif_filas!$A$1:$J$39,6,FALSE())</f>
        <v>No Bioeconomía</v>
      </c>
      <c r="Q41" s="0" t="n">
        <f aca="false">VLOOKUP(K41,clasif_filas!$A$1:$J$39,7,FALSE())</f>
        <v>5</v>
      </c>
      <c r="R41" s="0" t="str">
        <f aca="false">VLOOKUP(K41,clasif_filas!$A$1:$J$39,8,FALSE())</f>
        <v>Construcciones y servicios de construcción</v>
      </c>
      <c r="S41" s="0" t="n">
        <f aca="false">VLOOKUP(K41,clasif_filas!$A$1:$J$39,9,FALSE())</f>
        <v>3</v>
      </c>
      <c r="T41" s="18" t="str">
        <f aca="false">VLOOKUP(K41,clasif_filas!$A$1:$J$39,10,FALSE())</f>
        <v>No bioeconomía</v>
      </c>
    </row>
    <row r="42" customFormat="false" ht="14.25" hidden="false" customHeight="false" outlineLevel="0" collapsed="false">
      <c r="A42" s="15" t="s">
        <v>124</v>
      </c>
      <c r="B42" s="2" t="s">
        <v>24</v>
      </c>
      <c r="C42" s="2" t="str">
        <f aca="false">VLOOKUP(B42, at_filas!$A$2:$C$8,2,FALSE())</f>
        <v>Producción</v>
      </c>
      <c r="D42" s="2" t="n">
        <f aca="false">VLOOKUP(B42, at_filas!$A$2:$C$8,3,FALSE())</f>
        <v>1</v>
      </c>
      <c r="E42" s="16" t="s">
        <v>125</v>
      </c>
      <c r="F42" s="17" t="s">
        <v>126</v>
      </c>
      <c r="G42" s="2" t="s">
        <v>38</v>
      </c>
      <c r="H42" s="2" t="n">
        <v>4</v>
      </c>
      <c r="I42" s="2" t="s">
        <v>38</v>
      </c>
      <c r="J42" s="2" t="s">
        <v>38</v>
      </c>
      <c r="K42" s="0" t="n">
        <v>6</v>
      </c>
      <c r="L42" s="0" t="str">
        <f aca="false">VLOOKUP(K42,clasif_filas!$A$1:$J$39,2,FALSE())</f>
        <v>Otros servicios</v>
      </c>
      <c r="M42" s="0" t="n">
        <f aca="false">VLOOKUP(K42,clasif_filas!$A$1:$J$39,3,FALSE())</f>
        <v>6</v>
      </c>
      <c r="N42" s="0" t="str">
        <f aca="false">VLOOKUP(K42,clasif_filas!$A$1:$J$39,4,FALSE())</f>
        <v>Otros servicios</v>
      </c>
      <c r="O42" s="0" t="n">
        <f aca="false">VLOOKUP(K42,clasif_filas!$A$1:$J$39,5,FALSE())</f>
        <v>99</v>
      </c>
      <c r="P42" s="0" t="str">
        <f aca="false">VLOOKUP(K42,clasif_filas!$A$1:$J$39,6,FALSE())</f>
        <v>No Bioeconomía</v>
      </c>
      <c r="Q42" s="0" t="n">
        <f aca="false">VLOOKUP(K42,clasif_filas!$A$1:$J$39,7,FALSE())</f>
        <v>6</v>
      </c>
      <c r="R42" s="0" t="str">
        <f aca="false">VLOOKUP(K42,clasif_filas!$A$1:$J$39,8,FALSE())</f>
        <v>Servicios comerciales de distribución; alojamiento, servicios de suministro de comidas y bebidas; servicios de transporte; y servicios de distribución de electricidad, gas y agua</v>
      </c>
      <c r="S42" s="0" t="n">
        <f aca="false">VLOOKUP(K42,clasif_filas!$A$1:$J$39,9,FALSE())</f>
        <v>3</v>
      </c>
      <c r="T42" s="18" t="str">
        <f aca="false">VLOOKUP(K42,clasif_filas!$A$1:$J$39,10,FALSE())</f>
        <v>No bioeconomía</v>
      </c>
    </row>
    <row r="43" customFormat="false" ht="14.25" hidden="false" customHeight="false" outlineLevel="0" collapsed="false">
      <c r="A43" s="15" t="s">
        <v>127</v>
      </c>
      <c r="B43" s="2" t="s">
        <v>24</v>
      </c>
      <c r="C43" s="2" t="str">
        <f aca="false">VLOOKUP(B43, at_filas!$A$2:$C$8,2,FALSE())</f>
        <v>Producción</v>
      </c>
      <c r="D43" s="2" t="n">
        <f aca="false">VLOOKUP(B43, at_filas!$A$2:$C$8,3,FALSE())</f>
        <v>1</v>
      </c>
      <c r="E43" s="16" t="n">
        <v>63</v>
      </c>
      <c r="F43" s="17" t="s">
        <v>128</v>
      </c>
      <c r="G43" s="2" t="s">
        <v>129</v>
      </c>
      <c r="H43" s="2" t="n">
        <v>3</v>
      </c>
      <c r="I43" s="2" t="s">
        <v>89</v>
      </c>
      <c r="J43" s="2" t="s">
        <v>129</v>
      </c>
      <c r="K43" s="0" t="n">
        <v>63</v>
      </c>
      <c r="L43" s="0" t="str">
        <f aca="false">VLOOKUP(K43,clasif_filas!$A$1:$J$39,2,FALSE())</f>
        <v>Alojamiento, servicios de suministro de comidas y bebidas</v>
      </c>
      <c r="M43" s="0" t="n">
        <f aca="false">VLOOKUP(K43,clasif_filas!$A$1:$J$39,3,FALSE())</f>
        <v>63</v>
      </c>
      <c r="N43" s="0" t="str">
        <f aca="false">VLOOKUP(K43,clasif_filas!$A$1:$J$39,4,FALSE())</f>
        <v>Alojamiento, servicios de suministro de comidas y bebidas</v>
      </c>
      <c r="O43" s="0" t="n">
        <f aca="false">VLOOKUP(K43,clasif_filas!$A$1:$J$39,5,FALSE())</f>
        <v>6</v>
      </c>
      <c r="P43" s="0" t="str">
        <f aca="false">VLOOKUP(K43,clasif_filas!$A$1:$J$39,6,FALSE())</f>
        <v>Conocimiento, procesos y servicios relacionados</v>
      </c>
      <c r="Q43" s="0" t="n">
        <f aca="false">VLOOKUP(K43,clasif_filas!$A$1:$J$39,7,FALSE())</f>
        <v>6</v>
      </c>
      <c r="R43" s="0" t="str">
        <f aca="false">VLOOKUP(K43,clasif_filas!$A$1:$J$39,8,FALSE())</f>
        <v>Servicios comerciales de distribución; alojamiento, servicios de suministro de comidas y bebidas; servicios de transporte; y servicios de distribución de electricidad, gas y agua</v>
      </c>
      <c r="S43" s="0" t="n">
        <f aca="false">VLOOKUP(K43,clasif_filas!$A$1:$J$39,9,FALSE())</f>
        <v>2</v>
      </c>
      <c r="T43" s="18" t="str">
        <f aca="false">VLOOKUP(K43,clasif_filas!$A$1:$J$39,10,FALSE())</f>
        <v>Bioeconomía extendida</v>
      </c>
    </row>
    <row r="44" customFormat="false" ht="37.55" hidden="false" customHeight="false" outlineLevel="0" collapsed="false">
      <c r="A44" s="15" t="s">
        <v>130</v>
      </c>
      <c r="B44" s="2" t="s">
        <v>24</v>
      </c>
      <c r="C44" s="2" t="str">
        <f aca="false">VLOOKUP(B44, at_filas!$A$2:$C$8,2,FALSE())</f>
        <v>Producción</v>
      </c>
      <c r="D44" s="2" t="n">
        <f aca="false">VLOOKUP(B44, at_filas!$A$2:$C$8,3,FALSE())</f>
        <v>1</v>
      </c>
      <c r="E44" s="16" t="s">
        <v>131</v>
      </c>
      <c r="F44" s="17" t="s">
        <v>132</v>
      </c>
      <c r="G44" s="2" t="s">
        <v>38</v>
      </c>
      <c r="H44" s="2" t="n">
        <v>4</v>
      </c>
      <c r="I44" s="2" t="s">
        <v>38</v>
      </c>
      <c r="J44" s="2" t="s">
        <v>38</v>
      </c>
      <c r="K44" s="0" t="n">
        <v>6</v>
      </c>
      <c r="L44" s="0" t="str">
        <f aca="false">VLOOKUP(K44,clasif_filas!$A$1:$J$39,2,FALSE())</f>
        <v>Otros servicios</v>
      </c>
      <c r="M44" s="0" t="n">
        <f aca="false">VLOOKUP(K44,clasif_filas!$A$1:$J$39,3,FALSE())</f>
        <v>6</v>
      </c>
      <c r="N44" s="0" t="str">
        <f aca="false">VLOOKUP(K44,clasif_filas!$A$1:$J$39,4,FALSE())</f>
        <v>Otros servicios</v>
      </c>
      <c r="O44" s="0" t="n">
        <f aca="false">VLOOKUP(K44,clasif_filas!$A$1:$J$39,5,FALSE())</f>
        <v>99</v>
      </c>
      <c r="P44" s="0" t="str">
        <f aca="false">VLOOKUP(K44,clasif_filas!$A$1:$J$39,6,FALSE())</f>
        <v>No Bioeconomía</v>
      </c>
      <c r="Q44" s="0" t="n">
        <f aca="false">VLOOKUP(K44,clasif_filas!$A$1:$J$39,7,FALSE())</f>
        <v>6</v>
      </c>
      <c r="R44" s="0" t="str">
        <f aca="false">VLOOKUP(K44,clasif_filas!$A$1:$J$39,8,FALSE())</f>
        <v>Servicios comerciales de distribución; alojamiento, servicios de suministro de comidas y bebidas; servicios de transporte; y servicios de distribución de electricidad, gas y agua</v>
      </c>
      <c r="S44" s="0" t="n">
        <f aca="false">VLOOKUP(K44,clasif_filas!$A$1:$J$39,9,FALSE())</f>
        <v>3</v>
      </c>
      <c r="T44" s="18" t="str">
        <f aca="false">VLOOKUP(K44,clasif_filas!$A$1:$J$39,10,FALSE())</f>
        <v>No bioeconomía</v>
      </c>
    </row>
    <row r="45" customFormat="false" ht="14.25" hidden="false" customHeight="false" outlineLevel="0" collapsed="false">
      <c r="A45" s="15" t="s">
        <v>133</v>
      </c>
      <c r="B45" s="2" t="s">
        <v>24</v>
      </c>
      <c r="C45" s="2" t="str">
        <f aca="false">VLOOKUP(B45, at_filas!$A$2:$C$8,2,FALSE())</f>
        <v>Producción</v>
      </c>
      <c r="D45" s="2" t="n">
        <f aca="false">VLOOKUP(B45, at_filas!$A$2:$C$8,3,FALSE())</f>
        <v>1</v>
      </c>
      <c r="E45" s="16" t="n">
        <v>67</v>
      </c>
      <c r="F45" s="17" t="s">
        <v>134</v>
      </c>
      <c r="G45" s="2" t="s">
        <v>38</v>
      </c>
      <c r="H45" s="2" t="n">
        <v>4</v>
      </c>
      <c r="I45" s="2" t="s">
        <v>38</v>
      </c>
      <c r="J45" s="2" t="s">
        <v>38</v>
      </c>
      <c r="K45" s="0" t="n">
        <v>6</v>
      </c>
      <c r="L45" s="0" t="str">
        <f aca="false">VLOOKUP(K45,clasif_filas!$A$1:$J$39,2,FALSE())</f>
        <v>Otros servicios</v>
      </c>
      <c r="M45" s="0" t="n">
        <f aca="false">VLOOKUP(K45,clasif_filas!$A$1:$J$39,3,FALSE())</f>
        <v>6</v>
      </c>
      <c r="N45" s="0" t="str">
        <f aca="false">VLOOKUP(K45,clasif_filas!$A$1:$J$39,4,FALSE())</f>
        <v>Otros servicios</v>
      </c>
      <c r="O45" s="0" t="n">
        <f aca="false">VLOOKUP(K45,clasif_filas!$A$1:$J$39,5,FALSE())</f>
        <v>99</v>
      </c>
      <c r="P45" s="0" t="str">
        <f aca="false">VLOOKUP(K45,clasif_filas!$A$1:$J$39,6,FALSE())</f>
        <v>No Bioeconomía</v>
      </c>
      <c r="Q45" s="0" t="n">
        <f aca="false">VLOOKUP(K45,clasif_filas!$A$1:$J$39,7,FALSE())</f>
        <v>6</v>
      </c>
      <c r="R45" s="0" t="str">
        <f aca="false">VLOOKUP(K45,clasif_filas!$A$1:$J$39,8,FALSE())</f>
        <v>Servicios comerciales de distribución; alojamiento, servicios de suministro de comidas y bebidas; servicios de transporte; y servicios de distribución de electricidad, gas y agua</v>
      </c>
      <c r="S45" s="0" t="n">
        <f aca="false">VLOOKUP(K45,clasif_filas!$A$1:$J$39,9,FALSE())</f>
        <v>3</v>
      </c>
      <c r="T45" s="18" t="str">
        <f aca="false">VLOOKUP(K45,clasif_filas!$A$1:$J$39,10,FALSE())</f>
        <v>No bioeconomía</v>
      </c>
    </row>
    <row r="46" customFormat="false" ht="14.25" hidden="false" customHeight="false" outlineLevel="0" collapsed="false">
      <c r="A46" s="15" t="s">
        <v>135</v>
      </c>
      <c r="B46" s="2" t="s">
        <v>24</v>
      </c>
      <c r="C46" s="2" t="str">
        <f aca="false">VLOOKUP(B46, at_filas!$A$2:$C$8,2,FALSE())</f>
        <v>Producción</v>
      </c>
      <c r="D46" s="2" t="n">
        <f aca="false">VLOOKUP(B46, at_filas!$A$2:$C$8,3,FALSE())</f>
        <v>1</v>
      </c>
      <c r="E46" s="16" t="n">
        <v>68</v>
      </c>
      <c r="F46" s="17" t="s">
        <v>136</v>
      </c>
      <c r="G46" s="2" t="s">
        <v>38</v>
      </c>
      <c r="H46" s="2" t="n">
        <v>4</v>
      </c>
      <c r="I46" s="2" t="s">
        <v>38</v>
      </c>
      <c r="J46" s="2" t="s">
        <v>38</v>
      </c>
      <c r="K46" s="0" t="n">
        <v>6</v>
      </c>
      <c r="L46" s="0" t="str">
        <f aca="false">VLOOKUP(K46,clasif_filas!$A$1:$J$39,2,FALSE())</f>
        <v>Otros servicios</v>
      </c>
      <c r="M46" s="0" t="n">
        <f aca="false">VLOOKUP(K46,clasif_filas!$A$1:$J$39,3,FALSE())</f>
        <v>6</v>
      </c>
      <c r="N46" s="0" t="str">
        <f aca="false">VLOOKUP(K46,clasif_filas!$A$1:$J$39,4,FALSE())</f>
        <v>Otros servicios</v>
      </c>
      <c r="O46" s="0" t="n">
        <f aca="false">VLOOKUP(K46,clasif_filas!$A$1:$J$39,5,FALSE())</f>
        <v>99</v>
      </c>
      <c r="P46" s="0" t="str">
        <f aca="false">VLOOKUP(K46,clasif_filas!$A$1:$J$39,6,FALSE())</f>
        <v>No Bioeconomía</v>
      </c>
      <c r="Q46" s="0" t="n">
        <f aca="false">VLOOKUP(K46,clasif_filas!$A$1:$J$39,7,FALSE())</f>
        <v>6</v>
      </c>
      <c r="R46" s="0" t="str">
        <f aca="false">VLOOKUP(K46,clasif_filas!$A$1:$J$39,8,FALSE())</f>
        <v>Servicios comerciales de distribución; alojamiento, servicios de suministro de comidas y bebidas; servicios de transporte; y servicios de distribución de electricidad, gas y agua</v>
      </c>
      <c r="S46" s="0" t="n">
        <f aca="false">VLOOKUP(K46,clasif_filas!$A$1:$J$39,9,FALSE())</f>
        <v>3</v>
      </c>
      <c r="T46" s="18" t="str">
        <f aca="false">VLOOKUP(K46,clasif_filas!$A$1:$J$39,10,FALSE())</f>
        <v>No bioeconomía</v>
      </c>
    </row>
    <row r="47" customFormat="false" ht="25.55" hidden="false" customHeight="false" outlineLevel="0" collapsed="false">
      <c r="A47" s="15" t="s">
        <v>137</v>
      </c>
      <c r="B47" s="2" t="s">
        <v>24</v>
      </c>
      <c r="C47" s="2" t="str">
        <f aca="false">VLOOKUP(B47, at_filas!$A$2:$C$8,2,FALSE())</f>
        <v>Producción</v>
      </c>
      <c r="D47" s="2" t="n">
        <f aca="false">VLOOKUP(B47, at_filas!$A$2:$C$8,3,FALSE())</f>
        <v>1</v>
      </c>
      <c r="E47" s="16" t="n">
        <v>69</v>
      </c>
      <c r="F47" s="17" t="s">
        <v>138</v>
      </c>
      <c r="G47" s="2" t="s">
        <v>129</v>
      </c>
      <c r="H47" s="2" t="n">
        <v>3</v>
      </c>
      <c r="I47" s="2" t="s">
        <v>89</v>
      </c>
      <c r="J47" s="2" t="s">
        <v>129</v>
      </c>
      <c r="K47" s="0" t="n">
        <v>69</v>
      </c>
      <c r="L47" s="0" t="str">
        <f aca="false">VLOOKUP(K47,clasif_filas!$A$1:$J$39,2,FALSE())</f>
        <v>Distribución de electricidad, gas y agua (por cuenta propia)</v>
      </c>
      <c r="M47" s="0" t="n">
        <f aca="false">VLOOKUP(K47,clasif_filas!$A$1:$J$39,3,FALSE())</f>
        <v>69</v>
      </c>
      <c r="N47" s="0" t="str">
        <f aca="false">VLOOKUP(K47,clasif_filas!$A$1:$J$39,4,FALSE())</f>
        <v>Distribución de electricidad, gas y agua (por cuenta propia)</v>
      </c>
      <c r="O47" s="0" t="n">
        <f aca="false">VLOOKUP(K47,clasif_filas!$A$1:$J$39,5,FALSE())</f>
        <v>6</v>
      </c>
      <c r="P47" s="0" t="str">
        <f aca="false">VLOOKUP(K47,clasif_filas!$A$1:$J$39,6,FALSE())</f>
        <v>Conocimiento, procesos y servicios relacionados</v>
      </c>
      <c r="Q47" s="0" t="n">
        <f aca="false">VLOOKUP(K47,clasif_filas!$A$1:$J$39,7,FALSE())</f>
        <v>6</v>
      </c>
      <c r="R47" s="0" t="str">
        <f aca="false">VLOOKUP(K47,clasif_filas!$A$1:$J$39,8,FALSE())</f>
        <v>Servicios comerciales de distribución; alojamiento, servicios de suministro de comidas y bebidas; servicios de transporte; y servicios de distribución de electricidad, gas y agua</v>
      </c>
      <c r="S47" s="0" t="n">
        <f aca="false">VLOOKUP(K47,clasif_filas!$A$1:$J$39,9,FALSE())</f>
        <v>2</v>
      </c>
      <c r="T47" s="18" t="str">
        <f aca="false">VLOOKUP(K47,clasif_filas!$A$1:$J$39,10,FALSE())</f>
        <v>Bioeconomía extendida</v>
      </c>
    </row>
    <row r="48" customFormat="false" ht="14.25" hidden="false" customHeight="false" outlineLevel="0" collapsed="false">
      <c r="A48" s="15" t="s">
        <v>139</v>
      </c>
      <c r="B48" s="2" t="s">
        <v>24</v>
      </c>
      <c r="C48" s="2" t="str">
        <f aca="false">VLOOKUP(B48, at_filas!$A$2:$C$8,2,FALSE())</f>
        <v>Producción</v>
      </c>
      <c r="D48" s="2" t="n">
        <f aca="false">VLOOKUP(B48, at_filas!$A$2:$C$8,3,FALSE())</f>
        <v>1</v>
      </c>
      <c r="E48" s="16" t="n">
        <v>71</v>
      </c>
      <c r="F48" s="17" t="s">
        <v>140</v>
      </c>
      <c r="G48" s="2" t="s">
        <v>38</v>
      </c>
      <c r="H48" s="2" t="n">
        <v>4</v>
      </c>
      <c r="I48" s="2" t="s">
        <v>38</v>
      </c>
      <c r="J48" s="2" t="s">
        <v>38</v>
      </c>
      <c r="K48" s="0" t="n">
        <v>6</v>
      </c>
      <c r="L48" s="0" t="str">
        <f aca="false">VLOOKUP(K48,clasif_filas!$A$1:$J$39,2,FALSE())</f>
        <v>Otros servicios</v>
      </c>
      <c r="M48" s="0" t="n">
        <f aca="false">VLOOKUP(K48,clasif_filas!$A$1:$J$39,3,FALSE())</f>
        <v>6</v>
      </c>
      <c r="N48" s="0" t="str">
        <f aca="false">VLOOKUP(K48,clasif_filas!$A$1:$J$39,4,FALSE())</f>
        <v>Otros servicios</v>
      </c>
      <c r="O48" s="0" t="n">
        <f aca="false">VLOOKUP(K48,clasif_filas!$A$1:$J$39,5,FALSE())</f>
        <v>99</v>
      </c>
      <c r="P48" s="0" t="str">
        <f aca="false">VLOOKUP(K48,clasif_filas!$A$1:$J$39,6,FALSE())</f>
        <v>No Bioeconomía</v>
      </c>
      <c r="Q48" s="0" t="n">
        <f aca="false">VLOOKUP(K48,clasif_filas!$A$1:$J$39,7,FALSE())</f>
        <v>6</v>
      </c>
      <c r="R48" s="0" t="str">
        <f aca="false">VLOOKUP(K48,clasif_filas!$A$1:$J$39,8,FALSE())</f>
        <v>Servicios comerciales de distribución; alojamiento, servicios de suministro de comidas y bebidas; servicios de transporte; y servicios de distribución de electricidad, gas y agua</v>
      </c>
      <c r="S48" s="0" t="n">
        <f aca="false">VLOOKUP(K48,clasif_filas!$A$1:$J$39,9,FALSE())</f>
        <v>3</v>
      </c>
      <c r="T48" s="18" t="str">
        <f aca="false">VLOOKUP(K48,clasif_filas!$A$1:$J$39,10,FALSE())</f>
        <v>No bioeconomía</v>
      </c>
    </row>
    <row r="49" customFormat="false" ht="14.25" hidden="false" customHeight="false" outlineLevel="0" collapsed="false">
      <c r="A49" s="15" t="s">
        <v>141</v>
      </c>
      <c r="B49" s="2" t="s">
        <v>24</v>
      </c>
      <c r="C49" s="2" t="str">
        <f aca="false">VLOOKUP(B49, at_filas!$A$2:$C$8,2,FALSE())</f>
        <v>Producción</v>
      </c>
      <c r="D49" s="2" t="n">
        <f aca="false">VLOOKUP(B49, at_filas!$A$2:$C$8,3,FALSE())</f>
        <v>1</v>
      </c>
      <c r="E49" s="16" t="n">
        <v>72</v>
      </c>
      <c r="F49" s="17" t="s">
        <v>142</v>
      </c>
      <c r="G49" s="2" t="s">
        <v>38</v>
      </c>
      <c r="H49" s="2" t="n">
        <v>4</v>
      </c>
      <c r="I49" s="2" t="s">
        <v>38</v>
      </c>
      <c r="J49" s="2" t="s">
        <v>38</v>
      </c>
      <c r="K49" s="0" t="n">
        <v>6</v>
      </c>
      <c r="L49" s="0" t="str">
        <f aca="false">VLOOKUP(K49,clasif_filas!$A$1:$J$39,2,FALSE())</f>
        <v>Otros servicios</v>
      </c>
      <c r="M49" s="0" t="n">
        <f aca="false">VLOOKUP(K49,clasif_filas!$A$1:$J$39,3,FALSE())</f>
        <v>6</v>
      </c>
      <c r="N49" s="0" t="str">
        <f aca="false">VLOOKUP(K49,clasif_filas!$A$1:$J$39,4,FALSE())</f>
        <v>Otros servicios</v>
      </c>
      <c r="O49" s="0" t="n">
        <f aca="false">VLOOKUP(K49,clasif_filas!$A$1:$J$39,5,FALSE())</f>
        <v>99</v>
      </c>
      <c r="P49" s="0" t="str">
        <f aca="false">VLOOKUP(K49,clasif_filas!$A$1:$J$39,6,FALSE())</f>
        <v>No Bioeconomía</v>
      </c>
      <c r="Q49" s="0" t="n">
        <f aca="false">VLOOKUP(K49,clasif_filas!$A$1:$J$39,7,FALSE())</f>
        <v>6</v>
      </c>
      <c r="R49" s="0" t="str">
        <f aca="false">VLOOKUP(K49,clasif_filas!$A$1:$J$39,8,FALSE())</f>
        <v>Servicios comerciales de distribución; alojamiento, servicios de suministro de comidas y bebidas; servicios de transporte; y servicios de distribución de electricidad, gas y agua</v>
      </c>
      <c r="S49" s="0" t="n">
        <f aca="false">VLOOKUP(K49,clasif_filas!$A$1:$J$39,9,FALSE())</f>
        <v>3</v>
      </c>
      <c r="T49" s="18" t="str">
        <f aca="false">VLOOKUP(K49,clasif_filas!$A$1:$J$39,10,FALSE())</f>
        <v>No bioeconomía</v>
      </c>
    </row>
    <row r="50" customFormat="false" ht="14.25" hidden="false" customHeight="false" outlineLevel="0" collapsed="false">
      <c r="A50" s="15" t="s">
        <v>143</v>
      </c>
      <c r="B50" s="2" t="s">
        <v>24</v>
      </c>
      <c r="C50" s="2" t="str">
        <f aca="false">VLOOKUP(B50, at_filas!$A$2:$C$8,2,FALSE())</f>
        <v>Producción</v>
      </c>
      <c r="D50" s="2" t="n">
        <f aca="false">VLOOKUP(B50, at_filas!$A$2:$C$8,3,FALSE())</f>
        <v>1</v>
      </c>
      <c r="E50" s="16" t="n">
        <v>73</v>
      </c>
      <c r="F50" s="17" t="s">
        <v>144</v>
      </c>
      <c r="G50" s="2" t="s">
        <v>38</v>
      </c>
      <c r="H50" s="2" t="n">
        <v>4</v>
      </c>
      <c r="I50" s="2" t="s">
        <v>38</v>
      </c>
      <c r="J50" s="2" t="s">
        <v>38</v>
      </c>
      <c r="K50" s="0" t="n">
        <v>6</v>
      </c>
      <c r="L50" s="0" t="str">
        <f aca="false">VLOOKUP(K50,clasif_filas!$A$1:$J$39,2,FALSE())</f>
        <v>Otros servicios</v>
      </c>
      <c r="M50" s="0" t="n">
        <f aca="false">VLOOKUP(K50,clasif_filas!$A$1:$J$39,3,FALSE())</f>
        <v>6</v>
      </c>
      <c r="N50" s="0" t="str">
        <f aca="false">VLOOKUP(K50,clasif_filas!$A$1:$J$39,4,FALSE())</f>
        <v>Otros servicios</v>
      </c>
      <c r="O50" s="0" t="n">
        <f aca="false">VLOOKUP(K50,clasif_filas!$A$1:$J$39,5,FALSE())</f>
        <v>99</v>
      </c>
      <c r="P50" s="0" t="str">
        <f aca="false">VLOOKUP(K50,clasif_filas!$A$1:$J$39,6,FALSE())</f>
        <v>No Bioeconomía</v>
      </c>
      <c r="Q50" s="0" t="n">
        <f aca="false">VLOOKUP(K50,clasif_filas!$A$1:$J$39,7,FALSE())</f>
        <v>6</v>
      </c>
      <c r="R50" s="0" t="str">
        <f aca="false">VLOOKUP(K50,clasif_filas!$A$1:$J$39,8,FALSE())</f>
        <v>Servicios comerciales de distribución; alojamiento, servicios de suministro de comidas y bebidas; servicios de transporte; y servicios de distribución de electricidad, gas y agua</v>
      </c>
      <c r="S50" s="0" t="n">
        <f aca="false">VLOOKUP(K50,clasif_filas!$A$1:$J$39,9,FALSE())</f>
        <v>3</v>
      </c>
      <c r="T50" s="18" t="str">
        <f aca="false">VLOOKUP(K50,clasif_filas!$A$1:$J$39,10,FALSE())</f>
        <v>No bioeconomía</v>
      </c>
    </row>
    <row r="51" customFormat="false" ht="14.25" hidden="false" customHeight="false" outlineLevel="0" collapsed="false">
      <c r="A51" s="15" t="s">
        <v>145</v>
      </c>
      <c r="B51" s="2" t="s">
        <v>24</v>
      </c>
      <c r="C51" s="2" t="str">
        <f aca="false">VLOOKUP(B51, at_filas!$A$2:$C$8,2,FALSE())</f>
        <v>Producción</v>
      </c>
      <c r="D51" s="2" t="n">
        <f aca="false">VLOOKUP(B51, at_filas!$A$2:$C$8,3,FALSE())</f>
        <v>1</v>
      </c>
      <c r="E51" s="16" t="n">
        <v>81</v>
      </c>
      <c r="F51" s="17" t="s">
        <v>146</v>
      </c>
      <c r="G51" s="2" t="s">
        <v>129</v>
      </c>
      <c r="H51" s="2" t="n">
        <v>3</v>
      </c>
      <c r="I51" s="2" t="s">
        <v>89</v>
      </c>
      <c r="J51" s="2" t="s">
        <v>129</v>
      </c>
      <c r="K51" s="0" t="n">
        <v>81</v>
      </c>
      <c r="L51" s="0" t="str">
        <f aca="false">VLOOKUP(K51,clasif_filas!$A$1:$J$39,2,FALSE())</f>
        <v>Servicios de investigación y desarrollo</v>
      </c>
      <c r="M51" s="0" t="n">
        <f aca="false">VLOOKUP(K51,clasif_filas!$A$1:$J$39,3,FALSE())</f>
        <v>81</v>
      </c>
      <c r="N51" s="0" t="str">
        <f aca="false">VLOOKUP(K51,clasif_filas!$A$1:$J$39,4,FALSE())</f>
        <v>Servicios de investigación y desarrollo</v>
      </c>
      <c r="O51" s="0" t="n">
        <f aca="false">VLOOKUP(K51,clasif_filas!$A$1:$J$39,5,FALSE())</f>
        <v>6</v>
      </c>
      <c r="P51" s="0" t="str">
        <f aca="false">VLOOKUP(K51,clasif_filas!$A$1:$J$39,6,FALSE())</f>
        <v>Conocimiento, procesos y servicios relacionados</v>
      </c>
      <c r="Q51" s="0" t="n">
        <f aca="false">VLOOKUP(K51,clasif_filas!$A$1:$J$39,7,FALSE())</f>
        <v>8</v>
      </c>
      <c r="R51" s="0" t="str">
        <f aca="false">VLOOKUP(K51,clasif_filas!$A$1:$J$39,8,FALSE())</f>
        <v>Servicios prestados a las empresas y servicios de producción</v>
      </c>
      <c r="S51" s="0" t="n">
        <f aca="false">VLOOKUP(K51,clasif_filas!$A$1:$J$39,9,FALSE())</f>
        <v>2</v>
      </c>
      <c r="T51" s="18" t="str">
        <f aca="false">VLOOKUP(K51,clasif_filas!$A$1:$J$39,10,FALSE())</f>
        <v>Bioeconomía extendida</v>
      </c>
    </row>
    <row r="52" customFormat="false" ht="14.25" hidden="false" customHeight="false" outlineLevel="0" collapsed="false">
      <c r="A52" s="15" t="s">
        <v>147</v>
      </c>
      <c r="B52" s="2" t="s">
        <v>24</v>
      </c>
      <c r="C52" s="2" t="str">
        <f aca="false">VLOOKUP(B52, at_filas!$A$2:$C$8,2,FALSE())</f>
        <v>Producción</v>
      </c>
      <c r="D52" s="2" t="n">
        <f aca="false">VLOOKUP(B52, at_filas!$A$2:$C$8,3,FALSE())</f>
        <v>1</v>
      </c>
      <c r="E52" s="16" t="n">
        <v>82</v>
      </c>
      <c r="F52" s="17" t="s">
        <v>148</v>
      </c>
      <c r="G52" s="2" t="s">
        <v>38</v>
      </c>
      <c r="H52" s="2" t="n">
        <v>4</v>
      </c>
      <c r="I52" s="2" t="s">
        <v>38</v>
      </c>
      <c r="J52" s="2" t="s">
        <v>38</v>
      </c>
      <c r="K52" s="0" t="n">
        <v>6</v>
      </c>
      <c r="L52" s="0" t="str">
        <f aca="false">VLOOKUP(K52,clasif_filas!$A$1:$J$39,2,FALSE())</f>
        <v>Otros servicios</v>
      </c>
      <c r="M52" s="0" t="n">
        <f aca="false">VLOOKUP(K52,clasif_filas!$A$1:$J$39,3,FALSE())</f>
        <v>6</v>
      </c>
      <c r="N52" s="0" t="str">
        <f aca="false">VLOOKUP(K52,clasif_filas!$A$1:$J$39,4,FALSE())</f>
        <v>Otros servicios</v>
      </c>
      <c r="O52" s="0" t="n">
        <f aca="false">VLOOKUP(K52,clasif_filas!$A$1:$J$39,5,FALSE())</f>
        <v>99</v>
      </c>
      <c r="P52" s="0" t="str">
        <f aca="false">VLOOKUP(K52,clasif_filas!$A$1:$J$39,6,FALSE())</f>
        <v>No Bioeconomía</v>
      </c>
      <c r="Q52" s="0" t="n">
        <f aca="false">VLOOKUP(K52,clasif_filas!$A$1:$J$39,7,FALSE())</f>
        <v>6</v>
      </c>
      <c r="R52" s="0" t="str">
        <f aca="false">VLOOKUP(K52,clasif_filas!$A$1:$J$39,8,FALSE())</f>
        <v>Servicios comerciales de distribución; alojamiento, servicios de suministro de comidas y bebidas; servicios de transporte; y servicios de distribución de electricidad, gas y agua</v>
      </c>
      <c r="S52" s="0" t="n">
        <f aca="false">VLOOKUP(K52,clasif_filas!$A$1:$J$39,9,FALSE())</f>
        <v>3</v>
      </c>
      <c r="T52" s="18" t="str">
        <f aca="false">VLOOKUP(K52,clasif_filas!$A$1:$J$39,10,FALSE())</f>
        <v>No bioeconomía</v>
      </c>
    </row>
    <row r="53" customFormat="false" ht="14.25" hidden="false" customHeight="false" outlineLevel="0" collapsed="false">
      <c r="A53" s="15" t="s">
        <v>149</v>
      </c>
      <c r="B53" s="2" t="s">
        <v>24</v>
      </c>
      <c r="C53" s="2" t="str">
        <f aca="false">VLOOKUP(B53, at_filas!$A$2:$C$8,2,FALSE())</f>
        <v>Producción</v>
      </c>
      <c r="D53" s="2" t="n">
        <f aca="false">VLOOKUP(B53, at_filas!$A$2:$C$8,3,FALSE())</f>
        <v>1</v>
      </c>
      <c r="E53" s="16" t="n">
        <v>83</v>
      </c>
      <c r="F53" s="17" t="s">
        <v>150</v>
      </c>
      <c r="G53" s="2" t="s">
        <v>129</v>
      </c>
      <c r="H53" s="2" t="n">
        <v>3</v>
      </c>
      <c r="I53" s="2" t="s">
        <v>89</v>
      </c>
      <c r="J53" s="2" t="s">
        <v>129</v>
      </c>
      <c r="K53" s="0" t="n">
        <v>83</v>
      </c>
      <c r="L53" s="0" t="str">
        <f aca="false">VLOOKUP(K53,clasif_filas!$A$1:$J$39,2,FALSE())</f>
        <v>Otros servicios profesionales, científicos y técnicos</v>
      </c>
      <c r="M53" s="0" t="n">
        <f aca="false">VLOOKUP(K53,clasif_filas!$A$1:$J$39,3,FALSE())</f>
        <v>83</v>
      </c>
      <c r="N53" s="0" t="str">
        <f aca="false">VLOOKUP(K53,clasif_filas!$A$1:$J$39,4,FALSE())</f>
        <v>Otros servicios profesionales, científicos y técnicos</v>
      </c>
      <c r="O53" s="0" t="n">
        <f aca="false">VLOOKUP(K53,clasif_filas!$A$1:$J$39,5,FALSE())</f>
        <v>6</v>
      </c>
      <c r="P53" s="0" t="str">
        <f aca="false">VLOOKUP(K53,clasif_filas!$A$1:$J$39,6,FALSE())</f>
        <v>Conocimiento, procesos y servicios relacionados</v>
      </c>
      <c r="Q53" s="0" t="n">
        <f aca="false">VLOOKUP(K53,clasif_filas!$A$1:$J$39,7,FALSE())</f>
        <v>8</v>
      </c>
      <c r="R53" s="0" t="str">
        <f aca="false">VLOOKUP(K53,clasif_filas!$A$1:$J$39,8,FALSE())</f>
        <v>Servicios prestados a las empresas y servicios de producción</v>
      </c>
      <c r="S53" s="0" t="n">
        <f aca="false">VLOOKUP(K53,clasif_filas!$A$1:$J$39,9,FALSE())</f>
        <v>2</v>
      </c>
      <c r="T53" s="18" t="str">
        <f aca="false">VLOOKUP(K53,clasif_filas!$A$1:$J$39,10,FALSE())</f>
        <v>Bioeconomía extendida</v>
      </c>
    </row>
    <row r="54" customFormat="false" ht="25.55" hidden="false" customHeight="false" outlineLevel="0" collapsed="false">
      <c r="A54" s="15" t="s">
        <v>151</v>
      </c>
      <c r="B54" s="2" t="s">
        <v>24</v>
      </c>
      <c r="C54" s="2" t="str">
        <f aca="false">VLOOKUP(B54, at_filas!$A$2:$C$8,2,FALSE())</f>
        <v>Producción</v>
      </c>
      <c r="D54" s="2" t="n">
        <f aca="false">VLOOKUP(B54, at_filas!$A$2:$C$8,3,FALSE())</f>
        <v>1</v>
      </c>
      <c r="E54" s="16" t="n">
        <v>84</v>
      </c>
      <c r="F54" s="17" t="s">
        <v>152</v>
      </c>
      <c r="G54" s="2" t="s">
        <v>38</v>
      </c>
      <c r="H54" s="2" t="n">
        <v>4</v>
      </c>
      <c r="I54" s="2" t="s">
        <v>38</v>
      </c>
      <c r="J54" s="2" t="s">
        <v>38</v>
      </c>
      <c r="K54" s="0" t="n">
        <v>6</v>
      </c>
      <c r="L54" s="0" t="str">
        <f aca="false">VLOOKUP(K54,clasif_filas!$A$1:$J$39,2,FALSE())</f>
        <v>Otros servicios</v>
      </c>
      <c r="M54" s="0" t="n">
        <f aca="false">VLOOKUP(K54,clasif_filas!$A$1:$J$39,3,FALSE())</f>
        <v>6</v>
      </c>
      <c r="N54" s="0" t="str">
        <f aca="false">VLOOKUP(K54,clasif_filas!$A$1:$J$39,4,FALSE())</f>
        <v>Otros servicios</v>
      </c>
      <c r="O54" s="0" t="n">
        <f aca="false">VLOOKUP(K54,clasif_filas!$A$1:$J$39,5,FALSE())</f>
        <v>99</v>
      </c>
      <c r="P54" s="0" t="str">
        <f aca="false">VLOOKUP(K54,clasif_filas!$A$1:$J$39,6,FALSE())</f>
        <v>No Bioeconomía</v>
      </c>
      <c r="Q54" s="0" t="n">
        <f aca="false">VLOOKUP(K54,clasif_filas!$A$1:$J$39,7,FALSE())</f>
        <v>6</v>
      </c>
      <c r="R54" s="0" t="str">
        <f aca="false">VLOOKUP(K54,clasif_filas!$A$1:$J$39,8,FALSE())</f>
        <v>Servicios comerciales de distribución; alojamiento, servicios de suministro de comidas y bebidas; servicios de transporte; y servicios de distribución de electricidad, gas y agua</v>
      </c>
      <c r="S54" s="0" t="n">
        <f aca="false">VLOOKUP(K54,clasif_filas!$A$1:$J$39,9,FALSE())</f>
        <v>3</v>
      </c>
      <c r="T54" s="18" t="str">
        <f aca="false">VLOOKUP(K54,clasif_filas!$A$1:$J$39,10,FALSE())</f>
        <v>No bioeconomía</v>
      </c>
    </row>
    <row r="55" customFormat="false" ht="14.25" hidden="false" customHeight="false" outlineLevel="0" collapsed="false">
      <c r="A55" s="15" t="s">
        <v>153</v>
      </c>
      <c r="B55" s="2" t="s">
        <v>24</v>
      </c>
      <c r="C55" s="2" t="str">
        <f aca="false">VLOOKUP(B55, at_filas!$A$2:$C$8,2,FALSE())</f>
        <v>Producción</v>
      </c>
      <c r="D55" s="2" t="n">
        <f aca="false">VLOOKUP(B55, at_filas!$A$2:$C$8,3,FALSE())</f>
        <v>1</v>
      </c>
      <c r="E55" s="16" t="n">
        <v>85</v>
      </c>
      <c r="F55" s="17" t="s">
        <v>154</v>
      </c>
      <c r="G55" s="2" t="s">
        <v>38</v>
      </c>
      <c r="H55" s="2" t="n">
        <v>4</v>
      </c>
      <c r="I55" s="2" t="s">
        <v>38</v>
      </c>
      <c r="J55" s="2" t="s">
        <v>38</v>
      </c>
      <c r="K55" s="0" t="n">
        <v>6</v>
      </c>
      <c r="L55" s="0" t="str">
        <f aca="false">VLOOKUP(K55,clasif_filas!$A$1:$J$39,2,FALSE())</f>
        <v>Otros servicios</v>
      </c>
      <c r="M55" s="0" t="n">
        <f aca="false">VLOOKUP(K55,clasif_filas!$A$1:$J$39,3,FALSE())</f>
        <v>6</v>
      </c>
      <c r="N55" s="0" t="str">
        <f aca="false">VLOOKUP(K55,clasif_filas!$A$1:$J$39,4,FALSE())</f>
        <v>Otros servicios</v>
      </c>
      <c r="O55" s="0" t="n">
        <f aca="false">VLOOKUP(K55,clasif_filas!$A$1:$J$39,5,FALSE())</f>
        <v>99</v>
      </c>
      <c r="P55" s="0" t="str">
        <f aca="false">VLOOKUP(K55,clasif_filas!$A$1:$J$39,6,FALSE())</f>
        <v>No Bioeconomía</v>
      </c>
      <c r="Q55" s="0" t="n">
        <f aca="false">VLOOKUP(K55,clasif_filas!$A$1:$J$39,7,FALSE())</f>
        <v>6</v>
      </c>
      <c r="R55" s="0" t="str">
        <f aca="false">VLOOKUP(K55,clasif_filas!$A$1:$J$39,8,FALSE())</f>
        <v>Servicios comerciales de distribución; alojamiento, servicios de suministro de comidas y bebidas; servicios de transporte; y servicios de distribución de electricidad, gas y agua</v>
      </c>
      <c r="S55" s="0" t="n">
        <f aca="false">VLOOKUP(K55,clasif_filas!$A$1:$J$39,9,FALSE())</f>
        <v>3</v>
      </c>
      <c r="T55" s="18" t="str">
        <f aca="false">VLOOKUP(K55,clasif_filas!$A$1:$J$39,10,FALSE())</f>
        <v>No bioeconomía</v>
      </c>
    </row>
    <row r="56" customFormat="false" ht="25.55" hidden="false" customHeight="false" outlineLevel="0" collapsed="false">
      <c r="A56" s="15" t="s">
        <v>155</v>
      </c>
      <c r="B56" s="2" t="s">
        <v>24</v>
      </c>
      <c r="C56" s="2" t="str">
        <f aca="false">VLOOKUP(B56, at_filas!$A$2:$C$8,2,FALSE())</f>
        <v>Producción</v>
      </c>
      <c r="D56" s="2" t="n">
        <f aca="false">VLOOKUP(B56, at_filas!$A$2:$C$8,3,FALSE())</f>
        <v>1</v>
      </c>
      <c r="E56" s="16" t="n">
        <v>86</v>
      </c>
      <c r="F56" s="17" t="s">
        <v>156</v>
      </c>
      <c r="G56" s="2" t="s">
        <v>129</v>
      </c>
      <c r="H56" s="2" t="n">
        <v>3</v>
      </c>
      <c r="I56" s="2" t="s">
        <v>89</v>
      </c>
      <c r="J56" s="2" t="s">
        <v>129</v>
      </c>
      <c r="K56" s="0" t="n">
        <v>86</v>
      </c>
      <c r="L56" s="0" t="str">
        <f aca="false">VLOOKUP(K56,clasif_filas!$A$1:$J$39,2,FALSE())</f>
        <v>Servicios de apoyo a la agricultura,la caza, la silvicutura, la pesca, la minería y los servicios públicos</v>
      </c>
      <c r="M56" s="0" t="n">
        <f aca="false">VLOOKUP(K56,clasif_filas!$A$1:$J$39,3,FALSE())</f>
        <v>86</v>
      </c>
      <c r="N56" s="0" t="str">
        <f aca="false">VLOOKUP(K56,clasif_filas!$A$1:$J$39,4,FALSE())</f>
        <v>Servicios de apoyo a la agricultura,la caza, la silvicutura, la pesca, la minería y los servicios públicos</v>
      </c>
      <c r="O56" s="0" t="n">
        <f aca="false">VLOOKUP(K56,clasif_filas!$A$1:$J$39,5,FALSE())</f>
        <v>6</v>
      </c>
      <c r="P56" s="0" t="str">
        <f aca="false">VLOOKUP(K56,clasif_filas!$A$1:$J$39,6,FALSE())</f>
        <v>Conocimiento, procesos y servicios relacionados</v>
      </c>
      <c r="Q56" s="0" t="n">
        <f aca="false">VLOOKUP(K56,clasif_filas!$A$1:$J$39,7,FALSE())</f>
        <v>8</v>
      </c>
      <c r="R56" s="0" t="str">
        <f aca="false">VLOOKUP(K56,clasif_filas!$A$1:$J$39,8,FALSE())</f>
        <v>Servicios prestados a las empresas y servicios de producción</v>
      </c>
      <c r="S56" s="0" t="n">
        <f aca="false">VLOOKUP(K56,clasif_filas!$A$1:$J$39,9,FALSE())</f>
        <v>2</v>
      </c>
      <c r="T56" s="18" t="str">
        <f aca="false">VLOOKUP(K56,clasif_filas!$A$1:$J$39,10,FALSE())</f>
        <v>Bioeconomía extendida</v>
      </c>
    </row>
    <row r="57" customFormat="false" ht="25.55" hidden="false" customHeight="false" outlineLevel="0" collapsed="false">
      <c r="A57" s="15" t="s">
        <v>157</v>
      </c>
      <c r="B57" s="2" t="s">
        <v>24</v>
      </c>
      <c r="C57" s="2" t="str">
        <f aca="false">VLOOKUP(B57, at_filas!$A$2:$C$8,2,FALSE())</f>
        <v>Producción</v>
      </c>
      <c r="D57" s="2" t="n">
        <f aca="false">VLOOKUP(B57, at_filas!$A$2:$C$8,3,FALSE())</f>
        <v>1</v>
      </c>
      <c r="E57" s="16" t="n">
        <v>87</v>
      </c>
      <c r="F57" s="17" t="s">
        <v>158</v>
      </c>
      <c r="G57" s="2" t="s">
        <v>38</v>
      </c>
      <c r="H57" s="2" t="n">
        <v>4</v>
      </c>
      <c r="I57" s="2" t="s">
        <v>38</v>
      </c>
      <c r="J57" s="2" t="s">
        <v>38</v>
      </c>
      <c r="K57" s="0" t="n">
        <v>6</v>
      </c>
      <c r="L57" s="0" t="str">
        <f aca="false">VLOOKUP(K57,clasif_filas!$A$1:$J$39,2,FALSE())</f>
        <v>Otros servicios</v>
      </c>
      <c r="M57" s="0" t="n">
        <f aca="false">VLOOKUP(K57,clasif_filas!$A$1:$J$39,3,FALSE())</f>
        <v>6</v>
      </c>
      <c r="N57" s="0" t="str">
        <f aca="false">VLOOKUP(K57,clasif_filas!$A$1:$J$39,4,FALSE())</f>
        <v>Otros servicios</v>
      </c>
      <c r="O57" s="0" t="n">
        <f aca="false">VLOOKUP(K57,clasif_filas!$A$1:$J$39,5,FALSE())</f>
        <v>99</v>
      </c>
      <c r="P57" s="0" t="str">
        <f aca="false">VLOOKUP(K57,clasif_filas!$A$1:$J$39,6,FALSE())</f>
        <v>No Bioeconomía</v>
      </c>
      <c r="Q57" s="0" t="n">
        <f aca="false">VLOOKUP(K57,clasif_filas!$A$1:$J$39,7,FALSE())</f>
        <v>6</v>
      </c>
      <c r="R57" s="0" t="str">
        <f aca="false">VLOOKUP(K57,clasif_filas!$A$1:$J$39,8,FALSE())</f>
        <v>Servicios comerciales de distribución; alojamiento, servicios de suministro de comidas y bebidas; servicios de transporte; y servicios de distribución de electricidad, gas y agua</v>
      </c>
      <c r="S57" s="0" t="n">
        <f aca="false">VLOOKUP(K57,clasif_filas!$A$1:$J$39,9,FALSE())</f>
        <v>3</v>
      </c>
      <c r="T57" s="18" t="str">
        <f aca="false">VLOOKUP(K57,clasif_filas!$A$1:$J$39,10,FALSE())</f>
        <v>No bioeconomía</v>
      </c>
    </row>
    <row r="58" customFormat="false" ht="25.55" hidden="false" customHeight="false" outlineLevel="0" collapsed="false">
      <c r="A58" s="15" t="s">
        <v>159</v>
      </c>
      <c r="B58" s="2" t="s">
        <v>24</v>
      </c>
      <c r="C58" s="2" t="str">
        <f aca="false">VLOOKUP(B58, at_filas!$A$2:$C$8,2,FALSE())</f>
        <v>Producción</v>
      </c>
      <c r="D58" s="2" t="n">
        <f aca="false">VLOOKUP(B58, at_filas!$A$2:$C$8,3,FALSE())</f>
        <v>1</v>
      </c>
      <c r="E58" s="16" t="n">
        <v>88</v>
      </c>
      <c r="F58" s="17" t="s">
        <v>160</v>
      </c>
      <c r="G58" s="2" t="s">
        <v>38</v>
      </c>
      <c r="H58" s="2" t="n">
        <v>4</v>
      </c>
      <c r="I58" s="2" t="s">
        <v>38</v>
      </c>
      <c r="J58" s="2" t="s">
        <v>38</v>
      </c>
      <c r="K58" s="0" t="n">
        <v>6</v>
      </c>
      <c r="L58" s="0" t="str">
        <f aca="false">VLOOKUP(K58,clasif_filas!$A$1:$J$39,2,FALSE())</f>
        <v>Otros servicios</v>
      </c>
      <c r="M58" s="0" t="n">
        <f aca="false">VLOOKUP(K58,clasif_filas!$A$1:$J$39,3,FALSE())</f>
        <v>6</v>
      </c>
      <c r="N58" s="0" t="str">
        <f aca="false">VLOOKUP(K58,clasif_filas!$A$1:$J$39,4,FALSE())</f>
        <v>Otros servicios</v>
      </c>
      <c r="O58" s="0" t="n">
        <f aca="false">VLOOKUP(K58,clasif_filas!$A$1:$J$39,5,FALSE())</f>
        <v>99</v>
      </c>
      <c r="P58" s="0" t="str">
        <f aca="false">VLOOKUP(K58,clasif_filas!$A$1:$J$39,6,FALSE())</f>
        <v>No Bioeconomía</v>
      </c>
      <c r="Q58" s="0" t="n">
        <f aca="false">VLOOKUP(K58,clasif_filas!$A$1:$J$39,7,FALSE())</f>
        <v>6</v>
      </c>
      <c r="R58" s="0" t="str">
        <f aca="false">VLOOKUP(K58,clasif_filas!$A$1:$J$39,8,FALSE())</f>
        <v>Servicios comerciales de distribución; alojamiento, servicios de suministro de comidas y bebidas; servicios de transporte; y servicios de distribución de electricidad, gas y agua</v>
      </c>
      <c r="S58" s="0" t="n">
        <f aca="false">VLOOKUP(K58,clasif_filas!$A$1:$J$39,9,FALSE())</f>
        <v>3</v>
      </c>
      <c r="T58" s="18" t="str">
        <f aca="false">VLOOKUP(K58,clasif_filas!$A$1:$J$39,10,FALSE())</f>
        <v>No bioeconomía</v>
      </c>
    </row>
    <row r="59" customFormat="false" ht="25.55" hidden="false" customHeight="false" outlineLevel="0" collapsed="false">
      <c r="A59" s="15" t="s">
        <v>161</v>
      </c>
      <c r="B59" s="2" t="s">
        <v>24</v>
      </c>
      <c r="C59" s="2" t="str">
        <f aca="false">VLOOKUP(B59, at_filas!$A$2:$C$8,2,FALSE())</f>
        <v>Producción</v>
      </c>
      <c r="D59" s="2" t="n">
        <f aca="false">VLOOKUP(B59, at_filas!$A$2:$C$8,3,FALSE())</f>
        <v>1</v>
      </c>
      <c r="E59" s="16" t="n">
        <v>89</v>
      </c>
      <c r="F59" s="17" t="s">
        <v>162</v>
      </c>
      <c r="G59" s="2" t="s">
        <v>38</v>
      </c>
      <c r="H59" s="2" t="n">
        <v>4</v>
      </c>
      <c r="I59" s="2" t="s">
        <v>38</v>
      </c>
      <c r="J59" s="2" t="s">
        <v>38</v>
      </c>
      <c r="K59" s="0" t="n">
        <v>6</v>
      </c>
      <c r="L59" s="0" t="str">
        <f aca="false">VLOOKUP(K59,clasif_filas!$A$1:$J$39,2,FALSE())</f>
        <v>Otros servicios</v>
      </c>
      <c r="M59" s="0" t="n">
        <f aca="false">VLOOKUP(K59,clasif_filas!$A$1:$J$39,3,FALSE())</f>
        <v>6</v>
      </c>
      <c r="N59" s="0" t="str">
        <f aca="false">VLOOKUP(K59,clasif_filas!$A$1:$J$39,4,FALSE())</f>
        <v>Otros servicios</v>
      </c>
      <c r="O59" s="0" t="n">
        <f aca="false">VLOOKUP(K59,clasif_filas!$A$1:$J$39,5,FALSE())</f>
        <v>99</v>
      </c>
      <c r="P59" s="0" t="str">
        <f aca="false">VLOOKUP(K59,clasif_filas!$A$1:$J$39,6,FALSE())</f>
        <v>No Bioeconomía</v>
      </c>
      <c r="Q59" s="0" t="n">
        <f aca="false">VLOOKUP(K59,clasif_filas!$A$1:$J$39,7,FALSE())</f>
        <v>6</v>
      </c>
      <c r="R59" s="0" t="str">
        <f aca="false">VLOOKUP(K59,clasif_filas!$A$1:$J$39,8,FALSE())</f>
        <v>Servicios comerciales de distribución; alojamiento, servicios de suministro de comidas y bebidas; servicios de transporte; y servicios de distribución de electricidad, gas y agua</v>
      </c>
      <c r="S59" s="0" t="n">
        <f aca="false">VLOOKUP(K59,clasif_filas!$A$1:$J$39,9,FALSE())</f>
        <v>3</v>
      </c>
      <c r="T59" s="18" t="str">
        <f aca="false">VLOOKUP(K59,clasif_filas!$A$1:$J$39,10,FALSE())</f>
        <v>No bioeconomía</v>
      </c>
    </row>
    <row r="60" customFormat="false" ht="37.55" hidden="false" customHeight="false" outlineLevel="0" collapsed="false">
      <c r="A60" s="15" t="s">
        <v>163</v>
      </c>
      <c r="B60" s="2" t="s">
        <v>24</v>
      </c>
      <c r="C60" s="2" t="str">
        <f aca="false">VLOOKUP(B60, at_filas!$A$2:$C$8,2,FALSE())</f>
        <v>Producción</v>
      </c>
      <c r="D60" s="2" t="n">
        <f aca="false">VLOOKUP(B60, at_filas!$A$2:$C$8,3,FALSE())</f>
        <v>1</v>
      </c>
      <c r="E60" s="16" t="n">
        <v>91</v>
      </c>
      <c r="F60" s="17" t="s">
        <v>164</v>
      </c>
      <c r="G60" s="2" t="s">
        <v>38</v>
      </c>
      <c r="H60" s="2" t="n">
        <v>4</v>
      </c>
      <c r="I60" s="2" t="s">
        <v>38</v>
      </c>
      <c r="J60" s="2" t="s">
        <v>38</v>
      </c>
      <c r="K60" s="0" t="n">
        <v>6</v>
      </c>
      <c r="L60" s="0" t="str">
        <f aca="false">VLOOKUP(K60,clasif_filas!$A$1:$J$39,2,FALSE())</f>
        <v>Otros servicios</v>
      </c>
      <c r="M60" s="0" t="n">
        <f aca="false">VLOOKUP(K60,clasif_filas!$A$1:$J$39,3,FALSE())</f>
        <v>6</v>
      </c>
      <c r="N60" s="0" t="str">
        <f aca="false">VLOOKUP(K60,clasif_filas!$A$1:$J$39,4,FALSE())</f>
        <v>Otros servicios</v>
      </c>
      <c r="O60" s="0" t="n">
        <f aca="false">VLOOKUP(K60,clasif_filas!$A$1:$J$39,5,FALSE())</f>
        <v>99</v>
      </c>
      <c r="P60" s="0" t="str">
        <f aca="false">VLOOKUP(K60,clasif_filas!$A$1:$J$39,6,FALSE())</f>
        <v>No Bioeconomía</v>
      </c>
      <c r="Q60" s="0" t="n">
        <f aca="false">VLOOKUP(K60,clasif_filas!$A$1:$J$39,7,FALSE())</f>
        <v>6</v>
      </c>
      <c r="R60" s="0" t="str">
        <f aca="false">VLOOKUP(K60,clasif_filas!$A$1:$J$39,8,FALSE())</f>
        <v>Servicios comerciales de distribución; alojamiento, servicios de suministro de comidas y bebidas; servicios de transporte; y servicios de distribución de electricidad, gas y agua</v>
      </c>
      <c r="S60" s="0" t="n">
        <f aca="false">VLOOKUP(K60,clasif_filas!$A$1:$J$39,9,FALSE())</f>
        <v>3</v>
      </c>
      <c r="T60" s="18" t="str">
        <f aca="false">VLOOKUP(K60,clasif_filas!$A$1:$J$39,10,FALSE())</f>
        <v>No bioeconomía</v>
      </c>
    </row>
    <row r="61" customFormat="false" ht="14.25" hidden="false" customHeight="false" outlineLevel="0" collapsed="false">
      <c r="A61" s="15" t="s">
        <v>165</v>
      </c>
      <c r="B61" s="2" t="s">
        <v>24</v>
      </c>
      <c r="C61" s="2" t="str">
        <f aca="false">VLOOKUP(B61, at_filas!$A$2:$C$8,2,FALSE())</f>
        <v>Producción</v>
      </c>
      <c r="D61" s="2" t="n">
        <f aca="false">VLOOKUP(B61, at_filas!$A$2:$C$8,3,FALSE())</f>
        <v>1</v>
      </c>
      <c r="E61" s="16" t="n">
        <v>92</v>
      </c>
      <c r="F61" s="17" t="s">
        <v>166</v>
      </c>
      <c r="G61" s="2" t="s">
        <v>38</v>
      </c>
      <c r="H61" s="2" t="n">
        <v>4</v>
      </c>
      <c r="I61" s="2" t="s">
        <v>38</v>
      </c>
      <c r="J61" s="2" t="s">
        <v>38</v>
      </c>
      <c r="K61" s="0" t="n">
        <v>6</v>
      </c>
      <c r="L61" s="0" t="str">
        <f aca="false">VLOOKUP(K61,clasif_filas!$A$1:$J$39,2,FALSE())</f>
        <v>Otros servicios</v>
      </c>
      <c r="M61" s="0" t="n">
        <f aca="false">VLOOKUP(K61,clasif_filas!$A$1:$J$39,3,FALSE())</f>
        <v>6</v>
      </c>
      <c r="N61" s="0" t="str">
        <f aca="false">VLOOKUP(K61,clasif_filas!$A$1:$J$39,4,FALSE())</f>
        <v>Otros servicios</v>
      </c>
      <c r="O61" s="0" t="n">
        <f aca="false">VLOOKUP(K61,clasif_filas!$A$1:$J$39,5,FALSE())</f>
        <v>99</v>
      </c>
      <c r="P61" s="0" t="str">
        <f aca="false">VLOOKUP(K61,clasif_filas!$A$1:$J$39,6,FALSE())</f>
        <v>No Bioeconomía</v>
      </c>
      <c r="Q61" s="0" t="n">
        <f aca="false">VLOOKUP(K61,clasif_filas!$A$1:$J$39,7,FALSE())</f>
        <v>6</v>
      </c>
      <c r="R61" s="0" t="str">
        <f aca="false">VLOOKUP(K61,clasif_filas!$A$1:$J$39,8,FALSE())</f>
        <v>Servicios comerciales de distribución; alojamiento, servicios de suministro de comidas y bebidas; servicios de transporte; y servicios de distribución de electricidad, gas y agua</v>
      </c>
      <c r="S61" s="0" t="n">
        <f aca="false">VLOOKUP(K61,clasif_filas!$A$1:$J$39,9,FALSE())</f>
        <v>3</v>
      </c>
      <c r="T61" s="18" t="str">
        <f aca="false">VLOOKUP(K61,clasif_filas!$A$1:$J$39,10,FALSE())</f>
        <v>No bioeconomía</v>
      </c>
    </row>
    <row r="62" customFormat="false" ht="14.25" hidden="false" customHeight="false" outlineLevel="0" collapsed="false">
      <c r="A62" s="15" t="s">
        <v>167</v>
      </c>
      <c r="B62" s="2" t="s">
        <v>24</v>
      </c>
      <c r="C62" s="2" t="str">
        <f aca="false">VLOOKUP(B62, at_filas!$A$2:$C$8,2,FALSE())</f>
        <v>Producción</v>
      </c>
      <c r="D62" s="2" t="n">
        <f aca="false">VLOOKUP(B62, at_filas!$A$2:$C$8,3,FALSE())</f>
        <v>1</v>
      </c>
      <c r="E62" s="16" t="n">
        <v>93</v>
      </c>
      <c r="F62" s="17" t="s">
        <v>168</v>
      </c>
      <c r="G62" s="2" t="s">
        <v>38</v>
      </c>
      <c r="H62" s="2" t="n">
        <v>4</v>
      </c>
      <c r="I62" s="2" t="s">
        <v>38</v>
      </c>
      <c r="J62" s="2" t="s">
        <v>38</v>
      </c>
      <c r="K62" s="0" t="n">
        <v>6</v>
      </c>
      <c r="L62" s="0" t="str">
        <f aca="false">VLOOKUP(K62,clasif_filas!$A$1:$J$39,2,FALSE())</f>
        <v>Otros servicios</v>
      </c>
      <c r="M62" s="0" t="n">
        <f aca="false">VLOOKUP(K62,clasif_filas!$A$1:$J$39,3,FALSE())</f>
        <v>6</v>
      </c>
      <c r="N62" s="0" t="str">
        <f aca="false">VLOOKUP(K62,clasif_filas!$A$1:$J$39,4,FALSE())</f>
        <v>Otros servicios</v>
      </c>
      <c r="O62" s="0" t="n">
        <f aca="false">VLOOKUP(K62,clasif_filas!$A$1:$J$39,5,FALSE())</f>
        <v>99</v>
      </c>
      <c r="P62" s="0" t="str">
        <f aca="false">VLOOKUP(K62,clasif_filas!$A$1:$J$39,6,FALSE())</f>
        <v>No Bioeconomía</v>
      </c>
      <c r="Q62" s="0" t="n">
        <f aca="false">VLOOKUP(K62,clasif_filas!$A$1:$J$39,7,FALSE())</f>
        <v>6</v>
      </c>
      <c r="R62" s="0" t="str">
        <f aca="false">VLOOKUP(K62,clasif_filas!$A$1:$J$39,8,FALSE())</f>
        <v>Servicios comerciales de distribución; alojamiento, servicios de suministro de comidas y bebidas; servicios de transporte; y servicios de distribución de electricidad, gas y agua</v>
      </c>
      <c r="S62" s="0" t="n">
        <f aca="false">VLOOKUP(K62,clasif_filas!$A$1:$J$39,9,FALSE())</f>
        <v>3</v>
      </c>
      <c r="T62" s="18" t="str">
        <f aca="false">VLOOKUP(K62,clasif_filas!$A$1:$J$39,10,FALSE())</f>
        <v>No bioeconomía</v>
      </c>
    </row>
    <row r="63" customFormat="false" ht="25.55" hidden="false" customHeight="false" outlineLevel="0" collapsed="false">
      <c r="A63" s="15" t="s">
        <v>169</v>
      </c>
      <c r="B63" s="2" t="s">
        <v>24</v>
      </c>
      <c r="C63" s="2" t="str">
        <f aca="false">VLOOKUP(B63, at_filas!$A$2:$C$8,2,FALSE())</f>
        <v>Producción</v>
      </c>
      <c r="D63" s="2" t="n">
        <f aca="false">VLOOKUP(B63, at_filas!$A$2:$C$8,3,FALSE())</f>
        <v>1</v>
      </c>
      <c r="E63" s="16" t="n">
        <v>94</v>
      </c>
      <c r="F63" s="17" t="s">
        <v>170</v>
      </c>
      <c r="G63" s="2" t="s">
        <v>129</v>
      </c>
      <c r="H63" s="2" t="n">
        <v>3</v>
      </c>
      <c r="I63" s="2" t="s">
        <v>89</v>
      </c>
      <c r="J63" s="2" t="s">
        <v>129</v>
      </c>
      <c r="K63" s="0" t="n">
        <v>94</v>
      </c>
      <c r="L63" s="0" t="str">
        <f aca="false">VLOOKUP(K63,clasif_filas!$A$1:$J$39,2,FALSE())</f>
        <v>Servicios de alcantarillado, recolección, tratamiento y disposición de desechos y otros servicios de saneamiento ambiental</v>
      </c>
      <c r="M63" s="0" t="n">
        <f aca="false">VLOOKUP(K63,clasif_filas!$A$1:$J$39,3,FALSE())</f>
        <v>94</v>
      </c>
      <c r="N63" s="0" t="str">
        <f aca="false">VLOOKUP(K63,clasif_filas!$A$1:$J$39,4,FALSE())</f>
        <v>Servicios de alcantarillado, recolección, tratamiento y disposición de desechos y otros servicios de saneamiento ambiental</v>
      </c>
      <c r="O63" s="0" t="n">
        <f aca="false">VLOOKUP(K63,clasif_filas!$A$1:$J$39,5,FALSE())</f>
        <v>4</v>
      </c>
      <c r="P63" s="0" t="str">
        <f aca="false">VLOOKUP(K63,clasif_filas!$A$1:$J$39,6,FALSE())</f>
        <v>Biomasa residual en los sectores agropecuario, pesca y acuacultura, forestal y agroindustrial</v>
      </c>
      <c r="Q63" s="0" t="n">
        <f aca="false">VLOOKUP(K63,clasif_filas!$A$1:$J$39,7,FALSE())</f>
        <v>9</v>
      </c>
      <c r="R63" s="0" t="str">
        <f aca="false">VLOOKUP(K63,clasif_filas!$A$1:$J$39,8,FALSE())</f>
        <v>Servicios para la comunidad, sociales y personales</v>
      </c>
      <c r="S63" s="0" t="n">
        <f aca="false">VLOOKUP(K63,clasif_filas!$A$1:$J$39,9,FALSE())</f>
        <v>2</v>
      </c>
      <c r="T63" s="18" t="str">
        <f aca="false">VLOOKUP(K63,clasif_filas!$A$1:$J$39,10,FALSE())</f>
        <v>Bioeconomía extendida</v>
      </c>
    </row>
    <row r="64" customFormat="false" ht="14.25" hidden="false" customHeight="false" outlineLevel="0" collapsed="false">
      <c r="A64" s="15" t="s">
        <v>171</v>
      </c>
      <c r="B64" s="2" t="s">
        <v>24</v>
      </c>
      <c r="C64" s="2" t="str">
        <f aca="false">VLOOKUP(B64, at_filas!$A$2:$C$8,2,FALSE())</f>
        <v>Producción</v>
      </c>
      <c r="D64" s="2" t="n">
        <f aca="false">VLOOKUP(B64, at_filas!$A$2:$C$8,3,FALSE())</f>
        <v>1</v>
      </c>
      <c r="E64" s="16" t="n">
        <v>95</v>
      </c>
      <c r="F64" s="17" t="s">
        <v>172</v>
      </c>
      <c r="G64" s="2" t="s">
        <v>38</v>
      </c>
      <c r="H64" s="2" t="n">
        <v>4</v>
      </c>
      <c r="I64" s="2" t="s">
        <v>38</v>
      </c>
      <c r="J64" s="2" t="s">
        <v>38</v>
      </c>
      <c r="K64" s="0" t="n">
        <v>6</v>
      </c>
      <c r="L64" s="0" t="str">
        <f aca="false">VLOOKUP(K64,clasif_filas!$A$1:$J$39,2,FALSE())</f>
        <v>Otros servicios</v>
      </c>
      <c r="M64" s="0" t="n">
        <f aca="false">VLOOKUP(K64,clasif_filas!$A$1:$J$39,3,FALSE())</f>
        <v>6</v>
      </c>
      <c r="N64" s="0" t="str">
        <f aca="false">VLOOKUP(K64,clasif_filas!$A$1:$J$39,4,FALSE())</f>
        <v>Otros servicios</v>
      </c>
      <c r="O64" s="0" t="n">
        <f aca="false">VLOOKUP(K64,clasif_filas!$A$1:$J$39,5,FALSE())</f>
        <v>99</v>
      </c>
      <c r="P64" s="0" t="str">
        <f aca="false">VLOOKUP(K64,clasif_filas!$A$1:$J$39,6,FALSE())</f>
        <v>No Bioeconomía</v>
      </c>
      <c r="Q64" s="0" t="n">
        <f aca="false">VLOOKUP(K64,clasif_filas!$A$1:$J$39,7,FALSE())</f>
        <v>6</v>
      </c>
      <c r="R64" s="0" t="str">
        <f aca="false">VLOOKUP(K64,clasif_filas!$A$1:$J$39,8,FALSE())</f>
        <v>Servicios comerciales de distribución; alojamiento, servicios de suministro de comidas y bebidas; servicios de transporte; y servicios de distribución de electricidad, gas y agua</v>
      </c>
      <c r="S64" s="0" t="n">
        <f aca="false">VLOOKUP(K64,clasif_filas!$A$1:$J$39,9,FALSE())</f>
        <v>3</v>
      </c>
      <c r="T64" s="18" t="str">
        <f aca="false">VLOOKUP(K64,clasif_filas!$A$1:$J$39,10,FALSE())</f>
        <v>No bioeconomía</v>
      </c>
    </row>
    <row r="65" customFormat="false" ht="14.25" hidden="false" customHeight="false" outlineLevel="0" collapsed="false">
      <c r="A65" s="15" t="s">
        <v>173</v>
      </c>
      <c r="B65" s="2" t="s">
        <v>24</v>
      </c>
      <c r="C65" s="2" t="str">
        <f aca="false">VLOOKUP(B65, at_filas!$A$2:$C$8,2,FALSE())</f>
        <v>Producción</v>
      </c>
      <c r="D65" s="2" t="n">
        <f aca="false">VLOOKUP(B65, at_filas!$A$2:$C$8,3,FALSE())</f>
        <v>1</v>
      </c>
      <c r="E65" s="16" t="n">
        <v>96</v>
      </c>
      <c r="F65" s="17" t="s">
        <v>174</v>
      </c>
      <c r="G65" s="2" t="s">
        <v>38</v>
      </c>
      <c r="H65" s="2" t="n">
        <v>4</v>
      </c>
      <c r="I65" s="2" t="s">
        <v>38</v>
      </c>
      <c r="J65" s="2" t="s">
        <v>38</v>
      </c>
      <c r="K65" s="0" t="n">
        <v>6</v>
      </c>
      <c r="L65" s="0" t="str">
        <f aca="false">VLOOKUP(K65,clasif_filas!$A$1:$J$39,2,FALSE())</f>
        <v>Otros servicios</v>
      </c>
      <c r="M65" s="0" t="n">
        <f aca="false">VLOOKUP(K65,clasif_filas!$A$1:$J$39,3,FALSE())</f>
        <v>6</v>
      </c>
      <c r="N65" s="0" t="str">
        <f aca="false">VLOOKUP(K65,clasif_filas!$A$1:$J$39,4,FALSE())</f>
        <v>Otros servicios</v>
      </c>
      <c r="O65" s="0" t="n">
        <f aca="false">VLOOKUP(K65,clasif_filas!$A$1:$J$39,5,FALSE())</f>
        <v>99</v>
      </c>
      <c r="P65" s="0" t="str">
        <f aca="false">VLOOKUP(K65,clasif_filas!$A$1:$J$39,6,FALSE())</f>
        <v>No Bioeconomía</v>
      </c>
      <c r="Q65" s="0" t="n">
        <f aca="false">VLOOKUP(K65,clasif_filas!$A$1:$J$39,7,FALSE())</f>
        <v>6</v>
      </c>
      <c r="R65" s="0" t="str">
        <f aca="false">VLOOKUP(K65,clasif_filas!$A$1:$J$39,8,FALSE())</f>
        <v>Servicios comerciales de distribución; alojamiento, servicios de suministro de comidas y bebidas; servicios de transporte; y servicios de distribución de electricidad, gas y agua</v>
      </c>
      <c r="S65" s="0" t="n">
        <f aca="false">VLOOKUP(K65,clasif_filas!$A$1:$J$39,9,FALSE())</f>
        <v>3</v>
      </c>
      <c r="T65" s="18" t="str">
        <f aca="false">VLOOKUP(K65,clasif_filas!$A$1:$J$39,10,FALSE())</f>
        <v>No bioeconomía</v>
      </c>
    </row>
    <row r="66" customFormat="false" ht="14.25" hidden="false" customHeight="false" outlineLevel="0" collapsed="false">
      <c r="A66" s="15" t="s">
        <v>175</v>
      </c>
      <c r="B66" s="2" t="s">
        <v>24</v>
      </c>
      <c r="C66" s="2" t="str">
        <f aca="false">VLOOKUP(B66, at_filas!$A$2:$C$8,2,FALSE())</f>
        <v>Producción</v>
      </c>
      <c r="D66" s="2" t="n">
        <f aca="false">VLOOKUP(B66, at_filas!$A$2:$C$8,3,FALSE())</f>
        <v>1</v>
      </c>
      <c r="E66" s="16" t="n">
        <v>97</v>
      </c>
      <c r="F66" s="17" t="s">
        <v>176</v>
      </c>
      <c r="G66" s="2" t="s">
        <v>38</v>
      </c>
      <c r="H66" s="2" t="n">
        <v>4</v>
      </c>
      <c r="I66" s="2" t="s">
        <v>38</v>
      </c>
      <c r="J66" s="2" t="s">
        <v>38</v>
      </c>
      <c r="K66" s="0" t="n">
        <v>6</v>
      </c>
      <c r="L66" s="0" t="str">
        <f aca="false">VLOOKUP(K66,clasif_filas!$A$1:$J$39,2,FALSE())</f>
        <v>Otros servicios</v>
      </c>
      <c r="M66" s="0" t="n">
        <f aca="false">VLOOKUP(K66,clasif_filas!$A$1:$J$39,3,FALSE())</f>
        <v>6</v>
      </c>
      <c r="N66" s="0" t="str">
        <f aca="false">VLOOKUP(K66,clasif_filas!$A$1:$J$39,4,FALSE())</f>
        <v>Otros servicios</v>
      </c>
      <c r="O66" s="0" t="n">
        <f aca="false">VLOOKUP(K66,clasif_filas!$A$1:$J$39,5,FALSE())</f>
        <v>99</v>
      </c>
      <c r="P66" s="0" t="str">
        <f aca="false">VLOOKUP(K66,clasif_filas!$A$1:$J$39,6,FALSE())</f>
        <v>No Bioeconomía</v>
      </c>
      <c r="Q66" s="0" t="n">
        <f aca="false">VLOOKUP(K66,clasif_filas!$A$1:$J$39,7,FALSE())</f>
        <v>6</v>
      </c>
      <c r="R66" s="0" t="str">
        <f aca="false">VLOOKUP(K66,clasif_filas!$A$1:$J$39,8,FALSE())</f>
        <v>Servicios comerciales de distribución; alojamiento, servicios de suministro de comidas y bebidas; servicios de transporte; y servicios de distribución de electricidad, gas y agua</v>
      </c>
      <c r="S66" s="0" t="n">
        <f aca="false">VLOOKUP(K66,clasif_filas!$A$1:$J$39,9,FALSE())</f>
        <v>3</v>
      </c>
      <c r="T66" s="18" t="str">
        <f aca="false">VLOOKUP(K66,clasif_filas!$A$1:$J$39,10,FALSE())</f>
        <v>No bioeconomía</v>
      </c>
    </row>
    <row r="67" customFormat="false" ht="14.25" hidden="false" customHeight="false" outlineLevel="0" collapsed="false">
      <c r="A67" s="15" t="s">
        <v>177</v>
      </c>
      <c r="B67" s="2" t="s">
        <v>24</v>
      </c>
      <c r="C67" s="2" t="str">
        <f aca="false">VLOOKUP(B67, at_filas!$A$2:$C$8,2,FALSE())</f>
        <v>Producción</v>
      </c>
      <c r="D67" s="2" t="n">
        <f aca="false">VLOOKUP(B67, at_filas!$A$2:$C$8,3,FALSE())</f>
        <v>1</v>
      </c>
      <c r="E67" s="16" t="n">
        <v>98</v>
      </c>
      <c r="F67" s="17" t="s">
        <v>178</v>
      </c>
      <c r="G67" s="2" t="s">
        <v>38</v>
      </c>
      <c r="H67" s="2" t="n">
        <v>4</v>
      </c>
      <c r="I67" s="2" t="s">
        <v>38</v>
      </c>
      <c r="J67" s="2" t="s">
        <v>38</v>
      </c>
      <c r="K67" s="0" t="n">
        <v>6</v>
      </c>
      <c r="L67" s="0" t="str">
        <f aca="false">VLOOKUP(K67,clasif_filas!$A$1:$J$39,2,FALSE())</f>
        <v>Otros servicios</v>
      </c>
      <c r="M67" s="0" t="n">
        <f aca="false">VLOOKUP(K67,clasif_filas!$A$1:$J$39,3,FALSE())</f>
        <v>6</v>
      </c>
      <c r="N67" s="0" t="str">
        <f aca="false">VLOOKUP(K67,clasif_filas!$A$1:$J$39,4,FALSE())</f>
        <v>Otros servicios</v>
      </c>
      <c r="O67" s="0" t="n">
        <f aca="false">VLOOKUP(K67,clasif_filas!$A$1:$J$39,5,FALSE())</f>
        <v>99</v>
      </c>
      <c r="P67" s="0" t="str">
        <f aca="false">VLOOKUP(K67,clasif_filas!$A$1:$J$39,6,FALSE())</f>
        <v>No Bioeconomía</v>
      </c>
      <c r="Q67" s="0" t="n">
        <f aca="false">VLOOKUP(K67,clasif_filas!$A$1:$J$39,7,FALSE())</f>
        <v>6</v>
      </c>
      <c r="R67" s="0" t="str">
        <f aca="false">VLOOKUP(K67,clasif_filas!$A$1:$J$39,8,FALSE())</f>
        <v>Servicios comerciales de distribución; alojamiento, servicios de suministro de comidas y bebidas; servicios de transporte; y servicios de distribución de electricidad, gas y agua</v>
      </c>
      <c r="S67" s="0" t="n">
        <f aca="false">VLOOKUP(K67,clasif_filas!$A$1:$J$39,9,FALSE())</f>
        <v>3</v>
      </c>
      <c r="T67" s="18" t="str">
        <f aca="false">VLOOKUP(K67,clasif_filas!$A$1:$J$39,10,FALSE())</f>
        <v>No bioeconomía</v>
      </c>
    </row>
    <row r="68" customFormat="false" ht="14.25" hidden="false" customHeight="false" outlineLevel="0" collapsed="false">
      <c r="A68" s="15" t="s">
        <v>179</v>
      </c>
      <c r="B68" s="2" t="s">
        <v>180</v>
      </c>
      <c r="C68" s="2" t="str">
        <f aca="false">VLOOKUP(B68, at_filas!$A$2:$C$8,2,FALSE())</f>
        <v>Ajuste CIF/FOB</v>
      </c>
      <c r="D68" s="2" t="n">
        <f aca="false">VLOOKUP(B68, at_filas!$A$2:$C$8,3,FALSE())</f>
        <v>3</v>
      </c>
      <c r="E68" s="16" t="s">
        <v>181</v>
      </c>
      <c r="F68" s="17" t="s">
        <v>182</v>
      </c>
      <c r="G68" s="2" t="s">
        <v>181</v>
      </c>
      <c r="H68" s="2" t="s">
        <v>181</v>
      </c>
      <c r="I68" s="2" t="s">
        <v>181</v>
      </c>
      <c r="J68" s="2" t="s">
        <v>181</v>
      </c>
      <c r="K68" s="0" t="s">
        <v>181</v>
      </c>
      <c r="L68" s="0" t="s">
        <v>181</v>
      </c>
      <c r="M68" s="0" t="s">
        <v>181</v>
      </c>
      <c r="N68" s="0" t="s">
        <v>181</v>
      </c>
      <c r="O68" s="0" t="s">
        <v>181</v>
      </c>
      <c r="P68" s="0" t="s">
        <v>181</v>
      </c>
      <c r="Q68" s="0" t="s">
        <v>181</v>
      </c>
      <c r="R68" s="0" t="s">
        <v>181</v>
      </c>
      <c r="S68" s="0" t="s">
        <v>181</v>
      </c>
      <c r="T68" s="18" t="s">
        <v>181</v>
      </c>
    </row>
    <row r="69" customFormat="false" ht="14.25" hidden="false" customHeight="false" outlineLevel="0" collapsed="false">
      <c r="A69" s="15" t="s">
        <v>183</v>
      </c>
      <c r="B69" s="2" t="s">
        <v>184</v>
      </c>
      <c r="C69" s="2" t="str">
        <f aca="false">VLOOKUP(B69, at_filas!$A$2:$C$8,2,FALSE())</f>
        <v>Compras directas en el exterior por residentes</v>
      </c>
      <c r="D69" s="2" t="n">
        <f aca="false">VLOOKUP(B69, at_filas!$A$2:$C$8,3,FALSE())</f>
        <v>4</v>
      </c>
      <c r="E69" s="16" t="s">
        <v>181</v>
      </c>
      <c r="F69" s="17" t="s">
        <v>185</v>
      </c>
      <c r="G69" s="2" t="s">
        <v>181</v>
      </c>
      <c r="H69" s="2" t="s">
        <v>181</v>
      </c>
      <c r="I69" s="2" t="s">
        <v>181</v>
      </c>
      <c r="J69" s="2" t="s">
        <v>181</v>
      </c>
      <c r="K69" s="0" t="s">
        <v>181</v>
      </c>
      <c r="L69" s="0" t="s">
        <v>181</v>
      </c>
      <c r="M69" s="0" t="s">
        <v>181</v>
      </c>
      <c r="N69" s="0" t="s">
        <v>181</v>
      </c>
      <c r="O69" s="0" t="s">
        <v>181</v>
      </c>
      <c r="P69" s="0" t="s">
        <v>181</v>
      </c>
      <c r="Q69" s="0" t="s">
        <v>181</v>
      </c>
      <c r="R69" s="0" t="s">
        <v>181</v>
      </c>
      <c r="S69" s="0" t="s">
        <v>181</v>
      </c>
      <c r="T69" s="18" t="s">
        <v>181</v>
      </c>
    </row>
    <row r="70" customFormat="false" ht="14.25" hidden="false" customHeight="false" outlineLevel="0" collapsed="false">
      <c r="A70" s="9" t="s">
        <v>186</v>
      </c>
      <c r="B70" s="10" t="s">
        <v>187</v>
      </c>
      <c r="C70" s="10" t="str">
        <f aca="false">VLOOKUP(B70, at_filas!$A$2:$C$8,2,FALSE())</f>
        <v>Consumo intermedio</v>
      </c>
      <c r="D70" s="10" t="n">
        <f aca="false">VLOOKUP(B70, at_filas!$A$2:$C$8,3,FALSE())</f>
        <v>2</v>
      </c>
      <c r="E70" s="11" t="n">
        <v>1</v>
      </c>
      <c r="F70" s="12" t="s">
        <v>25</v>
      </c>
      <c r="G70" s="2" t="s">
        <v>26</v>
      </c>
      <c r="H70" s="2" t="n">
        <v>0</v>
      </c>
      <c r="I70" s="2" t="s">
        <v>27</v>
      </c>
      <c r="J70" s="2" t="s">
        <v>28</v>
      </c>
      <c r="K70" s="13" t="n">
        <v>1</v>
      </c>
      <c r="L70" s="13" t="s">
        <v>188</v>
      </c>
      <c r="M70" s="13" t="n">
        <v>1</v>
      </c>
      <c r="N70" s="13" t="s">
        <v>188</v>
      </c>
      <c r="O70" s="13" t="n">
        <v>1</v>
      </c>
      <c r="P70" s="13" t="s">
        <v>189</v>
      </c>
      <c r="Q70" s="13" t="n">
        <v>0</v>
      </c>
      <c r="R70" s="13" t="s">
        <v>190</v>
      </c>
      <c r="S70" s="13" t="n">
        <v>1</v>
      </c>
      <c r="T70" s="14" t="s">
        <v>191</v>
      </c>
      <c r="U70" s="14"/>
    </row>
    <row r="71" customFormat="false" ht="14.25" hidden="false" customHeight="false" outlineLevel="0" collapsed="false">
      <c r="A71" s="15" t="s">
        <v>192</v>
      </c>
      <c r="B71" s="2" t="s">
        <v>187</v>
      </c>
      <c r="C71" s="2" t="str">
        <f aca="false">VLOOKUP(B71, at_filas!$A$2:$C$8,2,FALSE())</f>
        <v>Consumo intermedio</v>
      </c>
      <c r="D71" s="2" t="n">
        <f aca="false">VLOOKUP(B71, at_filas!$A$2:$C$8,3,FALSE())</f>
        <v>2</v>
      </c>
      <c r="E71" s="16" t="n">
        <v>2</v>
      </c>
      <c r="F71" s="17" t="s">
        <v>30</v>
      </c>
      <c r="G71" s="2" t="s">
        <v>26</v>
      </c>
      <c r="H71" s="2" t="n">
        <v>0</v>
      </c>
      <c r="I71" s="2" t="s">
        <v>27</v>
      </c>
      <c r="J71" s="2" t="s">
        <v>28</v>
      </c>
      <c r="K71" s="0" t="n">
        <v>2</v>
      </c>
      <c r="L71" s="0" t="s">
        <v>30</v>
      </c>
      <c r="M71" s="0" t="n">
        <v>2</v>
      </c>
      <c r="N71" s="0" t="s">
        <v>30</v>
      </c>
      <c r="O71" s="0" t="n">
        <v>1</v>
      </c>
      <c r="P71" s="0" t="s">
        <v>189</v>
      </c>
      <c r="Q71" s="0" t="n">
        <v>0</v>
      </c>
      <c r="R71" s="0" t="s">
        <v>190</v>
      </c>
      <c r="S71" s="0" t="n">
        <v>1</v>
      </c>
      <c r="T71" s="18" t="s">
        <v>191</v>
      </c>
      <c r="U71" s="18"/>
    </row>
    <row r="72" customFormat="false" ht="14.25" hidden="false" customHeight="false" outlineLevel="0" collapsed="false">
      <c r="A72" s="15" t="s">
        <v>193</v>
      </c>
      <c r="B72" s="2" t="s">
        <v>187</v>
      </c>
      <c r="C72" s="2" t="str">
        <f aca="false">VLOOKUP(B72, at_filas!$A$2:$C$8,2,FALSE())</f>
        <v>Consumo intermedio</v>
      </c>
      <c r="D72" s="2" t="n">
        <f aca="false">VLOOKUP(B72, at_filas!$A$2:$C$8,3,FALSE())</f>
        <v>2</v>
      </c>
      <c r="E72" s="16" t="n">
        <v>3</v>
      </c>
      <c r="F72" s="17" t="s">
        <v>32</v>
      </c>
      <c r="G72" s="2" t="s">
        <v>33</v>
      </c>
      <c r="H72" s="2" t="n">
        <v>1</v>
      </c>
      <c r="I72" s="2" t="s">
        <v>27</v>
      </c>
      <c r="J72" s="2" t="s">
        <v>33</v>
      </c>
      <c r="K72" s="0" t="n">
        <v>3</v>
      </c>
      <c r="L72" s="0" t="s">
        <v>194</v>
      </c>
      <c r="M72" s="0" t="n">
        <v>3</v>
      </c>
      <c r="N72" s="0" t="s">
        <v>194</v>
      </c>
      <c r="O72" s="0" t="n">
        <v>3</v>
      </c>
      <c r="P72" s="0" t="s">
        <v>195</v>
      </c>
      <c r="Q72" s="0" t="n">
        <v>0</v>
      </c>
      <c r="R72" s="0" t="s">
        <v>190</v>
      </c>
      <c r="S72" s="0" t="n">
        <v>1</v>
      </c>
      <c r="T72" s="18" t="s">
        <v>191</v>
      </c>
      <c r="U72" s="18"/>
    </row>
    <row r="73" customFormat="false" ht="14.25" hidden="false" customHeight="false" outlineLevel="0" collapsed="false">
      <c r="A73" s="15" t="s">
        <v>196</v>
      </c>
      <c r="B73" s="2" t="s">
        <v>187</v>
      </c>
      <c r="C73" s="2" t="str">
        <f aca="false">VLOOKUP(B73, at_filas!$A$2:$C$8,2,FALSE())</f>
        <v>Consumo intermedio</v>
      </c>
      <c r="D73" s="2" t="n">
        <f aca="false">VLOOKUP(B73, at_filas!$A$2:$C$8,3,FALSE())</f>
        <v>2</v>
      </c>
      <c r="E73" s="16" t="n">
        <v>4</v>
      </c>
      <c r="F73" s="17" t="s">
        <v>35</v>
      </c>
      <c r="G73" s="2" t="s">
        <v>26</v>
      </c>
      <c r="H73" s="2" t="n">
        <v>1</v>
      </c>
      <c r="I73" s="2" t="s">
        <v>27</v>
      </c>
      <c r="J73" s="2" t="s">
        <v>28</v>
      </c>
      <c r="K73" s="0" t="n">
        <v>4</v>
      </c>
      <c r="L73" s="0" t="s">
        <v>35</v>
      </c>
      <c r="M73" s="0" t="n">
        <v>4</v>
      </c>
      <c r="N73" s="0" t="s">
        <v>35</v>
      </c>
      <c r="O73" s="0" t="n">
        <v>2</v>
      </c>
      <c r="P73" s="0" t="s">
        <v>197</v>
      </c>
      <c r="Q73" s="0" t="n">
        <v>0</v>
      </c>
      <c r="R73" s="0" t="s">
        <v>190</v>
      </c>
      <c r="S73" s="0" t="n">
        <v>1</v>
      </c>
      <c r="T73" s="18" t="s">
        <v>191</v>
      </c>
      <c r="U73" s="18"/>
    </row>
    <row r="74" customFormat="false" ht="14.25" hidden="false" customHeight="false" outlineLevel="0" collapsed="false">
      <c r="A74" s="15" t="s">
        <v>198</v>
      </c>
      <c r="B74" s="2" t="s">
        <v>187</v>
      </c>
      <c r="C74" s="2" t="str">
        <f aca="false">VLOOKUP(B74, at_filas!$A$2:$C$8,2,FALSE())</f>
        <v>Consumo intermedio</v>
      </c>
      <c r="D74" s="2" t="n">
        <f aca="false">VLOOKUP(B74, at_filas!$A$2:$C$8,3,FALSE())</f>
        <v>2</v>
      </c>
      <c r="E74" s="16" t="n">
        <v>11</v>
      </c>
      <c r="F74" s="17" t="s">
        <v>37</v>
      </c>
      <c r="G74" s="2" t="s">
        <v>38</v>
      </c>
      <c r="H74" s="2" t="n">
        <v>4</v>
      </c>
      <c r="I74" s="2" t="s">
        <v>38</v>
      </c>
      <c r="J74" s="2" t="s">
        <v>38</v>
      </c>
      <c r="K74" s="0" t="n">
        <v>11</v>
      </c>
      <c r="L74" s="0" t="s">
        <v>199</v>
      </c>
      <c r="M74" s="0" t="n">
        <v>11</v>
      </c>
      <c r="N74" s="0" t="s">
        <v>199</v>
      </c>
      <c r="O74" s="0" t="n">
        <v>99</v>
      </c>
      <c r="P74" s="0" t="s">
        <v>200</v>
      </c>
      <c r="Q74" s="0" t="n">
        <v>1</v>
      </c>
      <c r="R74" s="0" t="s">
        <v>201</v>
      </c>
      <c r="S74" s="0" t="n">
        <v>3</v>
      </c>
      <c r="T74" s="18" t="s">
        <v>38</v>
      </c>
      <c r="U74" s="18"/>
    </row>
    <row r="75" customFormat="false" ht="25.55" hidden="false" customHeight="false" outlineLevel="0" collapsed="false">
      <c r="A75" s="15" t="s">
        <v>202</v>
      </c>
      <c r="B75" s="2" t="s">
        <v>187</v>
      </c>
      <c r="C75" s="2" t="str">
        <f aca="false">VLOOKUP(B75, at_filas!$A$2:$C$8,2,FALSE())</f>
        <v>Consumo intermedio</v>
      </c>
      <c r="D75" s="2" t="n">
        <f aca="false">VLOOKUP(B75, at_filas!$A$2:$C$8,3,FALSE())</f>
        <v>2</v>
      </c>
      <c r="E75" s="16" t="s">
        <v>40</v>
      </c>
      <c r="F75" s="17" t="s">
        <v>41</v>
      </c>
      <c r="G75" s="2" t="s">
        <v>38</v>
      </c>
      <c r="H75" s="2" t="n">
        <v>4</v>
      </c>
      <c r="I75" s="2" t="s">
        <v>38</v>
      </c>
      <c r="J75" s="2" t="s">
        <v>38</v>
      </c>
      <c r="K75" s="0" t="n">
        <v>11</v>
      </c>
      <c r="L75" s="0" t="s">
        <v>199</v>
      </c>
      <c r="M75" s="0" t="n">
        <v>11</v>
      </c>
      <c r="N75" s="0" t="s">
        <v>199</v>
      </c>
      <c r="O75" s="0" t="n">
        <v>99</v>
      </c>
      <c r="P75" s="0" t="s">
        <v>200</v>
      </c>
      <c r="Q75" s="0" t="n">
        <v>1</v>
      </c>
      <c r="R75" s="0" t="s">
        <v>201</v>
      </c>
      <c r="S75" s="0" t="n">
        <v>3</v>
      </c>
      <c r="T75" s="18" t="s">
        <v>38</v>
      </c>
      <c r="U75" s="18"/>
    </row>
    <row r="76" customFormat="false" ht="14.25" hidden="false" customHeight="false" outlineLevel="0" collapsed="false">
      <c r="A76" s="15" t="s">
        <v>203</v>
      </c>
      <c r="B76" s="2" t="s">
        <v>187</v>
      </c>
      <c r="C76" s="2" t="str">
        <f aca="false">VLOOKUP(B76, at_filas!$A$2:$C$8,2,FALSE())</f>
        <v>Consumo intermedio</v>
      </c>
      <c r="D76" s="2" t="n">
        <f aca="false">VLOOKUP(B76, at_filas!$A$2:$C$8,3,FALSE())</f>
        <v>2</v>
      </c>
      <c r="E76" s="16" t="n">
        <v>14</v>
      </c>
      <c r="F76" s="17" t="s">
        <v>43</v>
      </c>
      <c r="G76" s="2" t="s">
        <v>38</v>
      </c>
      <c r="H76" s="2" t="n">
        <v>4</v>
      </c>
      <c r="I76" s="2" t="s">
        <v>38</v>
      </c>
      <c r="J76" s="2" t="s">
        <v>38</v>
      </c>
      <c r="K76" s="0" t="n">
        <v>11</v>
      </c>
      <c r="L76" s="0" t="s">
        <v>199</v>
      </c>
      <c r="M76" s="0" t="n">
        <v>11</v>
      </c>
      <c r="N76" s="0" t="s">
        <v>199</v>
      </c>
      <c r="O76" s="0" t="n">
        <v>99</v>
      </c>
      <c r="P76" s="0" t="s">
        <v>200</v>
      </c>
      <c r="Q76" s="0" t="n">
        <v>1</v>
      </c>
      <c r="R76" s="0" t="s">
        <v>201</v>
      </c>
      <c r="S76" s="0" t="n">
        <v>3</v>
      </c>
      <c r="T76" s="18" t="s">
        <v>38</v>
      </c>
      <c r="U76" s="18"/>
    </row>
    <row r="77" customFormat="false" ht="14.25" hidden="false" customHeight="false" outlineLevel="0" collapsed="false">
      <c r="A77" s="15" t="s">
        <v>204</v>
      </c>
      <c r="B77" s="2" t="s">
        <v>187</v>
      </c>
      <c r="C77" s="2" t="str">
        <f aca="false">VLOOKUP(B77, at_filas!$A$2:$C$8,2,FALSE())</f>
        <v>Consumo intermedio</v>
      </c>
      <c r="D77" s="2" t="n">
        <f aca="false">VLOOKUP(B77, at_filas!$A$2:$C$8,3,FALSE())</f>
        <v>2</v>
      </c>
      <c r="E77" s="16" t="n">
        <v>15</v>
      </c>
      <c r="F77" s="17" t="s">
        <v>45</v>
      </c>
      <c r="G77" s="2" t="s">
        <v>38</v>
      </c>
      <c r="H77" s="2" t="n">
        <v>4</v>
      </c>
      <c r="I77" s="2" t="s">
        <v>38</v>
      </c>
      <c r="J77" s="2" t="s">
        <v>38</v>
      </c>
      <c r="K77" s="0" t="n">
        <v>11</v>
      </c>
      <c r="L77" s="0" t="s">
        <v>199</v>
      </c>
      <c r="M77" s="0" t="n">
        <v>11</v>
      </c>
      <c r="N77" s="0" t="s">
        <v>199</v>
      </c>
      <c r="O77" s="0" t="n">
        <v>99</v>
      </c>
      <c r="P77" s="0" t="s">
        <v>200</v>
      </c>
      <c r="Q77" s="0" t="n">
        <v>1</v>
      </c>
      <c r="R77" s="0" t="s">
        <v>201</v>
      </c>
      <c r="S77" s="0" t="n">
        <v>3</v>
      </c>
      <c r="T77" s="18" t="s">
        <v>38</v>
      </c>
      <c r="U77" s="18"/>
    </row>
    <row r="78" customFormat="false" ht="14.25" hidden="false" customHeight="false" outlineLevel="0" collapsed="false">
      <c r="A78" s="15" t="s">
        <v>205</v>
      </c>
      <c r="B78" s="2" t="s">
        <v>187</v>
      </c>
      <c r="C78" s="2" t="str">
        <f aca="false">VLOOKUP(B78, at_filas!$A$2:$C$8,2,FALSE())</f>
        <v>Consumo intermedio</v>
      </c>
      <c r="D78" s="2" t="n">
        <f aca="false">VLOOKUP(B78, at_filas!$A$2:$C$8,3,FALSE())</f>
        <v>2</v>
      </c>
      <c r="E78" s="16" t="n">
        <v>16</v>
      </c>
      <c r="F78" s="17" t="s">
        <v>47</v>
      </c>
      <c r="G78" s="2" t="s">
        <v>38</v>
      </c>
      <c r="H78" s="2" t="n">
        <v>4</v>
      </c>
      <c r="I78" s="2" t="s">
        <v>38</v>
      </c>
      <c r="J78" s="2" t="s">
        <v>38</v>
      </c>
      <c r="K78" s="0" t="n">
        <v>11</v>
      </c>
      <c r="L78" s="0" t="s">
        <v>199</v>
      </c>
      <c r="M78" s="0" t="n">
        <v>11</v>
      </c>
      <c r="N78" s="0" t="s">
        <v>199</v>
      </c>
      <c r="O78" s="0" t="n">
        <v>99</v>
      </c>
      <c r="P78" s="0" t="s">
        <v>200</v>
      </c>
      <c r="Q78" s="0" t="n">
        <v>1</v>
      </c>
      <c r="R78" s="0" t="s">
        <v>201</v>
      </c>
      <c r="S78" s="0" t="n">
        <v>3</v>
      </c>
      <c r="T78" s="18" t="s">
        <v>38</v>
      </c>
      <c r="U78" s="18"/>
    </row>
    <row r="79" customFormat="false" ht="14.25" hidden="false" customHeight="false" outlineLevel="0" collapsed="false">
      <c r="A79" s="15" t="s">
        <v>206</v>
      </c>
      <c r="B79" s="2" t="s">
        <v>187</v>
      </c>
      <c r="C79" s="2" t="str">
        <f aca="false">VLOOKUP(B79, at_filas!$A$2:$C$8,2,FALSE())</f>
        <v>Consumo intermedio</v>
      </c>
      <c r="D79" s="2" t="n">
        <f aca="false">VLOOKUP(B79, at_filas!$A$2:$C$8,3,FALSE())</f>
        <v>2</v>
      </c>
      <c r="E79" s="16" t="n">
        <v>17</v>
      </c>
      <c r="F79" s="17" t="s">
        <v>49</v>
      </c>
      <c r="G79" s="2" t="s">
        <v>38</v>
      </c>
      <c r="H79" s="2" t="n">
        <v>4</v>
      </c>
      <c r="I79" s="2" t="s">
        <v>38</v>
      </c>
      <c r="J79" s="2" t="s">
        <v>38</v>
      </c>
      <c r="K79" s="0" t="n">
        <v>11</v>
      </c>
      <c r="L79" s="0" t="s">
        <v>199</v>
      </c>
      <c r="M79" s="0" t="n">
        <v>11</v>
      </c>
      <c r="N79" s="0" t="s">
        <v>199</v>
      </c>
      <c r="O79" s="0" t="n">
        <v>99</v>
      </c>
      <c r="P79" s="0" t="s">
        <v>200</v>
      </c>
      <c r="Q79" s="0" t="n">
        <v>1</v>
      </c>
      <c r="R79" s="0" t="s">
        <v>201</v>
      </c>
      <c r="S79" s="0" t="n">
        <v>3</v>
      </c>
      <c r="T79" s="18" t="s">
        <v>38</v>
      </c>
      <c r="U79" s="18"/>
    </row>
    <row r="80" customFormat="false" ht="14.25" hidden="false" customHeight="false" outlineLevel="0" collapsed="false">
      <c r="A80" s="15" t="s">
        <v>207</v>
      </c>
      <c r="B80" s="2" t="s">
        <v>187</v>
      </c>
      <c r="C80" s="2" t="str">
        <f aca="false">VLOOKUP(B80, at_filas!$A$2:$C$8,2,FALSE())</f>
        <v>Consumo intermedio</v>
      </c>
      <c r="D80" s="2" t="n">
        <f aca="false">VLOOKUP(B80, at_filas!$A$2:$C$8,3,FALSE())</f>
        <v>2</v>
      </c>
      <c r="E80" s="16" t="n">
        <v>18</v>
      </c>
      <c r="F80" s="17" t="s">
        <v>51</v>
      </c>
      <c r="G80" s="2" t="s">
        <v>33</v>
      </c>
      <c r="H80" s="2" t="n">
        <v>1</v>
      </c>
      <c r="I80" s="2" t="s">
        <v>27</v>
      </c>
      <c r="J80" s="2" t="s">
        <v>33</v>
      </c>
      <c r="K80" s="0" t="n">
        <v>18</v>
      </c>
      <c r="L80" s="0" t="s">
        <v>51</v>
      </c>
      <c r="M80" s="0" t="n">
        <v>18</v>
      </c>
      <c r="N80" s="0" t="s">
        <v>51</v>
      </c>
      <c r="O80" s="0" t="n">
        <v>6</v>
      </c>
      <c r="P80" s="0" t="s">
        <v>208</v>
      </c>
      <c r="Q80" s="0" t="n">
        <v>1</v>
      </c>
      <c r="R80" s="0" t="s">
        <v>201</v>
      </c>
      <c r="S80" s="0" t="n">
        <v>2</v>
      </c>
      <c r="T80" s="18" t="s">
        <v>209</v>
      </c>
      <c r="U80" s="18"/>
    </row>
    <row r="81" customFormat="false" ht="14.25" hidden="false" customHeight="false" outlineLevel="0" collapsed="false">
      <c r="A81" s="15" t="s">
        <v>210</v>
      </c>
      <c r="B81" s="2" t="s">
        <v>187</v>
      </c>
      <c r="C81" s="2" t="str">
        <f aca="false">VLOOKUP(B81, at_filas!$A$2:$C$8,2,FALSE())</f>
        <v>Consumo intermedio</v>
      </c>
      <c r="D81" s="2" t="n">
        <f aca="false">VLOOKUP(B81, at_filas!$A$2:$C$8,3,FALSE())</f>
        <v>2</v>
      </c>
      <c r="E81" s="16" t="n">
        <v>21</v>
      </c>
      <c r="F81" s="17" t="s">
        <v>53</v>
      </c>
      <c r="G81" s="2" t="s">
        <v>54</v>
      </c>
      <c r="H81" s="2" t="n">
        <v>2</v>
      </c>
      <c r="I81" s="2" t="s">
        <v>55</v>
      </c>
      <c r="J81" s="2" t="s">
        <v>56</v>
      </c>
      <c r="K81" s="0" t="n">
        <v>21</v>
      </c>
      <c r="L81" s="0" t="s">
        <v>211</v>
      </c>
      <c r="M81" s="0" t="n">
        <v>21</v>
      </c>
      <c r="N81" s="0" t="s">
        <v>211</v>
      </c>
      <c r="O81" s="0" t="n">
        <v>6</v>
      </c>
      <c r="P81" s="0" t="s">
        <v>208</v>
      </c>
      <c r="Q81" s="0" t="n">
        <v>2</v>
      </c>
      <c r="R81" s="0" t="s">
        <v>212</v>
      </c>
      <c r="S81" s="0" t="n">
        <v>1</v>
      </c>
      <c r="T81" s="18" t="s">
        <v>191</v>
      </c>
      <c r="U81" s="18"/>
    </row>
    <row r="82" customFormat="false" ht="14.25" hidden="false" customHeight="false" outlineLevel="0" collapsed="false">
      <c r="A82" s="15" t="s">
        <v>213</v>
      </c>
      <c r="B82" s="2" t="s">
        <v>187</v>
      </c>
      <c r="C82" s="2" t="str">
        <f aca="false">VLOOKUP(B82, at_filas!$A$2:$C$8,2,FALSE())</f>
        <v>Consumo intermedio</v>
      </c>
      <c r="D82" s="2" t="n">
        <f aca="false">VLOOKUP(B82, at_filas!$A$2:$C$8,3,FALSE())</f>
        <v>2</v>
      </c>
      <c r="E82" s="16" t="n">
        <v>22</v>
      </c>
      <c r="F82" s="17" t="s">
        <v>58</v>
      </c>
      <c r="G82" s="2" t="s">
        <v>59</v>
      </c>
      <c r="H82" s="2" t="n">
        <v>2</v>
      </c>
      <c r="I82" s="2" t="s">
        <v>55</v>
      </c>
      <c r="J82" s="2" t="s">
        <v>56</v>
      </c>
      <c r="K82" s="0" t="n">
        <v>22</v>
      </c>
      <c r="L82" s="0" t="s">
        <v>214</v>
      </c>
      <c r="M82" s="0" t="n">
        <v>22</v>
      </c>
      <c r="N82" s="0" t="s">
        <v>214</v>
      </c>
      <c r="O82" s="0" t="n">
        <v>6</v>
      </c>
      <c r="P82" s="0" t="s">
        <v>208</v>
      </c>
      <c r="Q82" s="0" t="n">
        <v>2</v>
      </c>
      <c r="R82" s="0" t="s">
        <v>212</v>
      </c>
      <c r="S82" s="0" t="n">
        <v>1</v>
      </c>
      <c r="T82" s="18" t="s">
        <v>191</v>
      </c>
      <c r="U82" s="18"/>
    </row>
    <row r="83" customFormat="false" ht="25.55" hidden="false" customHeight="false" outlineLevel="0" collapsed="false">
      <c r="A83" s="15" t="s">
        <v>215</v>
      </c>
      <c r="B83" s="2" t="s">
        <v>187</v>
      </c>
      <c r="C83" s="2" t="str">
        <f aca="false">VLOOKUP(B83, at_filas!$A$2:$C$8,2,FALSE())</f>
        <v>Consumo intermedio</v>
      </c>
      <c r="D83" s="2" t="n">
        <f aca="false">VLOOKUP(B83, at_filas!$A$2:$C$8,3,FALSE())</f>
        <v>2</v>
      </c>
      <c r="E83" s="16" t="n">
        <v>23</v>
      </c>
      <c r="F83" s="17" t="s">
        <v>61</v>
      </c>
      <c r="G83" s="2" t="s">
        <v>62</v>
      </c>
      <c r="H83" s="2" t="n">
        <v>2</v>
      </c>
      <c r="I83" s="2" t="s">
        <v>55</v>
      </c>
      <c r="J83" s="2" t="s">
        <v>56</v>
      </c>
      <c r="K83" s="0" t="n">
        <v>23</v>
      </c>
      <c r="L83" s="0" t="s">
        <v>216</v>
      </c>
      <c r="M83" s="0" t="n">
        <v>23</v>
      </c>
      <c r="N83" s="0" t="s">
        <v>216</v>
      </c>
      <c r="O83" s="0" t="n">
        <v>6</v>
      </c>
      <c r="P83" s="0" t="s">
        <v>208</v>
      </c>
      <c r="Q83" s="0" t="n">
        <v>2</v>
      </c>
      <c r="R83" s="0" t="s">
        <v>212</v>
      </c>
      <c r="S83" s="0" t="n">
        <v>1</v>
      </c>
      <c r="T83" s="18" t="s">
        <v>191</v>
      </c>
      <c r="U83" s="18"/>
    </row>
    <row r="84" customFormat="false" ht="14.25" hidden="false" customHeight="false" outlineLevel="0" collapsed="false">
      <c r="A84" s="15" t="s">
        <v>217</v>
      </c>
      <c r="B84" s="2" t="s">
        <v>187</v>
      </c>
      <c r="C84" s="2" t="str">
        <f aca="false">VLOOKUP(B84, at_filas!$A$2:$C$8,2,FALSE())</f>
        <v>Consumo intermedio</v>
      </c>
      <c r="D84" s="2" t="n">
        <f aca="false">VLOOKUP(B84, at_filas!$A$2:$C$8,3,FALSE())</f>
        <v>2</v>
      </c>
      <c r="E84" s="16" t="n">
        <v>24</v>
      </c>
      <c r="F84" s="17" t="s">
        <v>64</v>
      </c>
      <c r="G84" s="2" t="s">
        <v>65</v>
      </c>
      <c r="H84" s="2" t="n">
        <v>2</v>
      </c>
      <c r="I84" s="2" t="s">
        <v>55</v>
      </c>
      <c r="J84" s="2" t="s">
        <v>56</v>
      </c>
      <c r="K84" s="0" t="n">
        <v>24</v>
      </c>
      <c r="L84" s="0" t="s">
        <v>64</v>
      </c>
      <c r="M84" s="0" t="n">
        <v>24</v>
      </c>
      <c r="N84" s="0" t="s">
        <v>64</v>
      </c>
      <c r="O84" s="0" t="n">
        <v>6</v>
      </c>
      <c r="P84" s="0" t="s">
        <v>208</v>
      </c>
      <c r="Q84" s="0" t="n">
        <v>2</v>
      </c>
      <c r="R84" s="0" t="s">
        <v>212</v>
      </c>
      <c r="S84" s="0" t="n">
        <v>1</v>
      </c>
      <c r="T84" s="18" t="s">
        <v>191</v>
      </c>
      <c r="U84" s="18"/>
    </row>
    <row r="85" customFormat="false" ht="14.25" hidden="false" customHeight="false" outlineLevel="0" collapsed="false">
      <c r="A85" s="15" t="s">
        <v>218</v>
      </c>
      <c r="B85" s="2" t="s">
        <v>187</v>
      </c>
      <c r="C85" s="2" t="str">
        <f aca="false">VLOOKUP(B85, at_filas!$A$2:$C$8,2,FALSE())</f>
        <v>Consumo intermedio</v>
      </c>
      <c r="D85" s="2" t="n">
        <f aca="false">VLOOKUP(B85, at_filas!$A$2:$C$8,3,FALSE())</f>
        <v>2</v>
      </c>
      <c r="E85" s="16" t="n">
        <v>25</v>
      </c>
      <c r="F85" s="17" t="s">
        <v>67</v>
      </c>
      <c r="G85" s="2" t="s">
        <v>68</v>
      </c>
      <c r="H85" s="2" t="n">
        <v>2</v>
      </c>
      <c r="I85" s="2" t="s">
        <v>55</v>
      </c>
      <c r="J85" s="2" t="s">
        <v>56</v>
      </c>
      <c r="K85" s="0" t="n">
        <v>25</v>
      </c>
      <c r="L85" s="0" t="s">
        <v>219</v>
      </c>
      <c r="M85" s="0" t="n">
        <v>25</v>
      </c>
      <c r="N85" s="0" t="s">
        <v>219</v>
      </c>
      <c r="O85" s="0" t="n">
        <v>6</v>
      </c>
      <c r="P85" s="0" t="s">
        <v>208</v>
      </c>
      <c r="Q85" s="0" t="n">
        <v>2</v>
      </c>
      <c r="R85" s="0" t="s">
        <v>212</v>
      </c>
      <c r="S85" s="0" t="n">
        <v>1</v>
      </c>
      <c r="T85" s="18" t="s">
        <v>191</v>
      </c>
      <c r="U85" s="18"/>
    </row>
    <row r="86" customFormat="false" ht="14.25" hidden="false" customHeight="false" outlineLevel="0" collapsed="false">
      <c r="A86" s="15" t="s">
        <v>220</v>
      </c>
      <c r="B86" s="2" t="s">
        <v>187</v>
      </c>
      <c r="C86" s="2" t="str">
        <f aca="false">VLOOKUP(B86, at_filas!$A$2:$C$8,2,FALSE())</f>
        <v>Consumo intermedio</v>
      </c>
      <c r="D86" s="2" t="n">
        <f aca="false">VLOOKUP(B86, at_filas!$A$2:$C$8,3,FALSE())</f>
        <v>2</v>
      </c>
      <c r="E86" s="16" t="n">
        <v>26</v>
      </c>
      <c r="F86" s="17" t="s">
        <v>70</v>
      </c>
      <c r="G86" s="2" t="s">
        <v>71</v>
      </c>
      <c r="H86" s="2" t="n">
        <v>2</v>
      </c>
      <c r="I86" s="2" t="s">
        <v>55</v>
      </c>
      <c r="J86" s="2" t="s">
        <v>71</v>
      </c>
      <c r="K86" s="0" t="n">
        <v>26</v>
      </c>
      <c r="L86" s="0" t="s">
        <v>221</v>
      </c>
      <c r="M86" s="0" t="n">
        <v>26</v>
      </c>
      <c r="N86" s="0" t="s">
        <v>221</v>
      </c>
      <c r="O86" s="0" t="n">
        <v>6</v>
      </c>
      <c r="P86" s="0" t="s">
        <v>208</v>
      </c>
      <c r="Q86" s="0" t="n">
        <v>2</v>
      </c>
      <c r="R86" s="0" t="s">
        <v>212</v>
      </c>
      <c r="S86" s="0" t="n">
        <v>2</v>
      </c>
      <c r="T86" s="18" t="s">
        <v>209</v>
      </c>
      <c r="U86" s="18"/>
    </row>
    <row r="87" customFormat="false" ht="14.25" hidden="false" customHeight="false" outlineLevel="0" collapsed="false">
      <c r="A87" s="15" t="s">
        <v>222</v>
      </c>
      <c r="B87" s="2" t="s">
        <v>187</v>
      </c>
      <c r="C87" s="2" t="str">
        <f aca="false">VLOOKUP(B87, at_filas!$A$2:$C$8,2,FALSE())</f>
        <v>Consumo intermedio</v>
      </c>
      <c r="D87" s="2" t="n">
        <f aca="false">VLOOKUP(B87, at_filas!$A$2:$C$8,3,FALSE())</f>
        <v>2</v>
      </c>
      <c r="E87" s="16" t="n">
        <v>27</v>
      </c>
      <c r="F87" s="17" t="s">
        <v>73</v>
      </c>
      <c r="G87" s="2" t="s">
        <v>71</v>
      </c>
      <c r="H87" s="2" t="n">
        <v>2</v>
      </c>
      <c r="I87" s="2" t="s">
        <v>55</v>
      </c>
      <c r="J87" s="2" t="s">
        <v>71</v>
      </c>
      <c r="K87" s="0" t="n">
        <v>27</v>
      </c>
      <c r="L87" s="0" t="s">
        <v>223</v>
      </c>
      <c r="M87" s="0" t="n">
        <v>27</v>
      </c>
      <c r="N87" s="0" t="s">
        <v>223</v>
      </c>
      <c r="O87" s="0" t="n">
        <v>6</v>
      </c>
      <c r="P87" s="0" t="s">
        <v>208</v>
      </c>
      <c r="Q87" s="0" t="n">
        <v>2</v>
      </c>
      <c r="R87" s="0" t="s">
        <v>212</v>
      </c>
      <c r="S87" s="0" t="n">
        <v>2</v>
      </c>
      <c r="T87" s="18" t="s">
        <v>209</v>
      </c>
      <c r="U87" s="18"/>
    </row>
    <row r="88" customFormat="false" ht="14.25" hidden="false" customHeight="false" outlineLevel="0" collapsed="false">
      <c r="A88" s="15" t="s">
        <v>224</v>
      </c>
      <c r="B88" s="2" t="s">
        <v>187</v>
      </c>
      <c r="C88" s="2" t="str">
        <f aca="false">VLOOKUP(B88, at_filas!$A$2:$C$8,2,FALSE())</f>
        <v>Consumo intermedio</v>
      </c>
      <c r="D88" s="2" t="n">
        <f aca="false">VLOOKUP(B88, at_filas!$A$2:$C$8,3,FALSE())</f>
        <v>2</v>
      </c>
      <c r="E88" s="16" t="n">
        <v>28</v>
      </c>
      <c r="F88" s="17" t="s">
        <v>75</v>
      </c>
      <c r="G88" s="2" t="s">
        <v>71</v>
      </c>
      <c r="H88" s="2" t="n">
        <v>2</v>
      </c>
      <c r="I88" s="2" t="s">
        <v>55</v>
      </c>
      <c r="J88" s="2" t="s">
        <v>71</v>
      </c>
      <c r="K88" s="0" t="n">
        <v>28</v>
      </c>
      <c r="L88" s="0" t="s">
        <v>225</v>
      </c>
      <c r="M88" s="0" t="n">
        <v>28</v>
      </c>
      <c r="N88" s="0" t="s">
        <v>225</v>
      </c>
      <c r="O88" s="0" t="n">
        <v>6</v>
      </c>
      <c r="P88" s="0" t="s">
        <v>208</v>
      </c>
      <c r="Q88" s="0" t="n">
        <v>2</v>
      </c>
      <c r="R88" s="0" t="s">
        <v>212</v>
      </c>
      <c r="S88" s="0" t="n">
        <v>2</v>
      </c>
      <c r="T88" s="18" t="s">
        <v>209</v>
      </c>
      <c r="U88" s="18"/>
    </row>
    <row r="89" customFormat="false" ht="14.25" hidden="false" customHeight="false" outlineLevel="0" collapsed="false">
      <c r="A89" s="15" t="s">
        <v>226</v>
      </c>
      <c r="B89" s="2" t="s">
        <v>187</v>
      </c>
      <c r="C89" s="2" t="str">
        <f aca="false">VLOOKUP(B89, at_filas!$A$2:$C$8,2,FALSE())</f>
        <v>Consumo intermedio</v>
      </c>
      <c r="D89" s="2" t="n">
        <f aca="false">VLOOKUP(B89, at_filas!$A$2:$C$8,3,FALSE())</f>
        <v>2</v>
      </c>
      <c r="E89" s="16" t="n">
        <v>29</v>
      </c>
      <c r="F89" s="17" t="s">
        <v>77</v>
      </c>
      <c r="G89" s="2" t="s">
        <v>71</v>
      </c>
      <c r="H89" s="2" t="n">
        <v>2</v>
      </c>
      <c r="I89" s="2" t="s">
        <v>55</v>
      </c>
      <c r="J89" s="2" t="s">
        <v>71</v>
      </c>
      <c r="K89" s="0" t="n">
        <v>29</v>
      </c>
      <c r="L89" s="0" t="s">
        <v>77</v>
      </c>
      <c r="M89" s="0" t="n">
        <v>29</v>
      </c>
      <c r="N89" s="0" t="s">
        <v>77</v>
      </c>
      <c r="O89" s="0" t="n">
        <v>6</v>
      </c>
      <c r="P89" s="0" t="s">
        <v>208</v>
      </c>
      <c r="Q89" s="0" t="n">
        <v>2</v>
      </c>
      <c r="R89" s="0" t="s">
        <v>212</v>
      </c>
      <c r="S89" s="0" t="n">
        <v>2</v>
      </c>
      <c r="T89" s="18" t="s">
        <v>209</v>
      </c>
      <c r="U89" s="18"/>
    </row>
    <row r="90" customFormat="false" ht="14.25" hidden="false" customHeight="false" outlineLevel="0" collapsed="false">
      <c r="A90" s="15" t="s">
        <v>227</v>
      </c>
      <c r="B90" s="2" t="s">
        <v>187</v>
      </c>
      <c r="C90" s="2" t="str">
        <f aca="false">VLOOKUP(B90, at_filas!$A$2:$C$8,2,FALSE())</f>
        <v>Consumo intermedio</v>
      </c>
      <c r="D90" s="2" t="n">
        <f aca="false">VLOOKUP(B90, at_filas!$A$2:$C$8,3,FALSE())</f>
        <v>2</v>
      </c>
      <c r="E90" s="16" t="n">
        <v>31</v>
      </c>
      <c r="F90" s="17" t="s">
        <v>79</v>
      </c>
      <c r="G90" s="2" t="s">
        <v>80</v>
      </c>
      <c r="H90" s="2" t="n">
        <v>2</v>
      </c>
      <c r="I90" s="2" t="s">
        <v>55</v>
      </c>
      <c r="J90" s="2" t="s">
        <v>80</v>
      </c>
      <c r="K90" s="0" t="n">
        <v>31</v>
      </c>
      <c r="L90" s="0" t="s">
        <v>228</v>
      </c>
      <c r="M90" s="0" t="n">
        <v>31</v>
      </c>
      <c r="N90" s="0" t="s">
        <v>228</v>
      </c>
      <c r="O90" s="0" t="n">
        <v>6</v>
      </c>
      <c r="P90" s="0" t="s">
        <v>208</v>
      </c>
      <c r="Q90" s="0" t="n">
        <v>3</v>
      </c>
      <c r="R90" s="0" t="s">
        <v>229</v>
      </c>
      <c r="S90" s="0" t="n">
        <v>1</v>
      </c>
      <c r="T90" s="18" t="s">
        <v>191</v>
      </c>
      <c r="U90" s="18"/>
    </row>
    <row r="91" customFormat="false" ht="25.55" hidden="false" customHeight="false" outlineLevel="0" collapsed="false">
      <c r="A91" s="15" t="s">
        <v>230</v>
      </c>
      <c r="B91" s="2" t="s">
        <v>187</v>
      </c>
      <c r="C91" s="2" t="str">
        <f aca="false">VLOOKUP(B91, at_filas!$A$2:$C$8,2,FALSE())</f>
        <v>Consumo intermedio</v>
      </c>
      <c r="D91" s="2" t="n">
        <f aca="false">VLOOKUP(B91, at_filas!$A$2:$C$8,3,FALSE())</f>
        <v>2</v>
      </c>
      <c r="E91" s="16" t="n">
        <v>32</v>
      </c>
      <c r="F91" s="17" t="s">
        <v>82</v>
      </c>
      <c r="G91" s="2" t="s">
        <v>83</v>
      </c>
      <c r="H91" s="2" t="n">
        <v>2</v>
      </c>
      <c r="I91" s="2" t="s">
        <v>55</v>
      </c>
      <c r="J91" s="2" t="s">
        <v>83</v>
      </c>
      <c r="K91" s="0" t="n">
        <v>32</v>
      </c>
      <c r="L91" s="0" t="s">
        <v>231</v>
      </c>
      <c r="M91" s="0" t="n">
        <v>32</v>
      </c>
      <c r="N91" s="0" t="s">
        <v>231</v>
      </c>
      <c r="O91" s="0" t="n">
        <v>6</v>
      </c>
      <c r="P91" s="0" t="s">
        <v>208</v>
      </c>
      <c r="Q91" s="0" t="n">
        <v>3</v>
      </c>
      <c r="R91" s="0" t="s">
        <v>229</v>
      </c>
      <c r="S91" s="0" t="n">
        <v>1</v>
      </c>
      <c r="T91" s="18" t="s">
        <v>191</v>
      </c>
      <c r="U91" s="18"/>
    </row>
    <row r="92" customFormat="false" ht="25.55" hidden="false" customHeight="false" outlineLevel="0" collapsed="false">
      <c r="A92" s="15" t="s">
        <v>232</v>
      </c>
      <c r="B92" s="2" t="s">
        <v>187</v>
      </c>
      <c r="C92" s="2" t="str">
        <f aca="false">VLOOKUP(B92, at_filas!$A$2:$C$8,2,FALSE())</f>
        <v>Consumo intermedio</v>
      </c>
      <c r="D92" s="2" t="n">
        <f aca="false">VLOOKUP(B92, at_filas!$A$2:$C$8,3,FALSE())</f>
        <v>2</v>
      </c>
      <c r="E92" s="16" t="n">
        <v>33</v>
      </c>
      <c r="F92" s="17" t="s">
        <v>85</v>
      </c>
      <c r="G92" s="2" t="s">
        <v>38</v>
      </c>
      <c r="H92" s="2" t="n">
        <v>4</v>
      </c>
      <c r="I92" s="2" t="s">
        <v>38</v>
      </c>
      <c r="J92" s="2" t="s">
        <v>38</v>
      </c>
      <c r="K92" s="0" t="n">
        <v>11</v>
      </c>
      <c r="L92" s="0" t="s">
        <v>199</v>
      </c>
      <c r="M92" s="0" t="n">
        <v>11</v>
      </c>
      <c r="N92" s="0" t="s">
        <v>199</v>
      </c>
      <c r="O92" s="0" t="n">
        <v>99</v>
      </c>
      <c r="P92" s="0" t="s">
        <v>200</v>
      </c>
      <c r="Q92" s="0" t="n">
        <v>1</v>
      </c>
      <c r="R92" s="0" t="s">
        <v>201</v>
      </c>
      <c r="S92" s="0" t="n">
        <v>3</v>
      </c>
      <c r="T92" s="18" t="s">
        <v>38</v>
      </c>
      <c r="U92" s="18"/>
    </row>
    <row r="93" customFormat="false" ht="14.25" hidden="false" customHeight="false" outlineLevel="0" collapsed="false">
      <c r="A93" s="15" t="s">
        <v>233</v>
      </c>
      <c r="B93" s="2" t="s">
        <v>187</v>
      </c>
      <c r="C93" s="2" t="str">
        <f aca="false">VLOOKUP(B93, at_filas!$A$2:$C$8,2,FALSE())</f>
        <v>Consumo intermedio</v>
      </c>
      <c r="D93" s="2" t="n">
        <f aca="false">VLOOKUP(B93, at_filas!$A$2:$C$8,3,FALSE())</f>
        <v>2</v>
      </c>
      <c r="E93" s="16" t="n">
        <v>34</v>
      </c>
      <c r="F93" s="17" t="s">
        <v>87</v>
      </c>
      <c r="G93" s="19" t="s">
        <v>88</v>
      </c>
      <c r="H93" s="2" t="n">
        <v>3</v>
      </c>
      <c r="I93" s="2" t="s">
        <v>89</v>
      </c>
      <c r="J93" s="19" t="s">
        <v>88</v>
      </c>
      <c r="K93" s="0" t="n">
        <v>341</v>
      </c>
      <c r="L93" s="0" t="s">
        <v>234</v>
      </c>
      <c r="M93" s="0" t="n">
        <v>34</v>
      </c>
      <c r="N93" s="0" t="s">
        <v>87</v>
      </c>
      <c r="O93" s="0" t="n">
        <v>6</v>
      </c>
      <c r="P93" s="0" t="s">
        <v>208</v>
      </c>
      <c r="Q93" s="0" t="n">
        <v>3</v>
      </c>
      <c r="R93" s="0" t="s">
        <v>229</v>
      </c>
      <c r="S93" s="0" t="n">
        <v>2</v>
      </c>
      <c r="T93" s="18" t="s">
        <v>209</v>
      </c>
      <c r="U93" s="18"/>
    </row>
    <row r="94" customFormat="false" ht="25.55" hidden="false" customHeight="false" outlineLevel="0" collapsed="false">
      <c r="A94" s="15" t="s">
        <v>235</v>
      </c>
      <c r="B94" s="2" t="s">
        <v>187</v>
      </c>
      <c r="C94" s="2" t="str">
        <f aca="false">VLOOKUP(B94, at_filas!$A$2:$C$8,2,FALSE())</f>
        <v>Consumo intermedio</v>
      </c>
      <c r="D94" s="2" t="n">
        <f aca="false">VLOOKUP(B94, at_filas!$A$2:$C$8,3,FALSE())</f>
        <v>2</v>
      </c>
      <c r="E94" s="16" t="n">
        <v>35</v>
      </c>
      <c r="F94" s="17" t="s">
        <v>91</v>
      </c>
      <c r="G94" s="2" t="s">
        <v>38</v>
      </c>
      <c r="H94" s="2" t="n">
        <v>4</v>
      </c>
      <c r="I94" s="2" t="s">
        <v>38</v>
      </c>
      <c r="J94" s="2" t="s">
        <v>38</v>
      </c>
      <c r="K94" s="0" t="n">
        <v>342</v>
      </c>
      <c r="L94" s="0" t="s">
        <v>236</v>
      </c>
      <c r="M94" s="0" t="n">
        <v>34</v>
      </c>
      <c r="N94" s="0" t="s">
        <v>87</v>
      </c>
      <c r="O94" s="0" t="n">
        <v>99</v>
      </c>
      <c r="P94" s="0" t="s">
        <v>200</v>
      </c>
      <c r="Q94" s="0" t="n">
        <v>3</v>
      </c>
      <c r="R94" s="0" t="s">
        <v>229</v>
      </c>
      <c r="S94" s="0" t="n">
        <v>3</v>
      </c>
      <c r="T94" s="18" t="s">
        <v>38</v>
      </c>
      <c r="U94" s="18"/>
    </row>
    <row r="95" customFormat="false" ht="14.25" hidden="false" customHeight="false" outlineLevel="0" collapsed="false">
      <c r="A95" s="15" t="s">
        <v>237</v>
      </c>
      <c r="B95" s="2" t="s">
        <v>187</v>
      </c>
      <c r="C95" s="2" t="str">
        <f aca="false">VLOOKUP(B95, at_filas!$A$2:$C$8,2,FALSE())</f>
        <v>Consumo intermedio</v>
      </c>
      <c r="D95" s="2" t="n">
        <f aca="false">VLOOKUP(B95, at_filas!$A$2:$C$8,3,FALSE())</f>
        <v>2</v>
      </c>
      <c r="E95" s="16" t="n">
        <v>36</v>
      </c>
      <c r="F95" s="17" t="s">
        <v>93</v>
      </c>
      <c r="G95" s="2" t="s">
        <v>38</v>
      </c>
      <c r="H95" s="2" t="n">
        <v>4</v>
      </c>
      <c r="I95" s="2" t="s">
        <v>38</v>
      </c>
      <c r="J95" s="2" t="s">
        <v>38</v>
      </c>
      <c r="K95" s="0" t="n">
        <v>342</v>
      </c>
      <c r="L95" s="0" t="s">
        <v>236</v>
      </c>
      <c r="M95" s="0" t="n">
        <v>34</v>
      </c>
      <c r="N95" s="0" t="s">
        <v>87</v>
      </c>
      <c r="O95" s="0" t="n">
        <v>99</v>
      </c>
      <c r="P95" s="0" t="s">
        <v>200</v>
      </c>
      <c r="Q95" s="0" t="n">
        <v>3</v>
      </c>
      <c r="R95" s="0" t="s">
        <v>229</v>
      </c>
      <c r="S95" s="0" t="n">
        <v>3</v>
      </c>
      <c r="T95" s="18" t="s">
        <v>38</v>
      </c>
      <c r="U95" s="18"/>
    </row>
    <row r="96" customFormat="false" ht="25.55" hidden="false" customHeight="false" outlineLevel="0" collapsed="false">
      <c r="A96" s="15" t="s">
        <v>238</v>
      </c>
      <c r="B96" s="2" t="s">
        <v>187</v>
      </c>
      <c r="C96" s="2" t="str">
        <f aca="false">VLOOKUP(B96, at_filas!$A$2:$C$8,2,FALSE())</f>
        <v>Consumo intermedio</v>
      </c>
      <c r="D96" s="2" t="n">
        <f aca="false">VLOOKUP(B96, at_filas!$A$2:$C$8,3,FALSE())</f>
        <v>2</v>
      </c>
      <c r="E96" s="16" t="n">
        <v>37</v>
      </c>
      <c r="F96" s="17" t="s">
        <v>95</v>
      </c>
      <c r="G96" s="2" t="s">
        <v>38</v>
      </c>
      <c r="H96" s="2" t="n">
        <v>4</v>
      </c>
      <c r="I96" s="2" t="s">
        <v>38</v>
      </c>
      <c r="J96" s="2" t="s">
        <v>38</v>
      </c>
      <c r="K96" s="0" t="n">
        <v>37</v>
      </c>
      <c r="L96" s="0" t="s">
        <v>239</v>
      </c>
      <c r="M96" s="0" t="n">
        <v>37</v>
      </c>
      <c r="N96" s="0" t="s">
        <v>239</v>
      </c>
      <c r="O96" s="0" t="n">
        <v>99</v>
      </c>
      <c r="P96" s="0" t="s">
        <v>200</v>
      </c>
      <c r="Q96" s="0" t="n">
        <v>3</v>
      </c>
      <c r="R96" s="0" t="s">
        <v>229</v>
      </c>
      <c r="S96" s="0" t="n">
        <v>3</v>
      </c>
      <c r="T96" s="18" t="s">
        <v>38</v>
      </c>
      <c r="U96" s="18"/>
    </row>
    <row r="97" customFormat="false" ht="14.25" hidden="false" customHeight="false" outlineLevel="0" collapsed="false">
      <c r="A97" s="15" t="s">
        <v>240</v>
      </c>
      <c r="B97" s="2" t="s">
        <v>187</v>
      </c>
      <c r="C97" s="2" t="str">
        <f aca="false">VLOOKUP(B97, at_filas!$A$2:$C$8,2,FALSE())</f>
        <v>Consumo intermedio</v>
      </c>
      <c r="D97" s="2" t="n">
        <f aca="false">VLOOKUP(B97, at_filas!$A$2:$C$8,3,FALSE())</f>
        <v>2</v>
      </c>
      <c r="E97" s="16" t="n">
        <v>38</v>
      </c>
      <c r="F97" s="17" t="s">
        <v>97</v>
      </c>
      <c r="G97" s="2" t="s">
        <v>38</v>
      </c>
      <c r="H97" s="2" t="n">
        <v>4</v>
      </c>
      <c r="I97" s="2" t="s">
        <v>38</v>
      </c>
      <c r="J97" s="2" t="s">
        <v>38</v>
      </c>
      <c r="K97" s="0" t="n">
        <v>38</v>
      </c>
      <c r="L97" s="0" t="s">
        <v>97</v>
      </c>
      <c r="M97" s="0" t="n">
        <v>38</v>
      </c>
      <c r="N97" s="0" t="s">
        <v>97</v>
      </c>
      <c r="O97" s="0" t="n">
        <v>99</v>
      </c>
      <c r="P97" s="0" t="s">
        <v>200</v>
      </c>
      <c r="Q97" s="0" t="n">
        <v>3</v>
      </c>
      <c r="R97" s="0" t="s">
        <v>229</v>
      </c>
      <c r="S97" s="0" t="n">
        <v>3</v>
      </c>
      <c r="T97" s="18" t="s">
        <v>38</v>
      </c>
      <c r="U97" s="18"/>
    </row>
    <row r="98" customFormat="false" ht="14.25" hidden="false" customHeight="false" outlineLevel="0" collapsed="false">
      <c r="A98" s="15" t="s">
        <v>241</v>
      </c>
      <c r="B98" s="2" t="s">
        <v>187</v>
      </c>
      <c r="C98" s="2" t="str">
        <f aca="false">VLOOKUP(B98, at_filas!$A$2:$C$8,2,FALSE())</f>
        <v>Consumo intermedio</v>
      </c>
      <c r="D98" s="2" t="n">
        <f aca="false">VLOOKUP(B98, at_filas!$A$2:$C$8,3,FALSE())</f>
        <v>2</v>
      </c>
      <c r="E98" s="16" t="n">
        <v>39</v>
      </c>
      <c r="F98" s="17" t="s">
        <v>99</v>
      </c>
      <c r="G98" s="2" t="s">
        <v>100</v>
      </c>
      <c r="H98" s="2" t="n">
        <v>1</v>
      </c>
      <c r="I98" s="2" t="s">
        <v>27</v>
      </c>
      <c r="J98" s="2" t="s">
        <v>28</v>
      </c>
      <c r="K98" s="0" t="n">
        <v>39</v>
      </c>
      <c r="L98" s="0" t="s">
        <v>242</v>
      </c>
      <c r="M98" s="0" t="n">
        <v>39</v>
      </c>
      <c r="N98" s="0" t="s">
        <v>242</v>
      </c>
      <c r="O98" s="0" t="n">
        <v>4</v>
      </c>
      <c r="P98" s="0" t="s">
        <v>243</v>
      </c>
      <c r="Q98" s="0" t="n">
        <v>3</v>
      </c>
      <c r="R98" s="0" t="s">
        <v>229</v>
      </c>
      <c r="S98" s="0" t="n">
        <v>2</v>
      </c>
      <c r="T98" s="18" t="s">
        <v>209</v>
      </c>
      <c r="U98" s="18"/>
    </row>
    <row r="99" customFormat="false" ht="14.25" hidden="false" customHeight="false" outlineLevel="0" collapsed="false">
      <c r="A99" s="15" t="s">
        <v>244</v>
      </c>
      <c r="B99" s="2" t="s">
        <v>187</v>
      </c>
      <c r="C99" s="2" t="str">
        <f aca="false">VLOOKUP(B99, at_filas!$A$2:$C$8,2,FALSE())</f>
        <v>Consumo intermedio</v>
      </c>
      <c r="D99" s="2" t="n">
        <f aca="false">VLOOKUP(B99, at_filas!$A$2:$C$8,3,FALSE())</f>
        <v>2</v>
      </c>
      <c r="E99" s="16" t="n">
        <v>41</v>
      </c>
      <c r="F99" s="17" t="s">
        <v>102</v>
      </c>
      <c r="G99" s="2" t="s">
        <v>38</v>
      </c>
      <c r="H99" s="2" t="n">
        <v>4</v>
      </c>
      <c r="I99" s="2" t="s">
        <v>38</v>
      </c>
      <c r="J99" s="2" t="s">
        <v>38</v>
      </c>
      <c r="K99" s="0" t="s">
        <v>103</v>
      </c>
      <c r="L99" s="0" t="s">
        <v>245</v>
      </c>
      <c r="M99" s="0" t="s">
        <v>103</v>
      </c>
      <c r="N99" s="0" t="s">
        <v>245</v>
      </c>
      <c r="O99" s="0" t="n">
        <v>99</v>
      </c>
      <c r="P99" s="0" t="s">
        <v>200</v>
      </c>
      <c r="Q99" s="0" t="n">
        <v>4</v>
      </c>
      <c r="R99" s="0" t="s">
        <v>246</v>
      </c>
      <c r="S99" s="0" t="n">
        <v>3</v>
      </c>
      <c r="T99" s="18" t="s">
        <v>38</v>
      </c>
      <c r="U99" s="18"/>
    </row>
    <row r="100" customFormat="false" ht="14.25" hidden="false" customHeight="false" outlineLevel="0" collapsed="false">
      <c r="A100" s="15" t="s">
        <v>247</v>
      </c>
      <c r="B100" s="2" t="s">
        <v>187</v>
      </c>
      <c r="C100" s="2" t="str">
        <f aca="false">VLOOKUP(B100, at_filas!$A$2:$C$8,2,FALSE())</f>
        <v>Consumo intermedio</v>
      </c>
      <c r="D100" s="2" t="n">
        <f aca="false">VLOOKUP(B100, at_filas!$A$2:$C$8,3,FALSE())</f>
        <v>2</v>
      </c>
      <c r="E100" s="16" t="n">
        <v>42</v>
      </c>
      <c r="F100" s="17" t="s">
        <v>105</v>
      </c>
      <c r="G100" s="2" t="s">
        <v>38</v>
      </c>
      <c r="H100" s="2" t="n">
        <v>4</v>
      </c>
      <c r="I100" s="2" t="s">
        <v>38</v>
      </c>
      <c r="J100" s="2" t="s">
        <v>38</v>
      </c>
      <c r="K100" s="0" t="s">
        <v>103</v>
      </c>
      <c r="L100" s="0" t="s">
        <v>245</v>
      </c>
      <c r="M100" s="0" t="s">
        <v>103</v>
      </c>
      <c r="N100" s="0" t="s">
        <v>245</v>
      </c>
      <c r="O100" s="0" t="n">
        <v>99</v>
      </c>
      <c r="P100" s="0" t="s">
        <v>200</v>
      </c>
      <c r="Q100" s="0" t="n">
        <v>4</v>
      </c>
      <c r="R100" s="0" t="s">
        <v>246</v>
      </c>
      <c r="S100" s="0" t="n">
        <v>3</v>
      </c>
      <c r="T100" s="18" t="s">
        <v>38</v>
      </c>
      <c r="U100" s="18"/>
    </row>
    <row r="101" customFormat="false" ht="14.25" hidden="false" customHeight="false" outlineLevel="0" collapsed="false">
      <c r="A101" s="15" t="s">
        <v>248</v>
      </c>
      <c r="B101" s="2" t="s">
        <v>187</v>
      </c>
      <c r="C101" s="2" t="str">
        <f aca="false">VLOOKUP(B101, at_filas!$A$2:$C$8,2,FALSE())</f>
        <v>Consumo intermedio</v>
      </c>
      <c r="D101" s="2" t="n">
        <f aca="false">VLOOKUP(B101, at_filas!$A$2:$C$8,3,FALSE())</f>
        <v>2</v>
      </c>
      <c r="E101" s="16" t="n">
        <v>43</v>
      </c>
      <c r="F101" s="17" t="s">
        <v>107</v>
      </c>
      <c r="G101" s="2" t="s">
        <v>38</v>
      </c>
      <c r="H101" s="2" t="n">
        <v>4</v>
      </c>
      <c r="I101" s="2" t="s">
        <v>38</v>
      </c>
      <c r="J101" s="2" t="s">
        <v>38</v>
      </c>
      <c r="K101" s="0" t="s">
        <v>103</v>
      </c>
      <c r="L101" s="0" t="s">
        <v>245</v>
      </c>
      <c r="M101" s="0" t="s">
        <v>103</v>
      </c>
      <c r="N101" s="0" t="s">
        <v>245</v>
      </c>
      <c r="O101" s="0" t="n">
        <v>99</v>
      </c>
      <c r="P101" s="0" t="s">
        <v>200</v>
      </c>
      <c r="Q101" s="0" t="n">
        <v>4</v>
      </c>
      <c r="R101" s="0" t="s">
        <v>246</v>
      </c>
      <c r="S101" s="0" t="n">
        <v>3</v>
      </c>
      <c r="T101" s="18" t="s">
        <v>38</v>
      </c>
      <c r="U101" s="18"/>
    </row>
    <row r="102" customFormat="false" ht="14.25" hidden="false" customHeight="false" outlineLevel="0" collapsed="false">
      <c r="A102" s="15" t="s">
        <v>249</v>
      </c>
      <c r="B102" s="2" t="s">
        <v>187</v>
      </c>
      <c r="C102" s="2" t="str">
        <f aca="false">VLOOKUP(B102, at_filas!$A$2:$C$8,2,FALSE())</f>
        <v>Consumo intermedio</v>
      </c>
      <c r="D102" s="2" t="n">
        <f aca="false">VLOOKUP(B102, at_filas!$A$2:$C$8,3,FALSE())</f>
        <v>2</v>
      </c>
      <c r="E102" s="16" t="n">
        <v>44</v>
      </c>
      <c r="F102" s="17" t="s">
        <v>109</v>
      </c>
      <c r="G102" s="2" t="s">
        <v>38</v>
      </c>
      <c r="H102" s="2" t="n">
        <v>4</v>
      </c>
      <c r="I102" s="2" t="s">
        <v>38</v>
      </c>
      <c r="J102" s="2" t="s">
        <v>38</v>
      </c>
      <c r="K102" s="0" t="s">
        <v>103</v>
      </c>
      <c r="L102" s="0" t="s">
        <v>245</v>
      </c>
      <c r="M102" s="0" t="s">
        <v>103</v>
      </c>
      <c r="N102" s="0" t="s">
        <v>245</v>
      </c>
      <c r="O102" s="0" t="n">
        <v>99</v>
      </c>
      <c r="P102" s="0" t="s">
        <v>200</v>
      </c>
      <c r="Q102" s="0" t="n">
        <v>4</v>
      </c>
      <c r="R102" s="0" t="s">
        <v>246</v>
      </c>
      <c r="S102" s="0" t="n">
        <v>3</v>
      </c>
      <c r="T102" s="18" t="s">
        <v>38</v>
      </c>
      <c r="U102" s="18"/>
    </row>
    <row r="103" customFormat="false" ht="14.25" hidden="false" customHeight="false" outlineLevel="0" collapsed="false">
      <c r="A103" s="15" t="s">
        <v>250</v>
      </c>
      <c r="B103" s="2" t="s">
        <v>187</v>
      </c>
      <c r="C103" s="2" t="str">
        <f aca="false">VLOOKUP(B103, at_filas!$A$2:$C$8,2,FALSE())</f>
        <v>Consumo intermedio</v>
      </c>
      <c r="D103" s="2" t="n">
        <f aca="false">VLOOKUP(B103, at_filas!$A$2:$C$8,3,FALSE())</f>
        <v>2</v>
      </c>
      <c r="E103" s="16" t="n">
        <v>45</v>
      </c>
      <c r="F103" s="17" t="s">
        <v>111</v>
      </c>
      <c r="G103" s="2" t="s">
        <v>38</v>
      </c>
      <c r="H103" s="2" t="n">
        <v>4</v>
      </c>
      <c r="I103" s="2" t="s">
        <v>38</v>
      </c>
      <c r="J103" s="2" t="s">
        <v>38</v>
      </c>
      <c r="K103" s="0" t="s">
        <v>103</v>
      </c>
      <c r="L103" s="0" t="s">
        <v>245</v>
      </c>
      <c r="M103" s="0" t="s">
        <v>103</v>
      </c>
      <c r="N103" s="0" t="s">
        <v>245</v>
      </c>
      <c r="O103" s="0" t="n">
        <v>99</v>
      </c>
      <c r="P103" s="0" t="s">
        <v>200</v>
      </c>
      <c r="Q103" s="0" t="n">
        <v>4</v>
      </c>
      <c r="R103" s="0" t="s">
        <v>246</v>
      </c>
      <c r="S103" s="0" t="n">
        <v>3</v>
      </c>
      <c r="T103" s="18" t="s">
        <v>38</v>
      </c>
      <c r="U103" s="18"/>
    </row>
    <row r="104" customFormat="false" ht="14.25" hidden="false" customHeight="false" outlineLevel="0" collapsed="false">
      <c r="A104" s="15" t="s">
        <v>251</v>
      </c>
      <c r="B104" s="2" t="s">
        <v>187</v>
      </c>
      <c r="C104" s="2" t="str">
        <f aca="false">VLOOKUP(B104, at_filas!$A$2:$C$8,2,FALSE())</f>
        <v>Consumo intermedio</v>
      </c>
      <c r="D104" s="2" t="n">
        <f aca="false">VLOOKUP(B104, at_filas!$A$2:$C$8,3,FALSE())</f>
        <v>2</v>
      </c>
      <c r="E104" s="16" t="n">
        <v>46</v>
      </c>
      <c r="F104" s="17" t="s">
        <v>113</v>
      </c>
      <c r="G104" s="2" t="s">
        <v>38</v>
      </c>
      <c r="H104" s="2" t="n">
        <v>4</v>
      </c>
      <c r="I104" s="2" t="s">
        <v>38</v>
      </c>
      <c r="J104" s="2" t="s">
        <v>38</v>
      </c>
      <c r="K104" s="0" t="s">
        <v>103</v>
      </c>
      <c r="L104" s="0" t="s">
        <v>245</v>
      </c>
      <c r="M104" s="0" t="s">
        <v>103</v>
      </c>
      <c r="N104" s="0" t="s">
        <v>245</v>
      </c>
      <c r="O104" s="0" t="n">
        <v>99</v>
      </c>
      <c r="P104" s="0" t="s">
        <v>200</v>
      </c>
      <c r="Q104" s="0" t="n">
        <v>4</v>
      </c>
      <c r="R104" s="0" t="s">
        <v>246</v>
      </c>
      <c r="S104" s="0" t="n">
        <v>3</v>
      </c>
      <c r="T104" s="18" t="s">
        <v>38</v>
      </c>
      <c r="U104" s="18"/>
    </row>
    <row r="105" customFormat="false" ht="14.25" hidden="false" customHeight="false" outlineLevel="0" collapsed="false">
      <c r="A105" s="15" t="s">
        <v>252</v>
      </c>
      <c r="B105" s="2" t="s">
        <v>187</v>
      </c>
      <c r="C105" s="2" t="str">
        <f aca="false">VLOOKUP(B105, at_filas!$A$2:$C$8,2,FALSE())</f>
        <v>Consumo intermedio</v>
      </c>
      <c r="D105" s="2" t="n">
        <f aca="false">VLOOKUP(B105, at_filas!$A$2:$C$8,3,FALSE())</f>
        <v>2</v>
      </c>
      <c r="E105" s="16" t="n">
        <v>47</v>
      </c>
      <c r="F105" s="17" t="s">
        <v>115</v>
      </c>
      <c r="G105" s="2" t="s">
        <v>38</v>
      </c>
      <c r="H105" s="2" t="n">
        <v>4</v>
      </c>
      <c r="I105" s="2" t="s">
        <v>38</v>
      </c>
      <c r="J105" s="2" t="s">
        <v>38</v>
      </c>
      <c r="K105" s="0" t="s">
        <v>103</v>
      </c>
      <c r="L105" s="0" t="s">
        <v>245</v>
      </c>
      <c r="M105" s="0" t="s">
        <v>103</v>
      </c>
      <c r="N105" s="0" t="s">
        <v>245</v>
      </c>
      <c r="O105" s="0" t="n">
        <v>99</v>
      </c>
      <c r="P105" s="0" t="s">
        <v>200</v>
      </c>
      <c r="Q105" s="0" t="n">
        <v>4</v>
      </c>
      <c r="R105" s="0" t="s">
        <v>246</v>
      </c>
      <c r="S105" s="0" t="n">
        <v>3</v>
      </c>
      <c r="T105" s="18" t="s">
        <v>38</v>
      </c>
      <c r="U105" s="18"/>
    </row>
    <row r="106" customFormat="false" ht="14.25" hidden="false" customHeight="false" outlineLevel="0" collapsed="false">
      <c r="A106" s="15" t="s">
        <v>253</v>
      </c>
      <c r="B106" s="2" t="s">
        <v>187</v>
      </c>
      <c r="C106" s="2" t="str">
        <f aca="false">VLOOKUP(B106, at_filas!$A$2:$C$8,2,FALSE())</f>
        <v>Consumo intermedio</v>
      </c>
      <c r="D106" s="2" t="n">
        <f aca="false">VLOOKUP(B106, at_filas!$A$2:$C$8,3,FALSE())</f>
        <v>2</v>
      </c>
      <c r="E106" s="16" t="n">
        <v>48</v>
      </c>
      <c r="F106" s="17" t="s">
        <v>117</v>
      </c>
      <c r="G106" s="2" t="s">
        <v>38</v>
      </c>
      <c r="H106" s="2" t="n">
        <v>4</v>
      </c>
      <c r="I106" s="2" t="s">
        <v>38</v>
      </c>
      <c r="J106" s="2" t="s">
        <v>38</v>
      </c>
      <c r="K106" s="0" t="s">
        <v>103</v>
      </c>
      <c r="L106" s="0" t="s">
        <v>245</v>
      </c>
      <c r="M106" s="0" t="s">
        <v>103</v>
      </c>
      <c r="N106" s="0" t="s">
        <v>245</v>
      </c>
      <c r="O106" s="0" t="n">
        <v>99</v>
      </c>
      <c r="P106" s="0" t="s">
        <v>200</v>
      </c>
      <c r="Q106" s="0" t="n">
        <v>4</v>
      </c>
      <c r="R106" s="0" t="s">
        <v>246</v>
      </c>
      <c r="S106" s="0" t="n">
        <v>3</v>
      </c>
      <c r="T106" s="18" t="s">
        <v>38</v>
      </c>
      <c r="U106" s="18"/>
    </row>
    <row r="107" customFormat="false" ht="14.25" hidden="false" customHeight="false" outlineLevel="0" collapsed="false">
      <c r="A107" s="15" t="s">
        <v>254</v>
      </c>
      <c r="B107" s="2" t="s">
        <v>187</v>
      </c>
      <c r="C107" s="2" t="str">
        <f aca="false">VLOOKUP(B107, at_filas!$A$2:$C$8,2,FALSE())</f>
        <v>Consumo intermedio</v>
      </c>
      <c r="D107" s="2" t="n">
        <f aca="false">VLOOKUP(B107, at_filas!$A$2:$C$8,3,FALSE())</f>
        <v>2</v>
      </c>
      <c r="E107" s="16" t="n">
        <v>49</v>
      </c>
      <c r="F107" s="17" t="s">
        <v>119</v>
      </c>
      <c r="G107" s="2" t="s">
        <v>38</v>
      </c>
      <c r="H107" s="2" t="n">
        <v>4</v>
      </c>
      <c r="I107" s="2" t="s">
        <v>38</v>
      </c>
      <c r="J107" s="2" t="s">
        <v>38</v>
      </c>
      <c r="K107" s="0" t="s">
        <v>103</v>
      </c>
      <c r="L107" s="0" t="s">
        <v>245</v>
      </c>
      <c r="M107" s="0" t="s">
        <v>103</v>
      </c>
      <c r="N107" s="0" t="s">
        <v>245</v>
      </c>
      <c r="O107" s="0" t="n">
        <v>99</v>
      </c>
      <c r="P107" s="0" t="s">
        <v>200</v>
      </c>
      <c r="Q107" s="0" t="n">
        <v>4</v>
      </c>
      <c r="R107" s="0" t="s">
        <v>246</v>
      </c>
      <c r="S107" s="0" t="n">
        <v>3</v>
      </c>
      <c r="T107" s="18" t="s">
        <v>38</v>
      </c>
      <c r="U107" s="18"/>
    </row>
    <row r="108" customFormat="false" ht="14.25" hidden="false" customHeight="false" outlineLevel="0" collapsed="false">
      <c r="A108" s="15" t="s">
        <v>255</v>
      </c>
      <c r="B108" s="2" t="s">
        <v>187</v>
      </c>
      <c r="C108" s="2" t="str">
        <f aca="false">VLOOKUP(B108, at_filas!$A$2:$C$8,2,FALSE())</f>
        <v>Consumo intermedio</v>
      </c>
      <c r="D108" s="2" t="n">
        <f aca="false">VLOOKUP(B108, at_filas!$A$2:$C$8,3,FALSE())</f>
        <v>2</v>
      </c>
      <c r="E108" s="16" t="n">
        <v>53</v>
      </c>
      <c r="F108" s="17" t="s">
        <v>121</v>
      </c>
      <c r="G108" s="2" t="s">
        <v>38</v>
      </c>
      <c r="H108" s="2" t="n">
        <v>4</v>
      </c>
      <c r="I108" s="2" t="s">
        <v>38</v>
      </c>
      <c r="J108" s="2" t="s">
        <v>38</v>
      </c>
      <c r="K108" s="0" t="n">
        <v>5</v>
      </c>
      <c r="L108" s="0" t="s">
        <v>256</v>
      </c>
      <c r="M108" s="0" t="n">
        <v>53</v>
      </c>
      <c r="N108" s="0" t="s">
        <v>121</v>
      </c>
      <c r="O108" s="0" t="n">
        <v>99</v>
      </c>
      <c r="P108" s="0" t="s">
        <v>200</v>
      </c>
      <c r="Q108" s="0" t="n">
        <v>5</v>
      </c>
      <c r="R108" s="0" t="s">
        <v>256</v>
      </c>
      <c r="S108" s="0" t="n">
        <v>3</v>
      </c>
      <c r="T108" s="18" t="s">
        <v>38</v>
      </c>
      <c r="U108" s="18"/>
    </row>
    <row r="109" customFormat="false" ht="14.25" hidden="false" customHeight="false" outlineLevel="0" collapsed="false">
      <c r="A109" s="15" t="s">
        <v>257</v>
      </c>
      <c r="B109" s="2" t="s">
        <v>187</v>
      </c>
      <c r="C109" s="2" t="str">
        <f aca="false">VLOOKUP(B109, at_filas!$A$2:$C$8,2,FALSE())</f>
        <v>Consumo intermedio</v>
      </c>
      <c r="D109" s="2" t="n">
        <f aca="false">VLOOKUP(B109, at_filas!$A$2:$C$8,3,FALSE())</f>
        <v>2</v>
      </c>
      <c r="E109" s="16" t="n">
        <v>54</v>
      </c>
      <c r="F109" s="17" t="s">
        <v>123</v>
      </c>
      <c r="G109" s="2" t="s">
        <v>38</v>
      </c>
      <c r="H109" s="2" t="n">
        <v>4</v>
      </c>
      <c r="I109" s="2" t="s">
        <v>38</v>
      </c>
      <c r="J109" s="2" t="s">
        <v>38</v>
      </c>
      <c r="K109" s="0" t="n">
        <v>5</v>
      </c>
      <c r="L109" s="0" t="s">
        <v>256</v>
      </c>
      <c r="M109" s="0" t="n">
        <v>53</v>
      </c>
      <c r="N109" s="0" t="s">
        <v>121</v>
      </c>
      <c r="O109" s="0" t="n">
        <v>99</v>
      </c>
      <c r="P109" s="0" t="s">
        <v>200</v>
      </c>
      <c r="Q109" s="0" t="n">
        <v>5</v>
      </c>
      <c r="R109" s="0" t="s">
        <v>256</v>
      </c>
      <c r="S109" s="0" t="n">
        <v>3</v>
      </c>
      <c r="T109" s="18" t="s">
        <v>38</v>
      </c>
      <c r="U109" s="18"/>
    </row>
    <row r="110" customFormat="false" ht="14.25" hidden="false" customHeight="false" outlineLevel="0" collapsed="false">
      <c r="A110" s="15" t="s">
        <v>258</v>
      </c>
      <c r="B110" s="2" t="s">
        <v>187</v>
      </c>
      <c r="C110" s="2" t="str">
        <f aca="false">VLOOKUP(B110, at_filas!$A$2:$C$8,2,FALSE())</f>
        <v>Consumo intermedio</v>
      </c>
      <c r="D110" s="2" t="n">
        <f aca="false">VLOOKUP(B110, at_filas!$A$2:$C$8,3,FALSE())</f>
        <v>2</v>
      </c>
      <c r="E110" s="16" t="s">
        <v>125</v>
      </c>
      <c r="F110" s="17" t="s">
        <v>126</v>
      </c>
      <c r="G110" s="2" t="s">
        <v>38</v>
      </c>
      <c r="H110" s="2" t="n">
        <v>4</v>
      </c>
      <c r="I110" s="2" t="s">
        <v>38</v>
      </c>
      <c r="J110" s="2" t="s">
        <v>38</v>
      </c>
      <c r="K110" s="0" t="n">
        <v>6</v>
      </c>
      <c r="L110" s="0" t="s">
        <v>259</v>
      </c>
      <c r="M110" s="0" t="n">
        <v>6</v>
      </c>
      <c r="N110" s="0" t="s">
        <v>259</v>
      </c>
      <c r="O110" s="0" t="n">
        <v>99</v>
      </c>
      <c r="P110" s="0" t="s">
        <v>200</v>
      </c>
      <c r="Q110" s="0" t="n">
        <v>6</v>
      </c>
      <c r="R110" s="0" t="s">
        <v>260</v>
      </c>
      <c r="S110" s="0" t="n">
        <v>3</v>
      </c>
      <c r="T110" s="18" t="s">
        <v>38</v>
      </c>
      <c r="U110" s="18"/>
    </row>
    <row r="111" customFormat="false" ht="14.25" hidden="false" customHeight="false" outlineLevel="0" collapsed="false">
      <c r="A111" s="15" t="s">
        <v>261</v>
      </c>
      <c r="B111" s="2" t="s">
        <v>187</v>
      </c>
      <c r="C111" s="2" t="str">
        <f aca="false">VLOOKUP(B111, at_filas!$A$2:$C$8,2,FALSE())</f>
        <v>Consumo intermedio</v>
      </c>
      <c r="D111" s="2" t="n">
        <f aca="false">VLOOKUP(B111, at_filas!$A$2:$C$8,3,FALSE())</f>
        <v>2</v>
      </c>
      <c r="E111" s="16" t="n">
        <v>63</v>
      </c>
      <c r="F111" s="17" t="s">
        <v>128</v>
      </c>
      <c r="G111" s="2" t="s">
        <v>129</v>
      </c>
      <c r="H111" s="2" t="n">
        <v>3</v>
      </c>
      <c r="I111" s="2" t="s">
        <v>89</v>
      </c>
      <c r="J111" s="2" t="s">
        <v>129</v>
      </c>
      <c r="K111" s="0" t="n">
        <v>63</v>
      </c>
      <c r="L111" s="0" t="s">
        <v>262</v>
      </c>
      <c r="M111" s="0" t="n">
        <v>63</v>
      </c>
      <c r="N111" s="0" t="s">
        <v>262</v>
      </c>
      <c r="O111" s="0" t="n">
        <v>6</v>
      </c>
      <c r="P111" s="0" t="s">
        <v>208</v>
      </c>
      <c r="Q111" s="0" t="n">
        <v>6</v>
      </c>
      <c r="R111" s="0" t="s">
        <v>260</v>
      </c>
      <c r="S111" s="0" t="n">
        <v>2</v>
      </c>
      <c r="T111" s="18" t="s">
        <v>209</v>
      </c>
      <c r="U111" s="18"/>
    </row>
    <row r="112" customFormat="false" ht="37.55" hidden="false" customHeight="false" outlineLevel="0" collapsed="false">
      <c r="A112" s="15" t="s">
        <v>263</v>
      </c>
      <c r="B112" s="2" t="s">
        <v>187</v>
      </c>
      <c r="C112" s="2" t="str">
        <f aca="false">VLOOKUP(B112, at_filas!$A$2:$C$8,2,FALSE())</f>
        <v>Consumo intermedio</v>
      </c>
      <c r="D112" s="2" t="n">
        <f aca="false">VLOOKUP(B112, at_filas!$A$2:$C$8,3,FALSE())</f>
        <v>2</v>
      </c>
      <c r="E112" s="16" t="s">
        <v>131</v>
      </c>
      <c r="F112" s="17" t="s">
        <v>132</v>
      </c>
      <c r="G112" s="2" t="s">
        <v>38</v>
      </c>
      <c r="H112" s="2" t="n">
        <v>4</v>
      </c>
      <c r="I112" s="2" t="s">
        <v>38</v>
      </c>
      <c r="J112" s="2" t="s">
        <v>38</v>
      </c>
      <c r="K112" s="0" t="n">
        <v>6</v>
      </c>
      <c r="L112" s="0" t="s">
        <v>259</v>
      </c>
      <c r="M112" s="0" t="n">
        <v>6</v>
      </c>
      <c r="N112" s="0" t="s">
        <v>259</v>
      </c>
      <c r="O112" s="0" t="n">
        <v>99</v>
      </c>
      <c r="P112" s="0" t="s">
        <v>200</v>
      </c>
      <c r="Q112" s="0" t="n">
        <v>6</v>
      </c>
      <c r="R112" s="0" t="s">
        <v>260</v>
      </c>
      <c r="S112" s="0" t="n">
        <v>3</v>
      </c>
      <c r="T112" s="18" t="s">
        <v>38</v>
      </c>
      <c r="U112" s="18"/>
    </row>
    <row r="113" customFormat="false" ht="14.25" hidden="false" customHeight="false" outlineLevel="0" collapsed="false">
      <c r="A113" s="15" t="s">
        <v>264</v>
      </c>
      <c r="B113" s="2" t="s">
        <v>187</v>
      </c>
      <c r="C113" s="2" t="str">
        <f aca="false">VLOOKUP(B113, at_filas!$A$2:$C$8,2,FALSE())</f>
        <v>Consumo intermedio</v>
      </c>
      <c r="D113" s="2" t="n">
        <f aca="false">VLOOKUP(B113, at_filas!$A$2:$C$8,3,FALSE())</f>
        <v>2</v>
      </c>
      <c r="E113" s="16" t="n">
        <v>67</v>
      </c>
      <c r="F113" s="17" t="s">
        <v>134</v>
      </c>
      <c r="G113" s="2" t="s">
        <v>38</v>
      </c>
      <c r="H113" s="2" t="n">
        <v>4</v>
      </c>
      <c r="I113" s="2" t="s">
        <v>38</v>
      </c>
      <c r="J113" s="2" t="s">
        <v>38</v>
      </c>
      <c r="K113" s="0" t="n">
        <v>6</v>
      </c>
      <c r="L113" s="0" t="s">
        <v>259</v>
      </c>
      <c r="M113" s="0" t="n">
        <v>6</v>
      </c>
      <c r="N113" s="0" t="s">
        <v>259</v>
      </c>
      <c r="O113" s="0" t="n">
        <v>99</v>
      </c>
      <c r="P113" s="0" t="s">
        <v>200</v>
      </c>
      <c r="Q113" s="0" t="n">
        <v>6</v>
      </c>
      <c r="R113" s="0" t="s">
        <v>260</v>
      </c>
      <c r="S113" s="0" t="n">
        <v>3</v>
      </c>
      <c r="T113" s="18" t="s">
        <v>38</v>
      </c>
      <c r="U113" s="18"/>
    </row>
    <row r="114" customFormat="false" ht="14.25" hidden="false" customHeight="false" outlineLevel="0" collapsed="false">
      <c r="A114" s="15" t="s">
        <v>265</v>
      </c>
      <c r="B114" s="2" t="s">
        <v>187</v>
      </c>
      <c r="C114" s="2" t="str">
        <f aca="false">VLOOKUP(B114, at_filas!$A$2:$C$8,2,FALSE())</f>
        <v>Consumo intermedio</v>
      </c>
      <c r="D114" s="2" t="n">
        <f aca="false">VLOOKUP(B114, at_filas!$A$2:$C$8,3,FALSE())</f>
        <v>2</v>
      </c>
      <c r="E114" s="16" t="n">
        <v>68</v>
      </c>
      <c r="F114" s="17" t="s">
        <v>136</v>
      </c>
      <c r="G114" s="2" t="s">
        <v>38</v>
      </c>
      <c r="H114" s="2" t="n">
        <v>4</v>
      </c>
      <c r="I114" s="2" t="s">
        <v>38</v>
      </c>
      <c r="J114" s="2" t="s">
        <v>38</v>
      </c>
      <c r="K114" s="0" t="n">
        <v>6</v>
      </c>
      <c r="L114" s="0" t="s">
        <v>259</v>
      </c>
      <c r="M114" s="0" t="n">
        <v>6</v>
      </c>
      <c r="N114" s="0" t="s">
        <v>259</v>
      </c>
      <c r="O114" s="0" t="n">
        <v>99</v>
      </c>
      <c r="P114" s="0" t="s">
        <v>200</v>
      </c>
      <c r="Q114" s="0" t="n">
        <v>6</v>
      </c>
      <c r="R114" s="0" t="s">
        <v>260</v>
      </c>
      <c r="S114" s="0" t="n">
        <v>3</v>
      </c>
      <c r="T114" s="18" t="s">
        <v>38</v>
      </c>
      <c r="U114" s="18"/>
    </row>
    <row r="115" customFormat="false" ht="25.55" hidden="false" customHeight="false" outlineLevel="0" collapsed="false">
      <c r="A115" s="15" t="s">
        <v>266</v>
      </c>
      <c r="B115" s="2" t="s">
        <v>187</v>
      </c>
      <c r="C115" s="2" t="str">
        <f aca="false">VLOOKUP(B115, at_filas!$A$2:$C$8,2,FALSE())</f>
        <v>Consumo intermedio</v>
      </c>
      <c r="D115" s="2" t="n">
        <f aca="false">VLOOKUP(B115, at_filas!$A$2:$C$8,3,FALSE())</f>
        <v>2</v>
      </c>
      <c r="E115" s="16" t="n">
        <v>69</v>
      </c>
      <c r="F115" s="17" t="s">
        <v>138</v>
      </c>
      <c r="G115" s="2" t="s">
        <v>129</v>
      </c>
      <c r="H115" s="2" t="n">
        <v>3</v>
      </c>
      <c r="I115" s="2" t="s">
        <v>89</v>
      </c>
      <c r="J115" s="2" t="s">
        <v>129</v>
      </c>
      <c r="K115" s="0" t="n">
        <v>69</v>
      </c>
      <c r="L115" s="0" t="s">
        <v>267</v>
      </c>
      <c r="M115" s="0" t="n">
        <v>69</v>
      </c>
      <c r="N115" s="0" t="s">
        <v>267</v>
      </c>
      <c r="O115" s="0" t="n">
        <v>6</v>
      </c>
      <c r="P115" s="0" t="s">
        <v>208</v>
      </c>
      <c r="Q115" s="0" t="n">
        <v>6</v>
      </c>
      <c r="R115" s="0" t="s">
        <v>260</v>
      </c>
      <c r="S115" s="0" t="n">
        <v>2</v>
      </c>
      <c r="T115" s="18" t="s">
        <v>209</v>
      </c>
      <c r="U115" s="18"/>
    </row>
    <row r="116" customFormat="false" ht="14.25" hidden="false" customHeight="false" outlineLevel="0" collapsed="false">
      <c r="A116" s="15" t="s">
        <v>268</v>
      </c>
      <c r="B116" s="2" t="s">
        <v>187</v>
      </c>
      <c r="C116" s="2" t="str">
        <f aca="false">VLOOKUP(B116, at_filas!$A$2:$C$8,2,FALSE())</f>
        <v>Consumo intermedio</v>
      </c>
      <c r="D116" s="2" t="n">
        <f aca="false">VLOOKUP(B116, at_filas!$A$2:$C$8,3,FALSE())</f>
        <v>2</v>
      </c>
      <c r="E116" s="16" t="n">
        <v>71</v>
      </c>
      <c r="F116" s="17" t="s">
        <v>140</v>
      </c>
      <c r="G116" s="2" t="s">
        <v>38</v>
      </c>
      <c r="H116" s="2" t="n">
        <v>4</v>
      </c>
      <c r="I116" s="2" t="s">
        <v>38</v>
      </c>
      <c r="J116" s="2" t="s">
        <v>38</v>
      </c>
      <c r="K116" s="0" t="n">
        <v>6</v>
      </c>
      <c r="L116" s="0" t="s">
        <v>259</v>
      </c>
      <c r="M116" s="0" t="n">
        <v>6</v>
      </c>
      <c r="N116" s="0" t="s">
        <v>259</v>
      </c>
      <c r="O116" s="0" t="n">
        <v>99</v>
      </c>
      <c r="P116" s="0" t="s">
        <v>200</v>
      </c>
      <c r="Q116" s="0" t="n">
        <v>6</v>
      </c>
      <c r="R116" s="0" t="s">
        <v>260</v>
      </c>
      <c r="S116" s="0" t="n">
        <v>3</v>
      </c>
      <c r="T116" s="18" t="s">
        <v>38</v>
      </c>
      <c r="U116" s="18"/>
    </row>
    <row r="117" customFormat="false" ht="14.25" hidden="false" customHeight="false" outlineLevel="0" collapsed="false">
      <c r="A117" s="15" t="s">
        <v>269</v>
      </c>
      <c r="B117" s="2" t="s">
        <v>187</v>
      </c>
      <c r="C117" s="2" t="str">
        <f aca="false">VLOOKUP(B117, at_filas!$A$2:$C$8,2,FALSE())</f>
        <v>Consumo intermedio</v>
      </c>
      <c r="D117" s="2" t="n">
        <f aca="false">VLOOKUP(B117, at_filas!$A$2:$C$8,3,FALSE())</f>
        <v>2</v>
      </c>
      <c r="E117" s="16" t="n">
        <v>72</v>
      </c>
      <c r="F117" s="17" t="s">
        <v>142</v>
      </c>
      <c r="G117" s="2" t="s">
        <v>38</v>
      </c>
      <c r="H117" s="2" t="n">
        <v>4</v>
      </c>
      <c r="I117" s="2" t="s">
        <v>38</v>
      </c>
      <c r="J117" s="2" t="s">
        <v>38</v>
      </c>
      <c r="K117" s="0" t="n">
        <v>6</v>
      </c>
      <c r="L117" s="0" t="s">
        <v>259</v>
      </c>
      <c r="M117" s="0" t="n">
        <v>6</v>
      </c>
      <c r="N117" s="0" t="s">
        <v>259</v>
      </c>
      <c r="O117" s="0" t="n">
        <v>99</v>
      </c>
      <c r="P117" s="0" t="s">
        <v>200</v>
      </c>
      <c r="Q117" s="0" t="n">
        <v>6</v>
      </c>
      <c r="R117" s="0" t="s">
        <v>260</v>
      </c>
      <c r="S117" s="0" t="n">
        <v>3</v>
      </c>
      <c r="T117" s="18" t="s">
        <v>38</v>
      </c>
      <c r="U117" s="18"/>
    </row>
    <row r="118" customFormat="false" ht="14.25" hidden="false" customHeight="false" outlineLevel="0" collapsed="false">
      <c r="A118" s="15" t="s">
        <v>270</v>
      </c>
      <c r="B118" s="2" t="s">
        <v>187</v>
      </c>
      <c r="C118" s="2" t="str">
        <f aca="false">VLOOKUP(B118, at_filas!$A$2:$C$8,2,FALSE())</f>
        <v>Consumo intermedio</v>
      </c>
      <c r="D118" s="2" t="n">
        <f aca="false">VLOOKUP(B118, at_filas!$A$2:$C$8,3,FALSE())</f>
        <v>2</v>
      </c>
      <c r="E118" s="16" t="n">
        <v>73</v>
      </c>
      <c r="F118" s="17" t="s">
        <v>144</v>
      </c>
      <c r="G118" s="2" t="s">
        <v>38</v>
      </c>
      <c r="H118" s="2" t="n">
        <v>4</v>
      </c>
      <c r="I118" s="2" t="s">
        <v>38</v>
      </c>
      <c r="J118" s="2" t="s">
        <v>38</v>
      </c>
      <c r="K118" s="0" t="n">
        <v>6</v>
      </c>
      <c r="L118" s="0" t="s">
        <v>259</v>
      </c>
      <c r="M118" s="0" t="n">
        <v>6</v>
      </c>
      <c r="N118" s="0" t="s">
        <v>259</v>
      </c>
      <c r="O118" s="0" t="n">
        <v>99</v>
      </c>
      <c r="P118" s="0" t="s">
        <v>200</v>
      </c>
      <c r="Q118" s="0" t="n">
        <v>6</v>
      </c>
      <c r="R118" s="0" t="s">
        <v>260</v>
      </c>
      <c r="S118" s="0" t="n">
        <v>3</v>
      </c>
      <c r="T118" s="18" t="s">
        <v>38</v>
      </c>
      <c r="U118" s="18"/>
    </row>
    <row r="119" customFormat="false" ht="14.25" hidden="false" customHeight="false" outlineLevel="0" collapsed="false">
      <c r="A119" s="15" t="s">
        <v>271</v>
      </c>
      <c r="B119" s="2" t="s">
        <v>187</v>
      </c>
      <c r="C119" s="2" t="str">
        <f aca="false">VLOOKUP(B119, at_filas!$A$2:$C$8,2,FALSE())</f>
        <v>Consumo intermedio</v>
      </c>
      <c r="D119" s="2" t="n">
        <f aca="false">VLOOKUP(B119, at_filas!$A$2:$C$8,3,FALSE())</f>
        <v>2</v>
      </c>
      <c r="E119" s="16" t="n">
        <v>81</v>
      </c>
      <c r="F119" s="17" t="s">
        <v>146</v>
      </c>
      <c r="G119" s="2" t="s">
        <v>129</v>
      </c>
      <c r="H119" s="2" t="n">
        <v>3</v>
      </c>
      <c r="I119" s="2" t="s">
        <v>89</v>
      </c>
      <c r="J119" s="2" t="s">
        <v>129</v>
      </c>
      <c r="K119" s="0" t="n">
        <v>81</v>
      </c>
      <c r="L119" s="0" t="s">
        <v>146</v>
      </c>
      <c r="M119" s="0" t="n">
        <v>81</v>
      </c>
      <c r="N119" s="0" t="s">
        <v>146</v>
      </c>
      <c r="O119" s="0" t="n">
        <v>6</v>
      </c>
      <c r="P119" s="0" t="s">
        <v>208</v>
      </c>
      <c r="Q119" s="0" t="n">
        <v>8</v>
      </c>
      <c r="R119" s="0" t="s">
        <v>272</v>
      </c>
      <c r="S119" s="0" t="n">
        <v>2</v>
      </c>
      <c r="T119" s="18" t="s">
        <v>209</v>
      </c>
      <c r="U119" s="18"/>
    </row>
    <row r="120" customFormat="false" ht="14.25" hidden="false" customHeight="false" outlineLevel="0" collapsed="false">
      <c r="A120" s="15" t="s">
        <v>273</v>
      </c>
      <c r="B120" s="2" t="s">
        <v>187</v>
      </c>
      <c r="C120" s="2" t="str">
        <f aca="false">VLOOKUP(B120, at_filas!$A$2:$C$8,2,FALSE())</f>
        <v>Consumo intermedio</v>
      </c>
      <c r="D120" s="2" t="n">
        <f aca="false">VLOOKUP(B120, at_filas!$A$2:$C$8,3,FALSE())</f>
        <v>2</v>
      </c>
      <c r="E120" s="16" t="n">
        <v>82</v>
      </c>
      <c r="F120" s="17" t="s">
        <v>148</v>
      </c>
      <c r="G120" s="2" t="s">
        <v>38</v>
      </c>
      <c r="H120" s="2" t="n">
        <v>4</v>
      </c>
      <c r="I120" s="2" t="s">
        <v>38</v>
      </c>
      <c r="J120" s="2" t="s">
        <v>38</v>
      </c>
      <c r="K120" s="0" t="n">
        <v>6</v>
      </c>
      <c r="L120" s="0" t="s">
        <v>259</v>
      </c>
      <c r="M120" s="0" t="n">
        <v>6</v>
      </c>
      <c r="N120" s="0" t="s">
        <v>259</v>
      </c>
      <c r="O120" s="0" t="n">
        <v>99</v>
      </c>
      <c r="P120" s="0" t="s">
        <v>200</v>
      </c>
      <c r="Q120" s="0" t="n">
        <v>6</v>
      </c>
      <c r="R120" s="0" t="s">
        <v>260</v>
      </c>
      <c r="S120" s="0" t="n">
        <v>3</v>
      </c>
      <c r="T120" s="18" t="s">
        <v>38</v>
      </c>
      <c r="U120" s="18"/>
    </row>
    <row r="121" customFormat="false" ht="14.25" hidden="false" customHeight="false" outlineLevel="0" collapsed="false">
      <c r="A121" s="15" t="s">
        <v>274</v>
      </c>
      <c r="B121" s="2" t="s">
        <v>187</v>
      </c>
      <c r="C121" s="2" t="str">
        <f aca="false">VLOOKUP(B121, at_filas!$A$2:$C$8,2,FALSE())</f>
        <v>Consumo intermedio</v>
      </c>
      <c r="D121" s="2" t="n">
        <f aca="false">VLOOKUP(B121, at_filas!$A$2:$C$8,3,FALSE())</f>
        <v>2</v>
      </c>
      <c r="E121" s="16" t="n">
        <v>83</v>
      </c>
      <c r="F121" s="17" t="s">
        <v>150</v>
      </c>
      <c r="G121" s="2" t="s">
        <v>129</v>
      </c>
      <c r="H121" s="2" t="n">
        <v>3</v>
      </c>
      <c r="I121" s="2" t="s">
        <v>89</v>
      </c>
      <c r="J121" s="2" t="s">
        <v>129</v>
      </c>
      <c r="K121" s="0" t="n">
        <v>83</v>
      </c>
      <c r="L121" s="0" t="s">
        <v>150</v>
      </c>
      <c r="M121" s="0" t="n">
        <v>83</v>
      </c>
      <c r="N121" s="0" t="s">
        <v>150</v>
      </c>
      <c r="O121" s="0" t="n">
        <v>6</v>
      </c>
      <c r="P121" s="0" t="s">
        <v>208</v>
      </c>
      <c r="Q121" s="0" t="n">
        <v>8</v>
      </c>
      <c r="R121" s="0" t="s">
        <v>272</v>
      </c>
      <c r="S121" s="0" t="n">
        <v>2</v>
      </c>
      <c r="T121" s="18" t="s">
        <v>209</v>
      </c>
      <c r="U121" s="18"/>
    </row>
    <row r="122" customFormat="false" ht="25.55" hidden="false" customHeight="false" outlineLevel="0" collapsed="false">
      <c r="A122" s="15" t="s">
        <v>275</v>
      </c>
      <c r="B122" s="2" t="s">
        <v>187</v>
      </c>
      <c r="C122" s="2" t="str">
        <f aca="false">VLOOKUP(B122, at_filas!$A$2:$C$8,2,FALSE())</f>
        <v>Consumo intermedio</v>
      </c>
      <c r="D122" s="2" t="n">
        <f aca="false">VLOOKUP(B122, at_filas!$A$2:$C$8,3,FALSE())</f>
        <v>2</v>
      </c>
      <c r="E122" s="16" t="n">
        <v>84</v>
      </c>
      <c r="F122" s="17" t="s">
        <v>152</v>
      </c>
      <c r="G122" s="2" t="s">
        <v>38</v>
      </c>
      <c r="H122" s="2" t="n">
        <v>4</v>
      </c>
      <c r="I122" s="2" t="s">
        <v>38</v>
      </c>
      <c r="J122" s="2" t="s">
        <v>38</v>
      </c>
      <c r="K122" s="0" t="n">
        <v>6</v>
      </c>
      <c r="L122" s="0" t="s">
        <v>259</v>
      </c>
      <c r="M122" s="0" t="n">
        <v>6</v>
      </c>
      <c r="N122" s="0" t="s">
        <v>259</v>
      </c>
      <c r="O122" s="0" t="n">
        <v>99</v>
      </c>
      <c r="P122" s="0" t="s">
        <v>200</v>
      </c>
      <c r="Q122" s="0" t="n">
        <v>6</v>
      </c>
      <c r="R122" s="0" t="s">
        <v>260</v>
      </c>
      <c r="S122" s="0" t="n">
        <v>3</v>
      </c>
      <c r="T122" s="18" t="s">
        <v>38</v>
      </c>
      <c r="U122" s="18"/>
    </row>
    <row r="123" customFormat="false" ht="14.25" hidden="false" customHeight="false" outlineLevel="0" collapsed="false">
      <c r="A123" s="15" t="s">
        <v>276</v>
      </c>
      <c r="B123" s="2" t="s">
        <v>187</v>
      </c>
      <c r="C123" s="2" t="str">
        <f aca="false">VLOOKUP(B123, at_filas!$A$2:$C$8,2,FALSE())</f>
        <v>Consumo intermedio</v>
      </c>
      <c r="D123" s="2" t="n">
        <f aca="false">VLOOKUP(B123, at_filas!$A$2:$C$8,3,FALSE())</f>
        <v>2</v>
      </c>
      <c r="E123" s="16" t="n">
        <v>85</v>
      </c>
      <c r="F123" s="17" t="s">
        <v>154</v>
      </c>
      <c r="G123" s="2" t="s">
        <v>38</v>
      </c>
      <c r="H123" s="2" t="n">
        <v>4</v>
      </c>
      <c r="I123" s="2" t="s">
        <v>38</v>
      </c>
      <c r="J123" s="2" t="s">
        <v>38</v>
      </c>
      <c r="K123" s="0" t="n">
        <v>6</v>
      </c>
      <c r="L123" s="0" t="s">
        <v>259</v>
      </c>
      <c r="M123" s="0" t="n">
        <v>6</v>
      </c>
      <c r="N123" s="0" t="s">
        <v>259</v>
      </c>
      <c r="O123" s="0" t="n">
        <v>99</v>
      </c>
      <c r="P123" s="0" t="s">
        <v>200</v>
      </c>
      <c r="Q123" s="0" t="n">
        <v>6</v>
      </c>
      <c r="R123" s="0" t="s">
        <v>260</v>
      </c>
      <c r="S123" s="0" t="n">
        <v>3</v>
      </c>
      <c r="T123" s="18" t="s">
        <v>38</v>
      </c>
      <c r="U123" s="18"/>
    </row>
    <row r="124" customFormat="false" ht="25.55" hidden="false" customHeight="false" outlineLevel="0" collapsed="false">
      <c r="A124" s="15" t="s">
        <v>277</v>
      </c>
      <c r="B124" s="2" t="s">
        <v>187</v>
      </c>
      <c r="C124" s="2" t="str">
        <f aca="false">VLOOKUP(B124, at_filas!$A$2:$C$8,2,FALSE())</f>
        <v>Consumo intermedio</v>
      </c>
      <c r="D124" s="2" t="n">
        <f aca="false">VLOOKUP(B124, at_filas!$A$2:$C$8,3,FALSE())</f>
        <v>2</v>
      </c>
      <c r="E124" s="16" t="n">
        <v>86</v>
      </c>
      <c r="F124" s="17" t="s">
        <v>156</v>
      </c>
      <c r="G124" s="2" t="s">
        <v>129</v>
      </c>
      <c r="H124" s="2" t="n">
        <v>3</v>
      </c>
      <c r="I124" s="2" t="s">
        <v>89</v>
      </c>
      <c r="J124" s="2" t="s">
        <v>129</v>
      </c>
      <c r="K124" s="0" t="n">
        <v>86</v>
      </c>
      <c r="L124" s="0" t="s">
        <v>278</v>
      </c>
      <c r="M124" s="0" t="n">
        <v>86</v>
      </c>
      <c r="N124" s="0" t="s">
        <v>278</v>
      </c>
      <c r="O124" s="0" t="n">
        <v>6</v>
      </c>
      <c r="P124" s="0" t="s">
        <v>208</v>
      </c>
      <c r="Q124" s="0" t="n">
        <v>8</v>
      </c>
      <c r="R124" s="0" t="s">
        <v>272</v>
      </c>
      <c r="S124" s="0" t="n">
        <v>2</v>
      </c>
      <c r="T124" s="18" t="s">
        <v>209</v>
      </c>
      <c r="U124" s="18"/>
    </row>
    <row r="125" customFormat="false" ht="25.55" hidden="false" customHeight="false" outlineLevel="0" collapsed="false">
      <c r="A125" s="15" t="s">
        <v>279</v>
      </c>
      <c r="B125" s="2" t="s">
        <v>187</v>
      </c>
      <c r="C125" s="2" t="str">
        <f aca="false">VLOOKUP(B125, at_filas!$A$2:$C$8,2,FALSE())</f>
        <v>Consumo intermedio</v>
      </c>
      <c r="D125" s="2" t="n">
        <f aca="false">VLOOKUP(B125, at_filas!$A$2:$C$8,3,FALSE())</f>
        <v>2</v>
      </c>
      <c r="E125" s="16" t="n">
        <v>87</v>
      </c>
      <c r="F125" s="17" t="s">
        <v>158</v>
      </c>
      <c r="G125" s="2" t="s">
        <v>38</v>
      </c>
      <c r="H125" s="2" t="n">
        <v>4</v>
      </c>
      <c r="I125" s="2" t="s">
        <v>38</v>
      </c>
      <c r="J125" s="2" t="s">
        <v>38</v>
      </c>
      <c r="K125" s="0" t="n">
        <v>6</v>
      </c>
      <c r="L125" s="0" t="s">
        <v>259</v>
      </c>
      <c r="M125" s="0" t="n">
        <v>6</v>
      </c>
      <c r="N125" s="0" t="s">
        <v>259</v>
      </c>
      <c r="O125" s="0" t="n">
        <v>99</v>
      </c>
      <c r="P125" s="0" t="s">
        <v>200</v>
      </c>
      <c r="Q125" s="0" t="n">
        <v>6</v>
      </c>
      <c r="R125" s="0" t="s">
        <v>260</v>
      </c>
      <c r="S125" s="0" t="n">
        <v>3</v>
      </c>
      <c r="T125" s="18" t="s">
        <v>38</v>
      </c>
      <c r="U125" s="18"/>
    </row>
    <row r="126" customFormat="false" ht="25.55" hidden="false" customHeight="false" outlineLevel="0" collapsed="false">
      <c r="A126" s="15" t="s">
        <v>280</v>
      </c>
      <c r="B126" s="2" t="s">
        <v>187</v>
      </c>
      <c r="C126" s="2" t="str">
        <f aca="false">VLOOKUP(B126, at_filas!$A$2:$C$8,2,FALSE())</f>
        <v>Consumo intermedio</v>
      </c>
      <c r="D126" s="2" t="n">
        <f aca="false">VLOOKUP(B126, at_filas!$A$2:$C$8,3,FALSE())</f>
        <v>2</v>
      </c>
      <c r="E126" s="16" t="n">
        <v>88</v>
      </c>
      <c r="F126" s="17" t="s">
        <v>160</v>
      </c>
      <c r="G126" s="2" t="s">
        <v>38</v>
      </c>
      <c r="H126" s="2" t="n">
        <v>4</v>
      </c>
      <c r="I126" s="2" t="s">
        <v>38</v>
      </c>
      <c r="J126" s="2" t="s">
        <v>38</v>
      </c>
      <c r="K126" s="0" t="n">
        <v>6</v>
      </c>
      <c r="L126" s="0" t="s">
        <v>259</v>
      </c>
      <c r="M126" s="0" t="n">
        <v>6</v>
      </c>
      <c r="N126" s="0" t="s">
        <v>259</v>
      </c>
      <c r="O126" s="0" t="n">
        <v>99</v>
      </c>
      <c r="P126" s="0" t="s">
        <v>200</v>
      </c>
      <c r="Q126" s="0" t="n">
        <v>6</v>
      </c>
      <c r="R126" s="0" t="s">
        <v>260</v>
      </c>
      <c r="S126" s="0" t="n">
        <v>3</v>
      </c>
      <c r="T126" s="18" t="s">
        <v>38</v>
      </c>
      <c r="U126" s="18"/>
    </row>
    <row r="127" customFormat="false" ht="25.55" hidden="false" customHeight="false" outlineLevel="0" collapsed="false">
      <c r="A127" s="15" t="s">
        <v>281</v>
      </c>
      <c r="B127" s="2" t="s">
        <v>187</v>
      </c>
      <c r="C127" s="2" t="str">
        <f aca="false">VLOOKUP(B127, at_filas!$A$2:$C$8,2,FALSE())</f>
        <v>Consumo intermedio</v>
      </c>
      <c r="D127" s="2" t="n">
        <f aca="false">VLOOKUP(B127, at_filas!$A$2:$C$8,3,FALSE())</f>
        <v>2</v>
      </c>
      <c r="E127" s="16" t="n">
        <v>89</v>
      </c>
      <c r="F127" s="17" t="s">
        <v>162</v>
      </c>
      <c r="G127" s="2" t="s">
        <v>38</v>
      </c>
      <c r="H127" s="2" t="n">
        <v>4</v>
      </c>
      <c r="I127" s="2" t="s">
        <v>38</v>
      </c>
      <c r="J127" s="2" t="s">
        <v>38</v>
      </c>
      <c r="K127" s="0" t="n">
        <v>6</v>
      </c>
      <c r="L127" s="0" t="s">
        <v>259</v>
      </c>
      <c r="M127" s="0" t="n">
        <v>6</v>
      </c>
      <c r="N127" s="0" t="s">
        <v>259</v>
      </c>
      <c r="O127" s="0" t="n">
        <v>99</v>
      </c>
      <c r="P127" s="0" t="s">
        <v>200</v>
      </c>
      <c r="Q127" s="0" t="n">
        <v>6</v>
      </c>
      <c r="R127" s="0" t="s">
        <v>260</v>
      </c>
      <c r="S127" s="0" t="n">
        <v>3</v>
      </c>
      <c r="T127" s="18" t="s">
        <v>38</v>
      </c>
      <c r="U127" s="18"/>
    </row>
    <row r="128" customFormat="false" ht="37.55" hidden="false" customHeight="false" outlineLevel="0" collapsed="false">
      <c r="A128" s="15" t="s">
        <v>282</v>
      </c>
      <c r="B128" s="2" t="s">
        <v>187</v>
      </c>
      <c r="C128" s="2" t="str">
        <f aca="false">VLOOKUP(B128, at_filas!$A$2:$C$8,2,FALSE())</f>
        <v>Consumo intermedio</v>
      </c>
      <c r="D128" s="2" t="n">
        <f aca="false">VLOOKUP(B128, at_filas!$A$2:$C$8,3,FALSE())</f>
        <v>2</v>
      </c>
      <c r="E128" s="16" t="n">
        <v>91</v>
      </c>
      <c r="F128" s="17" t="s">
        <v>164</v>
      </c>
      <c r="G128" s="2" t="s">
        <v>38</v>
      </c>
      <c r="H128" s="2" t="n">
        <v>4</v>
      </c>
      <c r="I128" s="2" t="s">
        <v>38</v>
      </c>
      <c r="J128" s="2" t="s">
        <v>38</v>
      </c>
      <c r="K128" s="0" t="n">
        <v>6</v>
      </c>
      <c r="L128" s="0" t="s">
        <v>259</v>
      </c>
      <c r="M128" s="0" t="n">
        <v>6</v>
      </c>
      <c r="N128" s="0" t="s">
        <v>259</v>
      </c>
      <c r="O128" s="0" t="n">
        <v>99</v>
      </c>
      <c r="P128" s="0" t="s">
        <v>200</v>
      </c>
      <c r="Q128" s="0" t="n">
        <v>6</v>
      </c>
      <c r="R128" s="0" t="s">
        <v>260</v>
      </c>
      <c r="S128" s="0" t="n">
        <v>3</v>
      </c>
      <c r="T128" s="18" t="s">
        <v>38</v>
      </c>
      <c r="U128" s="18"/>
    </row>
    <row r="129" customFormat="false" ht="14.25" hidden="false" customHeight="false" outlineLevel="0" collapsed="false">
      <c r="A129" s="15" t="s">
        <v>283</v>
      </c>
      <c r="B129" s="2" t="s">
        <v>187</v>
      </c>
      <c r="C129" s="2" t="str">
        <f aca="false">VLOOKUP(B129, at_filas!$A$2:$C$8,2,FALSE())</f>
        <v>Consumo intermedio</v>
      </c>
      <c r="D129" s="2" t="n">
        <f aca="false">VLOOKUP(B129, at_filas!$A$2:$C$8,3,FALSE())</f>
        <v>2</v>
      </c>
      <c r="E129" s="16" t="n">
        <v>92</v>
      </c>
      <c r="F129" s="17" t="s">
        <v>166</v>
      </c>
      <c r="G129" s="2" t="s">
        <v>38</v>
      </c>
      <c r="H129" s="2" t="n">
        <v>4</v>
      </c>
      <c r="I129" s="2" t="s">
        <v>38</v>
      </c>
      <c r="J129" s="2" t="s">
        <v>38</v>
      </c>
      <c r="K129" s="0" t="n">
        <v>6</v>
      </c>
      <c r="L129" s="0" t="s">
        <v>259</v>
      </c>
      <c r="M129" s="0" t="n">
        <v>6</v>
      </c>
      <c r="N129" s="0" t="s">
        <v>259</v>
      </c>
      <c r="O129" s="0" t="n">
        <v>99</v>
      </c>
      <c r="P129" s="0" t="s">
        <v>200</v>
      </c>
      <c r="Q129" s="0" t="n">
        <v>6</v>
      </c>
      <c r="R129" s="0" t="s">
        <v>260</v>
      </c>
      <c r="S129" s="0" t="n">
        <v>3</v>
      </c>
      <c r="T129" s="18" t="s">
        <v>38</v>
      </c>
      <c r="U129" s="18"/>
    </row>
    <row r="130" customFormat="false" ht="14.25" hidden="false" customHeight="false" outlineLevel="0" collapsed="false">
      <c r="A130" s="15" t="s">
        <v>284</v>
      </c>
      <c r="B130" s="2" t="s">
        <v>187</v>
      </c>
      <c r="C130" s="2" t="str">
        <f aca="false">VLOOKUP(B130, at_filas!$A$2:$C$8,2,FALSE())</f>
        <v>Consumo intermedio</v>
      </c>
      <c r="D130" s="2" t="n">
        <f aca="false">VLOOKUP(B130, at_filas!$A$2:$C$8,3,FALSE())</f>
        <v>2</v>
      </c>
      <c r="E130" s="16" t="n">
        <v>93</v>
      </c>
      <c r="F130" s="17" t="s">
        <v>168</v>
      </c>
      <c r="G130" s="2" t="s">
        <v>38</v>
      </c>
      <c r="H130" s="2" t="n">
        <v>4</v>
      </c>
      <c r="I130" s="2" t="s">
        <v>38</v>
      </c>
      <c r="J130" s="2" t="s">
        <v>38</v>
      </c>
      <c r="K130" s="0" t="n">
        <v>6</v>
      </c>
      <c r="L130" s="0" t="s">
        <v>259</v>
      </c>
      <c r="M130" s="0" t="n">
        <v>6</v>
      </c>
      <c r="N130" s="0" t="s">
        <v>259</v>
      </c>
      <c r="O130" s="0" t="n">
        <v>99</v>
      </c>
      <c r="P130" s="0" t="s">
        <v>200</v>
      </c>
      <c r="Q130" s="0" t="n">
        <v>6</v>
      </c>
      <c r="R130" s="0" t="s">
        <v>260</v>
      </c>
      <c r="S130" s="0" t="n">
        <v>3</v>
      </c>
      <c r="T130" s="18" t="s">
        <v>38</v>
      </c>
      <c r="U130" s="18"/>
    </row>
    <row r="131" customFormat="false" ht="25.55" hidden="false" customHeight="false" outlineLevel="0" collapsed="false">
      <c r="A131" s="15" t="s">
        <v>285</v>
      </c>
      <c r="B131" s="2" t="s">
        <v>187</v>
      </c>
      <c r="C131" s="2" t="str">
        <f aca="false">VLOOKUP(B131, at_filas!$A$2:$C$8,2,FALSE())</f>
        <v>Consumo intermedio</v>
      </c>
      <c r="D131" s="2" t="n">
        <f aca="false">VLOOKUP(B131, at_filas!$A$2:$C$8,3,FALSE())</f>
        <v>2</v>
      </c>
      <c r="E131" s="16" t="n">
        <v>94</v>
      </c>
      <c r="F131" s="17" t="s">
        <v>170</v>
      </c>
      <c r="G131" s="2" t="s">
        <v>129</v>
      </c>
      <c r="H131" s="2" t="n">
        <v>3</v>
      </c>
      <c r="I131" s="2" t="s">
        <v>89</v>
      </c>
      <c r="J131" s="2" t="s">
        <v>129</v>
      </c>
      <c r="K131" s="0" t="n">
        <v>94</v>
      </c>
      <c r="L131" s="0" t="s">
        <v>170</v>
      </c>
      <c r="M131" s="0" t="n">
        <v>94</v>
      </c>
      <c r="N131" s="0" t="s">
        <v>170</v>
      </c>
      <c r="O131" s="0" t="n">
        <v>4</v>
      </c>
      <c r="P131" s="0" t="s">
        <v>243</v>
      </c>
      <c r="Q131" s="0" t="n">
        <v>9</v>
      </c>
      <c r="R131" s="0" t="s">
        <v>286</v>
      </c>
      <c r="S131" s="0" t="n">
        <v>2</v>
      </c>
      <c r="T131" s="18" t="s">
        <v>209</v>
      </c>
      <c r="U131" s="18"/>
    </row>
    <row r="132" customFormat="false" ht="14.25" hidden="false" customHeight="false" outlineLevel="0" collapsed="false">
      <c r="A132" s="15" t="s">
        <v>287</v>
      </c>
      <c r="B132" s="2" t="s">
        <v>187</v>
      </c>
      <c r="C132" s="2" t="str">
        <f aca="false">VLOOKUP(B132, at_filas!$A$2:$C$8,2,FALSE())</f>
        <v>Consumo intermedio</v>
      </c>
      <c r="D132" s="2" t="n">
        <f aca="false">VLOOKUP(B132, at_filas!$A$2:$C$8,3,FALSE())</f>
        <v>2</v>
      </c>
      <c r="E132" s="16" t="n">
        <v>95</v>
      </c>
      <c r="F132" s="17" t="s">
        <v>172</v>
      </c>
      <c r="G132" s="2" t="s">
        <v>38</v>
      </c>
      <c r="H132" s="2" t="n">
        <v>4</v>
      </c>
      <c r="I132" s="2" t="s">
        <v>38</v>
      </c>
      <c r="J132" s="2" t="s">
        <v>38</v>
      </c>
      <c r="K132" s="0" t="n">
        <v>6</v>
      </c>
      <c r="L132" s="0" t="s">
        <v>259</v>
      </c>
      <c r="M132" s="0" t="n">
        <v>6</v>
      </c>
      <c r="N132" s="0" t="s">
        <v>259</v>
      </c>
      <c r="O132" s="0" t="n">
        <v>99</v>
      </c>
      <c r="P132" s="0" t="s">
        <v>200</v>
      </c>
      <c r="Q132" s="0" t="n">
        <v>6</v>
      </c>
      <c r="R132" s="0" t="s">
        <v>260</v>
      </c>
      <c r="S132" s="0" t="n">
        <v>3</v>
      </c>
      <c r="T132" s="18" t="s">
        <v>38</v>
      </c>
      <c r="U132" s="18"/>
    </row>
    <row r="133" customFormat="false" ht="14.25" hidden="false" customHeight="false" outlineLevel="0" collapsed="false">
      <c r="A133" s="15" t="s">
        <v>288</v>
      </c>
      <c r="B133" s="2" t="s">
        <v>187</v>
      </c>
      <c r="C133" s="2" t="str">
        <f aca="false">VLOOKUP(B133, at_filas!$A$2:$C$8,2,FALSE())</f>
        <v>Consumo intermedio</v>
      </c>
      <c r="D133" s="2" t="n">
        <f aca="false">VLOOKUP(B133, at_filas!$A$2:$C$8,3,FALSE())</f>
        <v>2</v>
      </c>
      <c r="E133" s="16" t="n">
        <v>96</v>
      </c>
      <c r="F133" s="17" t="s">
        <v>174</v>
      </c>
      <c r="G133" s="2" t="s">
        <v>38</v>
      </c>
      <c r="H133" s="2" t="n">
        <v>4</v>
      </c>
      <c r="I133" s="2" t="s">
        <v>38</v>
      </c>
      <c r="J133" s="2" t="s">
        <v>38</v>
      </c>
      <c r="K133" s="0" t="n">
        <v>6</v>
      </c>
      <c r="L133" s="0" t="s">
        <v>259</v>
      </c>
      <c r="M133" s="0" t="n">
        <v>6</v>
      </c>
      <c r="N133" s="0" t="s">
        <v>259</v>
      </c>
      <c r="O133" s="0" t="n">
        <v>99</v>
      </c>
      <c r="P133" s="0" t="s">
        <v>200</v>
      </c>
      <c r="Q133" s="0" t="n">
        <v>6</v>
      </c>
      <c r="R133" s="0" t="s">
        <v>260</v>
      </c>
      <c r="S133" s="0" t="n">
        <v>3</v>
      </c>
      <c r="T133" s="18" t="s">
        <v>38</v>
      </c>
      <c r="U133" s="18"/>
    </row>
    <row r="134" customFormat="false" ht="14.25" hidden="false" customHeight="false" outlineLevel="0" collapsed="false">
      <c r="A134" s="15" t="s">
        <v>289</v>
      </c>
      <c r="B134" s="2" t="s">
        <v>187</v>
      </c>
      <c r="C134" s="2" t="str">
        <f aca="false">VLOOKUP(B134, at_filas!$A$2:$C$8,2,FALSE())</f>
        <v>Consumo intermedio</v>
      </c>
      <c r="D134" s="2" t="n">
        <f aca="false">VLOOKUP(B134, at_filas!$A$2:$C$8,3,FALSE())</f>
        <v>2</v>
      </c>
      <c r="E134" s="16" t="n">
        <v>97</v>
      </c>
      <c r="F134" s="17" t="s">
        <v>176</v>
      </c>
      <c r="G134" s="2" t="s">
        <v>38</v>
      </c>
      <c r="H134" s="2" t="n">
        <v>4</v>
      </c>
      <c r="I134" s="2" t="s">
        <v>38</v>
      </c>
      <c r="J134" s="2" t="s">
        <v>38</v>
      </c>
      <c r="K134" s="0" t="n">
        <v>6</v>
      </c>
      <c r="L134" s="0" t="s">
        <v>259</v>
      </c>
      <c r="M134" s="0" t="n">
        <v>6</v>
      </c>
      <c r="N134" s="0" t="s">
        <v>259</v>
      </c>
      <c r="O134" s="0" t="n">
        <v>99</v>
      </c>
      <c r="P134" s="0" t="s">
        <v>200</v>
      </c>
      <c r="Q134" s="0" t="n">
        <v>6</v>
      </c>
      <c r="R134" s="0" t="s">
        <v>260</v>
      </c>
      <c r="S134" s="0" t="n">
        <v>3</v>
      </c>
      <c r="T134" s="18" t="s">
        <v>38</v>
      </c>
      <c r="U134" s="18"/>
    </row>
    <row r="135" customFormat="false" ht="14.25" hidden="false" customHeight="false" outlineLevel="0" collapsed="false">
      <c r="A135" s="15" t="s">
        <v>290</v>
      </c>
      <c r="B135" s="2" t="s">
        <v>187</v>
      </c>
      <c r="C135" s="2" t="str">
        <f aca="false">VLOOKUP(B135, at_filas!$A$2:$C$8,2,FALSE())</f>
        <v>Consumo intermedio</v>
      </c>
      <c r="D135" s="2" t="n">
        <f aca="false">VLOOKUP(B135, at_filas!$A$2:$C$8,3,FALSE())</f>
        <v>2</v>
      </c>
      <c r="E135" s="16" t="n">
        <v>98</v>
      </c>
      <c r="F135" s="17" t="s">
        <v>178</v>
      </c>
      <c r="G135" s="2" t="s">
        <v>38</v>
      </c>
      <c r="H135" s="2" t="n">
        <v>4</v>
      </c>
      <c r="I135" s="2" t="s">
        <v>38</v>
      </c>
      <c r="J135" s="2" t="s">
        <v>38</v>
      </c>
      <c r="K135" s="0" t="n">
        <v>6</v>
      </c>
      <c r="L135" s="0" t="s">
        <v>259</v>
      </c>
      <c r="M135" s="0" t="n">
        <v>6</v>
      </c>
      <c r="N135" s="0" t="s">
        <v>259</v>
      </c>
      <c r="O135" s="0" t="n">
        <v>99</v>
      </c>
      <c r="P135" s="0" t="s">
        <v>200</v>
      </c>
      <c r="Q135" s="0" t="n">
        <v>6</v>
      </c>
      <c r="R135" s="0" t="s">
        <v>260</v>
      </c>
      <c r="S135" s="0" t="n">
        <v>3</v>
      </c>
      <c r="T135" s="18" t="s">
        <v>38</v>
      </c>
      <c r="U135" s="18"/>
    </row>
    <row r="136" customFormat="false" ht="14.25" hidden="false" customHeight="false" outlineLevel="0" collapsed="false">
      <c r="A136" s="15" t="s">
        <v>291</v>
      </c>
      <c r="B136" s="2" t="s">
        <v>184</v>
      </c>
      <c r="C136" s="2" t="str">
        <f aca="false">VLOOKUP(B136, at_filas!$A$2:$C$8,2,FALSE())</f>
        <v>Compras directas en el exterior por residentes</v>
      </c>
      <c r="D136" s="2" t="n">
        <f aca="false">VLOOKUP(B136, at_filas!$A$2:$C$8,3,FALSE())</f>
        <v>4</v>
      </c>
      <c r="F136" s="2" t="s">
        <v>185</v>
      </c>
      <c r="G136" s="2" t="s">
        <v>181</v>
      </c>
      <c r="H136" s="2" t="s">
        <v>181</v>
      </c>
      <c r="I136" s="2" t="s">
        <v>181</v>
      </c>
      <c r="J136" s="2" t="s">
        <v>181</v>
      </c>
      <c r="K136" s="0" t="n">
        <v>4</v>
      </c>
      <c r="L136" s="0" t="s">
        <v>181</v>
      </c>
      <c r="M136" s="0" t="s">
        <v>181</v>
      </c>
      <c r="N136" s="0" t="s">
        <v>181</v>
      </c>
      <c r="O136" s="0" t="s">
        <v>181</v>
      </c>
      <c r="P136" s="0" t="s">
        <v>181</v>
      </c>
      <c r="Q136" s="0" t="s">
        <v>181</v>
      </c>
      <c r="R136" s="0" t="s">
        <v>181</v>
      </c>
      <c r="S136" s="0" t="s">
        <v>181</v>
      </c>
      <c r="T136" s="0" t="s">
        <v>181</v>
      </c>
      <c r="U136" s="18" t="s">
        <v>181</v>
      </c>
    </row>
    <row r="137" customFormat="false" ht="14.25" hidden="false" customHeight="false" outlineLevel="0" collapsed="false">
      <c r="A137" s="15" t="s">
        <v>292</v>
      </c>
      <c r="B137" s="2" t="s">
        <v>293</v>
      </c>
      <c r="C137" s="2" t="str">
        <f aca="false">VLOOKUP(B137, at_filas!$A$2:$C$8,2,FALSE())</f>
        <v>Compras directas en el territorio nacional por no residentes</v>
      </c>
      <c r="D137" s="2" t="n">
        <f aca="false">VLOOKUP(B137, at_filas!$A$2:$C$8,3,FALSE())</f>
        <v>5</v>
      </c>
      <c r="F137" s="2" t="s">
        <v>294</v>
      </c>
      <c r="G137" s="2" t="s">
        <v>181</v>
      </c>
      <c r="H137" s="2" t="s">
        <v>181</v>
      </c>
      <c r="I137" s="2" t="s">
        <v>181</v>
      </c>
      <c r="J137" s="2" t="s">
        <v>181</v>
      </c>
      <c r="K137" s="0" t="n">
        <v>5</v>
      </c>
      <c r="L137" s="0" t="s">
        <v>181</v>
      </c>
      <c r="M137" s="0" t="s">
        <v>181</v>
      </c>
      <c r="N137" s="0" t="s">
        <v>181</v>
      </c>
      <c r="O137" s="0" t="s">
        <v>181</v>
      </c>
      <c r="P137" s="0" t="s">
        <v>181</v>
      </c>
      <c r="Q137" s="0" t="s">
        <v>181</v>
      </c>
      <c r="R137" s="0" t="s">
        <v>181</v>
      </c>
      <c r="S137" s="0" t="s">
        <v>181</v>
      </c>
      <c r="T137" s="0" t="s">
        <v>181</v>
      </c>
      <c r="U137" s="18" t="s">
        <v>181</v>
      </c>
    </row>
    <row r="138" customFormat="false" ht="14.25" hidden="false" customHeight="false" outlineLevel="0" collapsed="false">
      <c r="A138" s="20" t="s">
        <v>295</v>
      </c>
      <c r="B138" s="21" t="s">
        <v>296</v>
      </c>
      <c r="C138" s="21" t="s">
        <v>297</v>
      </c>
      <c r="D138" s="21" t="n">
        <v>6</v>
      </c>
      <c r="E138" s="21"/>
      <c r="F138" s="21" t="s">
        <v>181</v>
      </c>
      <c r="G138" s="22" t="s">
        <v>181</v>
      </c>
      <c r="H138" s="22" t="s">
        <v>181</v>
      </c>
      <c r="I138" s="22" t="s">
        <v>181</v>
      </c>
      <c r="J138" s="22" t="s">
        <v>181</v>
      </c>
      <c r="K138" s="22" t="s">
        <v>181</v>
      </c>
      <c r="L138" s="22" t="s">
        <v>181</v>
      </c>
      <c r="M138" s="22" t="s">
        <v>181</v>
      </c>
      <c r="N138" s="22" t="s">
        <v>181</v>
      </c>
      <c r="O138" s="22" t="s">
        <v>181</v>
      </c>
      <c r="P138" s="22" t="s">
        <v>181</v>
      </c>
      <c r="Q138" s="22" t="s">
        <v>181</v>
      </c>
      <c r="R138" s="22" t="s">
        <v>181</v>
      </c>
      <c r="S138" s="22" t="s">
        <v>181</v>
      </c>
      <c r="T138" s="22" t="s">
        <v>181</v>
      </c>
      <c r="U138" s="23" t="s">
        <v>181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79"/>
  <sheetViews>
    <sheetView showFormulas="false" showGridLines="true" showRowColHeaders="true" showZeros="true" rightToLeft="false" tabSelected="false" showOutlineSymbols="true" defaultGridColor="true" view="normal" topLeftCell="F258" colorId="64" zoomScale="85" zoomScaleNormal="85" zoomScalePageLayoutView="100" workbookViewId="0">
      <selection pane="topLeft" activeCell="Q68" activeCellId="0" sqref="Q68"/>
    </sheetView>
  </sheetViews>
  <sheetFormatPr defaultColWidth="9.18359375" defaultRowHeight="15" customHeight="true" zeroHeight="false" outlineLevelRow="0" outlineLevelCol="0"/>
  <cols>
    <col collapsed="false" customWidth="true" hidden="false" outlineLevel="0" max="2" min="2" style="2" width="24.54"/>
    <col collapsed="false" customWidth="true" hidden="false" outlineLevel="0" max="3" min="3" style="2" width="30.82"/>
    <col collapsed="false" customWidth="true" hidden="false" outlineLevel="0" max="4" min="4" style="2" width="47"/>
    <col collapsed="false" customWidth="true" hidden="false" outlineLevel="0" max="5" min="5" style="2" width="24.54"/>
    <col collapsed="false" customWidth="true" hidden="false" outlineLevel="0" max="7" min="6" style="24" width="34.73"/>
    <col collapsed="false" customWidth="true" hidden="false" outlineLevel="0" max="8" min="8" style="2" width="30.73"/>
    <col collapsed="false" customWidth="true" hidden="false" outlineLevel="0" max="9" min="9" style="24" width="32.18"/>
    <col collapsed="false" customWidth="true" hidden="false" outlineLevel="0" max="10" min="10" style="25" width="63.73"/>
    <col collapsed="false" customWidth="false" hidden="false" outlineLevel="0" max="13" min="11" style="2" width="9.18"/>
    <col collapsed="false" customWidth="true" hidden="false" outlineLevel="0" max="14" min="14" style="2" width="27.18"/>
    <col collapsed="false" customWidth="true" hidden="false" outlineLevel="0" max="15" min="15" style="24" width="34.73"/>
    <col collapsed="false" customWidth="true" hidden="false" outlineLevel="0" max="16" min="16" style="2" width="14.18"/>
    <col collapsed="false" customWidth="false" hidden="false" outlineLevel="0" max="16384" min="17" style="2" width="9.18"/>
  </cols>
  <sheetData>
    <row r="1" s="30" customFormat="true" ht="15" hidden="false" customHeight="false" outlineLevel="0" collapsed="false">
      <c r="A1" s="26" t="s">
        <v>3</v>
      </c>
      <c r="B1" s="26" t="s">
        <v>298</v>
      </c>
      <c r="C1" s="27" t="s">
        <v>299</v>
      </c>
      <c r="D1" s="26" t="s">
        <v>300</v>
      </c>
      <c r="E1" s="26" t="s">
        <v>301</v>
      </c>
      <c r="F1" s="26" t="s">
        <v>302</v>
      </c>
      <c r="G1" s="26" t="s">
        <v>303</v>
      </c>
      <c r="H1" s="26" t="s">
        <v>304</v>
      </c>
      <c r="I1" s="28" t="s">
        <v>305</v>
      </c>
      <c r="J1" s="29" t="s">
        <v>306</v>
      </c>
      <c r="K1" s="26" t="s">
        <v>307</v>
      </c>
      <c r="L1" s="26" t="s">
        <v>308</v>
      </c>
      <c r="M1" s="26" t="s">
        <v>309</v>
      </c>
      <c r="N1" s="26" t="s">
        <v>310</v>
      </c>
      <c r="O1" s="28" t="s">
        <v>311</v>
      </c>
      <c r="P1" s="26" t="s">
        <v>312</v>
      </c>
    </row>
    <row r="2" customFormat="false" ht="15" hidden="false" customHeight="false" outlineLevel="0" collapsed="false">
      <c r="A2" s="0" t="s">
        <v>313</v>
      </c>
      <c r="B2" s="31"/>
      <c r="C2" s="31"/>
      <c r="D2" s="31"/>
      <c r="E2" s="31"/>
      <c r="F2" s="31"/>
      <c r="G2" s="31"/>
      <c r="H2" s="32"/>
      <c r="I2" s="32"/>
      <c r="J2" s="32" t="s">
        <v>314</v>
      </c>
      <c r="K2" s="32"/>
      <c r="L2" s="33"/>
      <c r="M2" s="33"/>
      <c r="N2" s="33"/>
      <c r="O2" s="34"/>
      <c r="P2" s="35"/>
    </row>
    <row r="3" customFormat="false" ht="15" hidden="false" customHeight="false" outlineLevel="0" collapsed="false">
      <c r="A3" s="0" t="s">
        <v>315</v>
      </c>
      <c r="B3" s="36" t="s">
        <v>316</v>
      </c>
      <c r="C3" s="19" t="str">
        <f aca="false">+VLOOKUP(B3,transacciones!$A$1:$I$39,2,FALSE())</f>
        <v>ATC05</v>
      </c>
      <c r="D3" s="19" t="str">
        <f aca="false">+VLOOKUP(B3,transacciones!$A$1:$I$39,3,FALSE())</f>
        <v>Márgenes de distribución</v>
      </c>
      <c r="E3" s="19" t="str">
        <f aca="false">+VLOOKUP($B3,transacciones!$A$1:$I$39,4,FALSE())</f>
        <v>Márgenes de comercio</v>
      </c>
      <c r="F3" s="19" t="n">
        <f aca="false">+VLOOKUP(B3,transacciones!$A$2:$I$39,5,FALSE())</f>
        <v>12</v>
      </c>
      <c r="G3" s="19" t="str">
        <f aca="false">+VLOOKUP(B3,transacciones!$A$2:$I$39,6,FALSE())</f>
        <v>M1</v>
      </c>
      <c r="H3" s="37" t="str">
        <f aca="false">+VLOOKUP(B3,transacciones!$A$1:$I$39,7,FALSE())</f>
        <v>Márgenes de distribución</v>
      </c>
      <c r="I3" s="37" t="s">
        <v>317</v>
      </c>
      <c r="J3" s="38" t="s">
        <v>318</v>
      </c>
      <c r="K3" s="16" t="s">
        <v>181</v>
      </c>
      <c r="L3" s="16" t="s">
        <v>181</v>
      </c>
      <c r="M3" s="16" t="s">
        <v>181</v>
      </c>
      <c r="N3" s="16" t="s">
        <v>181</v>
      </c>
      <c r="O3" s="39" t="s">
        <v>181</v>
      </c>
      <c r="P3" s="40" t="s">
        <v>181</v>
      </c>
    </row>
    <row r="4" customFormat="false" ht="15" hidden="false" customHeight="false" outlineLevel="0" collapsed="false">
      <c r="A4" s="0" t="s">
        <v>319</v>
      </c>
      <c r="B4" s="19" t="s">
        <v>320</v>
      </c>
      <c r="C4" s="19" t="str">
        <f aca="false">+VLOOKUP(B4,transacciones!$A$1:$I$39,2,FALSE())</f>
        <v>ATC05</v>
      </c>
      <c r="D4" s="19" t="str">
        <f aca="false">+VLOOKUP(B4,transacciones!$A$1:$I$39,3,FALSE())</f>
        <v>Márgenes de distribución</v>
      </c>
      <c r="E4" s="19" t="str">
        <f aca="false">+VLOOKUP($B4,transacciones!$A$1:$I$39,4,FALSE())</f>
        <v>Márgenes de transporte</v>
      </c>
      <c r="F4" s="19" t="n">
        <f aca="false">+VLOOKUP(B4,transacciones!$A$2:$I$39,5,FALSE())</f>
        <v>12</v>
      </c>
      <c r="G4" s="19" t="str">
        <f aca="false">+VLOOKUP(B4,transacciones!$A$2:$I$39,6,FALSE())</f>
        <v>M1</v>
      </c>
      <c r="H4" s="37" t="str">
        <f aca="false">+VLOOKUP(B4,transacciones!$A$1:$I$39,7,FALSE())</f>
        <v>Márgenes de distribución</v>
      </c>
      <c r="I4" s="37" t="s">
        <v>317</v>
      </c>
      <c r="J4" s="38" t="s">
        <v>321</v>
      </c>
      <c r="K4" s="16" t="s">
        <v>181</v>
      </c>
      <c r="L4" s="16" t="s">
        <v>181</v>
      </c>
      <c r="M4" s="16" t="s">
        <v>181</v>
      </c>
      <c r="N4" s="16" t="s">
        <v>181</v>
      </c>
      <c r="O4" s="39" t="s">
        <v>181</v>
      </c>
      <c r="P4" s="40" t="s">
        <v>181</v>
      </c>
    </row>
    <row r="5" customFormat="false" ht="15" hidden="false" customHeight="false" outlineLevel="0" collapsed="false">
      <c r="A5" s="0" t="s">
        <v>322</v>
      </c>
      <c r="B5" s="2" t="s">
        <v>323</v>
      </c>
      <c r="C5" s="19" t="str">
        <f aca="false">+VLOOKUP(B5,transacciones!$A$1:$I$39,2,FALSE())</f>
        <v>ATC04</v>
      </c>
      <c r="D5" s="19" t="str">
        <f aca="false">+VLOOKUP(B5,transacciones!$A$1:$I$39,3,FALSE())</f>
        <v>Impuestos menos subvenciones sobre los productos</v>
      </c>
      <c r="E5" s="19" t="str">
        <f aca="false">+VLOOKUP($B5,transacciones!$A$1:$I$39,4,FALSE())</f>
        <v>Impuestos y derechos sobre las importaciones excepto IVA</v>
      </c>
      <c r="F5" s="19" t="n">
        <f aca="false">+VLOOKUP(B5,transacciones!$A$2:$I$39,5,FALSE())</f>
        <v>9</v>
      </c>
      <c r="G5" s="19" t="str">
        <f aca="false">+VLOOKUP(B5,transacciones!$A$2:$I$39,6,FALSE())</f>
        <v>D2</v>
      </c>
      <c r="H5" s="37" t="str">
        <f aca="false">+VLOOKUP(B5,transacciones!$A$1:$I$39,7,FALSE())</f>
        <v>Impuestos sobre la producción y las importaciones</v>
      </c>
      <c r="I5" s="37" t="s">
        <v>317</v>
      </c>
      <c r="J5" s="38" t="s">
        <v>324</v>
      </c>
      <c r="K5" s="16" t="s">
        <v>181</v>
      </c>
      <c r="L5" s="16" t="s">
        <v>181</v>
      </c>
      <c r="M5" s="16" t="s">
        <v>181</v>
      </c>
      <c r="N5" s="16" t="s">
        <v>181</v>
      </c>
      <c r="O5" s="39" t="s">
        <v>181</v>
      </c>
      <c r="P5" s="40" t="s">
        <v>181</v>
      </c>
    </row>
    <row r="6" customFormat="false" ht="15" hidden="false" customHeight="false" outlineLevel="0" collapsed="false">
      <c r="A6" s="0" t="s">
        <v>325</v>
      </c>
      <c r="B6" s="2" t="s">
        <v>326</v>
      </c>
      <c r="C6" s="19" t="str">
        <f aca="false">+VLOOKUP(B6,transacciones!$A$1:$I$39,2,FALSE())</f>
        <v>ATC04</v>
      </c>
      <c r="D6" s="19" t="str">
        <f aca="false">+VLOOKUP(B6,transacciones!$A$1:$I$39,3,FALSE())</f>
        <v>Impuestos menos subvenciones sobre los productos</v>
      </c>
      <c r="E6" s="19" t="str">
        <f aca="false">+VLOOKUP($B6,transacciones!$A$1:$I$39,4,FALSE())</f>
        <v>Impuestos tipo valor agregado (IVA)</v>
      </c>
      <c r="F6" s="19" t="n">
        <f aca="false">+VLOOKUP(B6,transacciones!$A$2:$I$39,5,FALSE())</f>
        <v>9</v>
      </c>
      <c r="G6" s="19" t="str">
        <f aca="false">+VLOOKUP(B6,transacciones!$A$2:$I$39,6,FALSE())</f>
        <v>D2</v>
      </c>
      <c r="H6" s="37" t="str">
        <f aca="false">+VLOOKUP(B6,transacciones!$A$1:$I$39,7,FALSE())</f>
        <v>Impuestos sobre la producción y las importaciones</v>
      </c>
      <c r="I6" s="37" t="s">
        <v>317</v>
      </c>
      <c r="J6" s="38" t="s">
        <v>327</v>
      </c>
      <c r="K6" s="16" t="s">
        <v>181</v>
      </c>
      <c r="L6" s="16" t="s">
        <v>181</v>
      </c>
      <c r="M6" s="16" t="s">
        <v>181</v>
      </c>
      <c r="N6" s="16" t="s">
        <v>181</v>
      </c>
      <c r="O6" s="39" t="s">
        <v>181</v>
      </c>
      <c r="P6" s="40" t="s">
        <v>181</v>
      </c>
    </row>
    <row r="7" customFormat="false" ht="27" hidden="false" customHeight="true" outlineLevel="0" collapsed="false">
      <c r="A7" s="0" t="s">
        <v>328</v>
      </c>
      <c r="B7" s="2" t="s">
        <v>329</v>
      </c>
      <c r="C7" s="19" t="str">
        <f aca="false">+VLOOKUP(B7,transacciones!$A$1:$I$39,2,FALSE())</f>
        <v>ATC04</v>
      </c>
      <c r="D7" s="19" t="str">
        <f aca="false">+VLOOKUP(B7,transacciones!$A$1:$I$39,3,FALSE())</f>
        <v>Impuestos menos subvenciones sobre los productos</v>
      </c>
      <c r="E7" s="19" t="str">
        <f aca="false">+VLOOKUP($B7,transacciones!$A$1:$I$39,4,FALSE())</f>
        <v>Impuestos sobre los productos, excepto IVA e impuestos sobre las importaciones </v>
      </c>
      <c r="F7" s="19" t="n">
        <f aca="false">+VLOOKUP(B7,transacciones!$A$2:$I$39,5,FALSE())</f>
        <v>9</v>
      </c>
      <c r="G7" s="19" t="str">
        <f aca="false">+VLOOKUP(B7,transacciones!$A$2:$I$39,6,FALSE())</f>
        <v>D2</v>
      </c>
      <c r="H7" s="37" t="str">
        <f aca="false">+VLOOKUP(B7,transacciones!$A$1:$I$39,7,FALSE())</f>
        <v>Impuestos sobre la producción y las importaciones</v>
      </c>
      <c r="I7" s="37" t="s">
        <v>317</v>
      </c>
      <c r="J7" s="41" t="s">
        <v>330</v>
      </c>
      <c r="K7" s="16" t="s">
        <v>181</v>
      </c>
      <c r="L7" s="16" t="s">
        <v>181</v>
      </c>
      <c r="M7" s="16" t="s">
        <v>181</v>
      </c>
      <c r="N7" s="16" t="s">
        <v>181</v>
      </c>
      <c r="O7" s="39" t="s">
        <v>181</v>
      </c>
      <c r="P7" s="40" t="s">
        <v>181</v>
      </c>
    </row>
    <row r="8" customFormat="false" ht="15" hidden="false" customHeight="false" outlineLevel="0" collapsed="false">
      <c r="A8" s="0" t="s">
        <v>331</v>
      </c>
      <c r="B8" s="2" t="s">
        <v>332</v>
      </c>
      <c r="C8" s="19" t="str">
        <f aca="false">+VLOOKUP(B8,transacciones!$A$1:$I$39,2,FALSE())</f>
        <v>ATC04</v>
      </c>
      <c r="D8" s="19" t="str">
        <f aca="false">+VLOOKUP(B8,transacciones!$A$1:$I$39,3,FALSE())</f>
        <v>Impuestos menos subvenciones sobre los productos</v>
      </c>
      <c r="E8" s="19" t="str">
        <f aca="false">+VLOOKUP($B8,transacciones!$A$1:$I$39,4,FALSE())</f>
        <v>Subvenciones a los productos</v>
      </c>
      <c r="F8" s="19" t="n">
        <f aca="false">+VLOOKUP(B8,transacciones!$A$2:$I$39,5,FALSE())</f>
        <v>11</v>
      </c>
      <c r="G8" s="19" t="str">
        <f aca="false">+VLOOKUP(B8,transacciones!$A$2:$I$39,6,FALSE())</f>
        <v>D3</v>
      </c>
      <c r="H8" s="37" t="str">
        <f aca="false">+VLOOKUP(B8,transacciones!$A$1:$I$39,7,FALSE())</f>
        <v>Subvenciones</v>
      </c>
      <c r="I8" s="37" t="s">
        <v>317</v>
      </c>
      <c r="J8" s="38" t="s">
        <v>333</v>
      </c>
      <c r="K8" s="16" t="s">
        <v>181</v>
      </c>
      <c r="L8" s="16" t="s">
        <v>181</v>
      </c>
      <c r="M8" s="16" t="s">
        <v>181</v>
      </c>
      <c r="N8" s="16" t="s">
        <v>181</v>
      </c>
      <c r="O8" s="39" t="s">
        <v>181</v>
      </c>
      <c r="P8" s="40" t="s">
        <v>181</v>
      </c>
    </row>
    <row r="9" customFormat="false" ht="15" hidden="false" customHeight="false" outlineLevel="0" collapsed="false">
      <c r="A9" s="0" t="s">
        <v>334</v>
      </c>
      <c r="B9" s="42"/>
      <c r="C9" s="42"/>
      <c r="D9" s="42"/>
      <c r="E9" s="42"/>
      <c r="F9" s="42"/>
      <c r="G9" s="42"/>
      <c r="H9" s="43"/>
      <c r="I9" s="42"/>
      <c r="J9" s="44" t="s">
        <v>335</v>
      </c>
      <c r="K9" s="45"/>
      <c r="L9" s="45"/>
      <c r="M9" s="45"/>
      <c r="N9" s="45"/>
      <c r="O9" s="46"/>
      <c r="P9" s="47"/>
    </row>
    <row r="10" customFormat="false" ht="15" hidden="false" customHeight="false" outlineLevel="0" collapsed="false">
      <c r="A10" s="0" t="s">
        <v>336</v>
      </c>
      <c r="B10" s="48" t="s">
        <v>337</v>
      </c>
      <c r="C10" s="19" t="str">
        <f aca="false">+VLOOKUP(B10,transacciones!$A$1:$I$39,2,FALSE())</f>
        <v>ATC01</v>
      </c>
      <c r="D10" s="19" t="str">
        <f aca="false">+VLOOKUP(B10,transacciones!$A$1:$I$39,3,FALSE())</f>
        <v>Producción / Consumo intermedio</v>
      </c>
      <c r="E10" s="19" t="str">
        <f aca="false">+VLOOKUP($B10,transacciones!$A$1:$I$39,4,FALSE())</f>
        <v>Producción</v>
      </c>
      <c r="F10" s="19" t="n">
        <f aca="false">+VLOOKUP(B10,transacciones!$A$2:$I$39,5,FALSE())</f>
        <v>1</v>
      </c>
      <c r="G10" s="19" t="str">
        <f aca="false">+VLOOKUP(B10,transacciones!$A$2:$I$39,6,FALSE())</f>
        <v>P1</v>
      </c>
      <c r="H10" s="37" t="str">
        <f aca="false">+VLOOKUP(B10,transacciones!$A$1:$I$39,7,FALSE())</f>
        <v>Producción</v>
      </c>
      <c r="I10" s="37" t="s">
        <v>338</v>
      </c>
      <c r="J10" s="37" t="s">
        <v>339</v>
      </c>
      <c r="K10" s="37" t="s">
        <v>340</v>
      </c>
      <c r="L10" s="37" t="str">
        <f aca="false">+VLOOKUP(K10,'Correl CIIU'!$A$1:$F$26,2,FALSE())</f>
        <v>Agricultura, ganadería, silvicultura y pesca</v>
      </c>
      <c r="M10" s="37" t="str">
        <f aca="false">+VLOOKUP(K10,'Correl CIIU'!$A$1:$F$26,3,FALSE())</f>
        <v>Agricultura</v>
      </c>
      <c r="N10" s="37" t="str">
        <f aca="false">+VLOOKUP(K10,'Correl CIIU'!$A$1:$F$26,4,FALSE())</f>
        <v>Agriculture, forestry and fishing</v>
      </c>
      <c r="O10" s="37" t="n">
        <v>1</v>
      </c>
      <c r="P10" s="49" t="str">
        <f aca="false">+VLOOKUP(O10,bio!$A$2:$B$4,2,FALSE())</f>
        <v>Bioeconomía</v>
      </c>
    </row>
    <row r="11" customFormat="false" ht="15" hidden="false" customHeight="false" outlineLevel="0" collapsed="false">
      <c r="A11" s="0" t="s">
        <v>341</v>
      </c>
      <c r="B11" s="48" t="s">
        <v>337</v>
      </c>
      <c r="C11" s="19" t="str">
        <f aca="false">+VLOOKUP(B11,transacciones!$A$1:$I$39,2,FALSE())</f>
        <v>ATC01</v>
      </c>
      <c r="D11" s="19" t="str">
        <f aca="false">+VLOOKUP(B11,transacciones!$A$1:$I$39,3,FALSE())</f>
        <v>Producción / Consumo intermedio</v>
      </c>
      <c r="E11" s="19" t="str">
        <f aca="false">+VLOOKUP($B11,transacciones!$A$1:$I$39,4,FALSE())</f>
        <v>Producción</v>
      </c>
      <c r="F11" s="19" t="n">
        <f aca="false">+VLOOKUP(B11,transacciones!$A$2:$I$39,5,FALSE())</f>
        <v>1</v>
      </c>
      <c r="G11" s="19" t="str">
        <f aca="false">+VLOOKUP(B11,transacciones!$A$2:$I$39,6,FALSE())</f>
        <v>P1</v>
      </c>
      <c r="H11" s="37" t="str">
        <f aca="false">+VLOOKUP(B11,transacciones!$A$1:$I$39,7,FALSE())</f>
        <v>Producción</v>
      </c>
      <c r="I11" s="37" t="s">
        <v>342</v>
      </c>
      <c r="J11" s="37" t="s">
        <v>343</v>
      </c>
      <c r="K11" s="37" t="s">
        <v>340</v>
      </c>
      <c r="L11" s="37" t="str">
        <f aca="false">+VLOOKUP(K11,'Correl CIIU'!$A$1:$F$26,2,FALSE())</f>
        <v>Agricultura, ganadería, silvicultura y pesca</v>
      </c>
      <c r="M11" s="37" t="str">
        <f aca="false">+VLOOKUP(K11,'Correl CIIU'!$A$1:$F$26,3,FALSE())</f>
        <v>Agricultura</v>
      </c>
      <c r="N11" s="37" t="str">
        <f aca="false">+VLOOKUP(K11,'Correl CIIU'!$A$1:$F$26,4,FALSE())</f>
        <v>Agriculture, forestry and fishing</v>
      </c>
      <c r="O11" s="37" t="n">
        <v>1</v>
      </c>
      <c r="P11" s="49" t="str">
        <f aca="false">+VLOOKUP(O11,bio!$A$2:$B$4,2,FALSE())</f>
        <v>Bioeconomía</v>
      </c>
    </row>
    <row r="12" customFormat="false" ht="15" hidden="false" customHeight="false" outlineLevel="0" collapsed="false">
      <c r="A12" s="0" t="s">
        <v>344</v>
      </c>
      <c r="B12" s="48" t="s">
        <v>337</v>
      </c>
      <c r="C12" s="19" t="str">
        <f aca="false">+VLOOKUP(B12,transacciones!$A$1:$I$39,2,FALSE())</f>
        <v>ATC01</v>
      </c>
      <c r="D12" s="19" t="str">
        <f aca="false">+VLOOKUP(B12,transacciones!$A$1:$I$39,3,FALSE())</f>
        <v>Producción / Consumo intermedio</v>
      </c>
      <c r="E12" s="19" t="str">
        <f aca="false">+VLOOKUP($B12,transacciones!$A$1:$I$39,4,FALSE())</f>
        <v>Producción</v>
      </c>
      <c r="F12" s="19" t="n">
        <f aca="false">+VLOOKUP(B12,transacciones!$A$2:$I$39,5,FALSE())</f>
        <v>1</v>
      </c>
      <c r="G12" s="19" t="str">
        <f aca="false">+VLOOKUP(B12,transacciones!$A$2:$I$39,6,FALSE())</f>
        <v>P1</v>
      </c>
      <c r="H12" s="37" t="str">
        <f aca="false">+VLOOKUP(B12,transacciones!$A$1:$I$39,7,FALSE())</f>
        <v>Producción</v>
      </c>
      <c r="I12" s="37" t="s">
        <v>345</v>
      </c>
      <c r="J12" s="37" t="s">
        <v>346</v>
      </c>
      <c r="K12" s="37" t="s">
        <v>340</v>
      </c>
      <c r="L12" s="37" t="str">
        <f aca="false">+VLOOKUP(K12,'Correl CIIU'!$A$1:$F$26,2,FALSE())</f>
        <v>Agricultura, ganadería, silvicultura y pesca</v>
      </c>
      <c r="M12" s="37" t="str">
        <f aca="false">+VLOOKUP(K12,'Correl CIIU'!$A$1:$F$26,3,FALSE())</f>
        <v>Agricultura</v>
      </c>
      <c r="N12" s="37" t="str">
        <f aca="false">+VLOOKUP(K12,'Correl CIIU'!$A$1:$F$26,4,FALSE())</f>
        <v>Agriculture, forestry and fishing</v>
      </c>
      <c r="O12" s="37" t="n">
        <v>1</v>
      </c>
      <c r="P12" s="49" t="str">
        <f aca="false">+VLOOKUP(O12,bio!$A$2:$B$4,2,FALSE())</f>
        <v>Bioeconomía</v>
      </c>
    </row>
    <row r="13" customFormat="false" ht="15" hidden="false" customHeight="false" outlineLevel="0" collapsed="false">
      <c r="A13" s="0" t="s">
        <v>347</v>
      </c>
      <c r="B13" s="48" t="s">
        <v>337</v>
      </c>
      <c r="C13" s="19" t="str">
        <f aca="false">+VLOOKUP(B13,transacciones!$A$1:$I$39,2,FALSE())</f>
        <v>ATC01</v>
      </c>
      <c r="D13" s="19" t="str">
        <f aca="false">+VLOOKUP(B13,transacciones!$A$1:$I$39,3,FALSE())</f>
        <v>Producción / Consumo intermedio</v>
      </c>
      <c r="E13" s="19" t="str">
        <f aca="false">+VLOOKUP($B13,transacciones!$A$1:$I$39,4,FALSE())</f>
        <v>Producción</v>
      </c>
      <c r="F13" s="19" t="n">
        <f aca="false">+VLOOKUP(B13,transacciones!$A$2:$I$39,5,FALSE())</f>
        <v>1</v>
      </c>
      <c r="G13" s="19" t="str">
        <f aca="false">+VLOOKUP(B13,transacciones!$A$2:$I$39,6,FALSE())</f>
        <v>P1</v>
      </c>
      <c r="H13" s="37" t="str">
        <f aca="false">+VLOOKUP(B13,transacciones!$A$1:$I$39,7,FALSE())</f>
        <v>Producción</v>
      </c>
      <c r="I13" s="37" t="s">
        <v>348</v>
      </c>
      <c r="J13" s="37" t="s">
        <v>349</v>
      </c>
      <c r="K13" s="37" t="s">
        <v>340</v>
      </c>
      <c r="L13" s="37" t="str">
        <f aca="false">+VLOOKUP(K13,'Correl CIIU'!$A$1:$F$26,2,FALSE())</f>
        <v>Agricultura, ganadería, silvicultura y pesca</v>
      </c>
      <c r="M13" s="37" t="str">
        <f aca="false">+VLOOKUP(K13,'Correl CIIU'!$A$1:$F$26,3,FALSE())</f>
        <v>Agricultura</v>
      </c>
      <c r="N13" s="37" t="str">
        <f aca="false">+VLOOKUP(K13,'Correl CIIU'!$A$1:$F$26,4,FALSE())</f>
        <v>Agriculture, forestry and fishing</v>
      </c>
      <c r="O13" s="37" t="n">
        <v>1</v>
      </c>
      <c r="P13" s="49" t="str">
        <f aca="false">+VLOOKUP(O13,bio!$A$2:$B$4,2,FALSE())</f>
        <v>Bioeconomía</v>
      </c>
    </row>
    <row r="14" customFormat="false" ht="15" hidden="false" customHeight="false" outlineLevel="0" collapsed="false">
      <c r="A14" s="0" t="s">
        <v>350</v>
      </c>
      <c r="B14" s="48" t="s">
        <v>337</v>
      </c>
      <c r="C14" s="19" t="str">
        <f aca="false">+VLOOKUP(B14,transacciones!$A$1:$I$39,2,FALSE())</f>
        <v>ATC01</v>
      </c>
      <c r="D14" s="19" t="str">
        <f aca="false">+VLOOKUP(B14,transacciones!$A$1:$I$39,3,FALSE())</f>
        <v>Producción / Consumo intermedio</v>
      </c>
      <c r="E14" s="19" t="str">
        <f aca="false">+VLOOKUP($B14,transacciones!$A$1:$I$39,4,FALSE())</f>
        <v>Producción</v>
      </c>
      <c r="F14" s="19" t="n">
        <f aca="false">+VLOOKUP(B14,transacciones!$A$2:$I$39,5,FALSE())</f>
        <v>1</v>
      </c>
      <c r="G14" s="19" t="str">
        <f aca="false">+VLOOKUP(B14,transacciones!$A$2:$I$39,6,FALSE())</f>
        <v>P1</v>
      </c>
      <c r="H14" s="37" t="str">
        <f aca="false">+VLOOKUP(B14,transacciones!$A$1:$I$39,7,FALSE())</f>
        <v>Producción</v>
      </c>
      <c r="I14" s="37" t="s">
        <v>351</v>
      </c>
      <c r="J14" s="37" t="s">
        <v>352</v>
      </c>
      <c r="K14" s="37" t="s">
        <v>340</v>
      </c>
      <c r="L14" s="37" t="str">
        <f aca="false">+VLOOKUP(K14,'Correl CIIU'!$A$1:$F$26,2,FALSE())</f>
        <v>Agricultura, ganadería, silvicultura y pesca</v>
      </c>
      <c r="M14" s="37" t="str">
        <f aca="false">+VLOOKUP(K14,'Correl CIIU'!$A$1:$F$26,3,FALSE())</f>
        <v>Agricultura</v>
      </c>
      <c r="N14" s="37" t="str">
        <f aca="false">+VLOOKUP(K14,'Correl CIIU'!$A$1:$F$26,4,FALSE())</f>
        <v>Agriculture, forestry and fishing</v>
      </c>
      <c r="O14" s="37" t="n">
        <v>1</v>
      </c>
      <c r="P14" s="49" t="str">
        <f aca="false">+VLOOKUP(O14,bio!$A$2:$B$4,2,FALSE())</f>
        <v>Bioeconomía</v>
      </c>
    </row>
    <row r="15" customFormat="false" ht="15" hidden="false" customHeight="false" outlineLevel="0" collapsed="false">
      <c r="A15" s="0" t="s">
        <v>353</v>
      </c>
      <c r="B15" s="48" t="s">
        <v>337</v>
      </c>
      <c r="C15" s="19" t="str">
        <f aca="false">+VLOOKUP(B15,transacciones!$A$1:$I$39,2,FALSE())</f>
        <v>ATC01</v>
      </c>
      <c r="D15" s="19" t="str">
        <f aca="false">+VLOOKUP(B15,transacciones!$A$1:$I$39,3,FALSE())</f>
        <v>Producción / Consumo intermedio</v>
      </c>
      <c r="E15" s="19" t="str">
        <f aca="false">+VLOOKUP($B15,transacciones!$A$1:$I$39,4,FALSE())</f>
        <v>Producción</v>
      </c>
      <c r="F15" s="19" t="n">
        <f aca="false">+VLOOKUP(B15,transacciones!$A$2:$I$39,5,FALSE())</f>
        <v>1</v>
      </c>
      <c r="G15" s="19" t="str">
        <f aca="false">+VLOOKUP(B15,transacciones!$A$2:$I$39,6,FALSE())</f>
        <v>P1</v>
      </c>
      <c r="H15" s="37" t="str">
        <f aca="false">+VLOOKUP(B15,transacciones!$A$1:$I$39,7,FALSE())</f>
        <v>Producción</v>
      </c>
      <c r="I15" s="37" t="s">
        <v>354</v>
      </c>
      <c r="J15" s="37" t="s">
        <v>355</v>
      </c>
      <c r="K15" s="37" t="s">
        <v>340</v>
      </c>
      <c r="L15" s="37" t="str">
        <f aca="false">+VLOOKUP(K15,'Correl CIIU'!$A$1:$F$26,2,FALSE())</f>
        <v>Agricultura, ganadería, silvicultura y pesca</v>
      </c>
      <c r="M15" s="37" t="str">
        <f aca="false">+VLOOKUP(K15,'Correl CIIU'!$A$1:$F$26,3,FALSE())</f>
        <v>Agricultura</v>
      </c>
      <c r="N15" s="37" t="str">
        <f aca="false">+VLOOKUP(K15,'Correl CIIU'!$A$1:$F$26,4,FALSE())</f>
        <v>Agriculture, forestry and fishing</v>
      </c>
      <c r="O15" s="37" t="n">
        <v>3</v>
      </c>
      <c r="P15" s="49" t="str">
        <f aca="false">+VLOOKUP(O15,bio!$A$2:$B$4,2,FALSE())</f>
        <v>No bioeconomía</v>
      </c>
    </row>
    <row r="16" customFormat="false" ht="15" hidden="false" customHeight="false" outlineLevel="0" collapsed="false">
      <c r="A16" s="0" t="s">
        <v>356</v>
      </c>
      <c r="B16" s="48" t="s">
        <v>337</v>
      </c>
      <c r="C16" s="19" t="str">
        <f aca="false">+VLOOKUP(B16,transacciones!$A$1:$I$39,2,FALSE())</f>
        <v>ATC01</v>
      </c>
      <c r="D16" s="19" t="str">
        <f aca="false">+VLOOKUP(B16,transacciones!$A$1:$I$39,3,FALSE())</f>
        <v>Producción / Consumo intermedio</v>
      </c>
      <c r="E16" s="19" t="str">
        <f aca="false">+VLOOKUP($B16,transacciones!$A$1:$I$39,4,FALSE())</f>
        <v>Producción</v>
      </c>
      <c r="F16" s="19" t="n">
        <f aca="false">+VLOOKUP(B16,transacciones!$A$2:$I$39,5,FALSE())</f>
        <v>1</v>
      </c>
      <c r="G16" s="19" t="str">
        <f aca="false">+VLOOKUP(B16,transacciones!$A$2:$I$39,6,FALSE())</f>
        <v>P1</v>
      </c>
      <c r="H16" s="37" t="str">
        <f aca="false">+VLOOKUP(B16,transacciones!$A$1:$I$39,7,FALSE())</f>
        <v>Producción</v>
      </c>
      <c r="I16" s="37" t="s">
        <v>357</v>
      </c>
      <c r="J16" s="37" t="s">
        <v>358</v>
      </c>
      <c r="K16" s="37" t="s">
        <v>359</v>
      </c>
      <c r="L16" s="37" t="str">
        <f aca="false">+VLOOKUP(K16,'Correl CIIU'!$A$1:$F$26,2,FALSE())</f>
        <v>Explotación de minas y canteras</v>
      </c>
      <c r="M16" s="37" t="str">
        <f aca="false">+VLOOKUP(K16,'Correl CIIU'!$A$1:$F$26,3,FALSE())</f>
        <v>Minería</v>
      </c>
      <c r="N16" s="37" t="str">
        <f aca="false">+VLOOKUP(K16,'Correl CIIU'!$A$1:$F$26,4,FALSE())</f>
        <v>Mining and quarrying</v>
      </c>
      <c r="O16" s="37" t="n">
        <v>3</v>
      </c>
      <c r="P16" s="49" t="str">
        <f aca="false">+VLOOKUP(O16,bio!$A$2:$B$4,2,FALSE())</f>
        <v>No bioeconomía</v>
      </c>
    </row>
    <row r="17" customFormat="false" ht="15" hidden="false" customHeight="false" outlineLevel="0" collapsed="false">
      <c r="A17" s="0" t="s">
        <v>360</v>
      </c>
      <c r="B17" s="48" t="s">
        <v>337</v>
      </c>
      <c r="C17" s="19" t="str">
        <f aca="false">+VLOOKUP(B17,transacciones!$A$1:$I$39,2,FALSE())</f>
        <v>ATC01</v>
      </c>
      <c r="D17" s="19" t="str">
        <f aca="false">+VLOOKUP(B17,transacciones!$A$1:$I$39,3,FALSE())</f>
        <v>Producción / Consumo intermedio</v>
      </c>
      <c r="E17" s="19" t="str">
        <f aca="false">+VLOOKUP($B17,transacciones!$A$1:$I$39,4,FALSE())</f>
        <v>Producción</v>
      </c>
      <c r="F17" s="19" t="n">
        <f aca="false">+VLOOKUP(B17,transacciones!$A$2:$I$39,5,FALSE())</f>
        <v>1</v>
      </c>
      <c r="G17" s="19" t="str">
        <f aca="false">+VLOOKUP(B17,transacciones!$A$2:$I$39,6,FALSE())</f>
        <v>P1</v>
      </c>
      <c r="H17" s="37" t="str">
        <f aca="false">+VLOOKUP(B17,transacciones!$A$1:$I$39,7,FALSE())</f>
        <v>Producción</v>
      </c>
      <c r="I17" s="37" t="s">
        <v>361</v>
      </c>
      <c r="J17" s="37" t="s">
        <v>362</v>
      </c>
      <c r="K17" s="37" t="s">
        <v>359</v>
      </c>
      <c r="L17" s="37" t="str">
        <f aca="false">+VLOOKUP(K17,'Correl CIIU'!$A$1:$F$26,2,FALSE())</f>
        <v>Explotación de minas y canteras</v>
      </c>
      <c r="M17" s="37" t="str">
        <f aca="false">+VLOOKUP(K17,'Correl CIIU'!$A$1:$F$26,3,FALSE())</f>
        <v>Minería</v>
      </c>
      <c r="N17" s="37" t="str">
        <f aca="false">+VLOOKUP(K17,'Correl CIIU'!$A$1:$F$26,4,FALSE())</f>
        <v>Mining and quarrying</v>
      </c>
      <c r="O17" s="37" t="n">
        <v>3</v>
      </c>
      <c r="P17" s="49" t="str">
        <f aca="false">+VLOOKUP(O17,bio!$A$2:$B$4,2,FALSE())</f>
        <v>No bioeconomía</v>
      </c>
    </row>
    <row r="18" customFormat="false" ht="15" hidden="false" customHeight="false" outlineLevel="0" collapsed="false">
      <c r="A18" s="0" t="s">
        <v>363</v>
      </c>
      <c r="B18" s="48" t="s">
        <v>337</v>
      </c>
      <c r="C18" s="19" t="str">
        <f aca="false">+VLOOKUP(B18,transacciones!$A$1:$I$39,2,FALSE())</f>
        <v>ATC01</v>
      </c>
      <c r="D18" s="19" t="str">
        <f aca="false">+VLOOKUP(B18,transacciones!$A$1:$I$39,3,FALSE())</f>
        <v>Producción / Consumo intermedio</v>
      </c>
      <c r="E18" s="19" t="str">
        <f aca="false">+VLOOKUP($B18,transacciones!$A$1:$I$39,4,FALSE())</f>
        <v>Producción</v>
      </c>
      <c r="F18" s="19" t="n">
        <f aca="false">+VLOOKUP(B18,transacciones!$A$2:$I$39,5,FALSE())</f>
        <v>1</v>
      </c>
      <c r="G18" s="19" t="str">
        <f aca="false">+VLOOKUP(B18,transacciones!$A$2:$I$39,6,FALSE())</f>
        <v>P1</v>
      </c>
      <c r="H18" s="37" t="str">
        <f aca="false">+VLOOKUP(B18,transacciones!$A$1:$I$39,7,FALSE())</f>
        <v>Producción</v>
      </c>
      <c r="I18" s="37" t="s">
        <v>364</v>
      </c>
      <c r="J18" s="37" t="s">
        <v>365</v>
      </c>
      <c r="K18" s="37" t="s">
        <v>359</v>
      </c>
      <c r="L18" s="37" t="str">
        <f aca="false">+VLOOKUP(K18,'Correl CIIU'!$A$1:$F$26,2,FALSE())</f>
        <v>Explotación de minas y canteras</v>
      </c>
      <c r="M18" s="37" t="str">
        <f aca="false">+VLOOKUP(K18,'Correl CIIU'!$A$1:$F$26,3,FALSE())</f>
        <v>Minería</v>
      </c>
      <c r="N18" s="37" t="str">
        <f aca="false">+VLOOKUP(K18,'Correl CIIU'!$A$1:$F$26,4,FALSE())</f>
        <v>Mining and quarrying</v>
      </c>
      <c r="O18" s="37" t="n">
        <v>3</v>
      </c>
      <c r="P18" s="49" t="str">
        <f aca="false">+VLOOKUP(O18,bio!$A$2:$B$4,2,FALSE())</f>
        <v>No bioeconomía</v>
      </c>
    </row>
    <row r="19" customFormat="false" ht="15" hidden="false" customHeight="false" outlineLevel="0" collapsed="false">
      <c r="A19" s="0" t="s">
        <v>366</v>
      </c>
      <c r="B19" s="48" t="s">
        <v>337</v>
      </c>
      <c r="C19" s="19" t="str">
        <f aca="false">+VLOOKUP(B19,transacciones!$A$1:$I$39,2,FALSE())</f>
        <v>ATC01</v>
      </c>
      <c r="D19" s="19" t="str">
        <f aca="false">+VLOOKUP(B19,transacciones!$A$1:$I$39,3,FALSE())</f>
        <v>Producción / Consumo intermedio</v>
      </c>
      <c r="E19" s="19" t="str">
        <f aca="false">+VLOOKUP($B19,transacciones!$A$1:$I$39,4,FALSE())</f>
        <v>Producción</v>
      </c>
      <c r="F19" s="19" t="n">
        <f aca="false">+VLOOKUP(B19,transacciones!$A$2:$I$39,5,FALSE())</f>
        <v>1</v>
      </c>
      <c r="G19" s="19" t="str">
        <f aca="false">+VLOOKUP(B19,transacciones!$A$2:$I$39,6,FALSE())</f>
        <v>P1</v>
      </c>
      <c r="H19" s="37" t="str">
        <f aca="false">+VLOOKUP(B19,transacciones!$A$1:$I$39,7,FALSE())</f>
        <v>Producción</v>
      </c>
      <c r="I19" s="37" t="s">
        <v>367</v>
      </c>
      <c r="J19" s="37" t="s">
        <v>368</v>
      </c>
      <c r="K19" s="37" t="s">
        <v>359</v>
      </c>
      <c r="L19" s="37" t="str">
        <f aca="false">+VLOOKUP(K19,'Correl CIIU'!$A$1:$F$26,2,FALSE())</f>
        <v>Explotación de minas y canteras</v>
      </c>
      <c r="M19" s="37" t="str">
        <f aca="false">+VLOOKUP(K19,'Correl CIIU'!$A$1:$F$26,3,FALSE())</f>
        <v>Minería</v>
      </c>
      <c r="N19" s="37" t="str">
        <f aca="false">+VLOOKUP(K19,'Correl CIIU'!$A$1:$F$26,4,FALSE())</f>
        <v>Mining and quarrying</v>
      </c>
      <c r="O19" s="37" t="n">
        <v>3</v>
      </c>
      <c r="P19" s="49" t="str">
        <f aca="false">+VLOOKUP(O19,bio!$A$2:$B$4,2,FALSE())</f>
        <v>No bioeconomía</v>
      </c>
    </row>
    <row r="20" customFormat="false" ht="15" hidden="false" customHeight="false" outlineLevel="0" collapsed="false">
      <c r="A20" s="0" t="s">
        <v>369</v>
      </c>
      <c r="B20" s="48" t="s">
        <v>337</v>
      </c>
      <c r="C20" s="19" t="str">
        <f aca="false">+VLOOKUP(B20,transacciones!$A$1:$I$39,2,FALSE())</f>
        <v>ATC01</v>
      </c>
      <c r="D20" s="19" t="str">
        <f aca="false">+VLOOKUP(B20,transacciones!$A$1:$I$39,3,FALSE())</f>
        <v>Producción / Consumo intermedio</v>
      </c>
      <c r="E20" s="19" t="str">
        <f aca="false">+VLOOKUP($B20,transacciones!$A$1:$I$39,4,FALSE())</f>
        <v>Producción</v>
      </c>
      <c r="F20" s="19" t="n">
        <f aca="false">+VLOOKUP(B20,transacciones!$A$2:$I$39,5,FALSE())</f>
        <v>1</v>
      </c>
      <c r="G20" s="19" t="str">
        <f aca="false">+VLOOKUP(B20,transacciones!$A$2:$I$39,6,FALSE())</f>
        <v>P1</v>
      </c>
      <c r="H20" s="37" t="str">
        <f aca="false">+VLOOKUP(B20,transacciones!$A$1:$I$39,7,FALSE())</f>
        <v>Producción</v>
      </c>
      <c r="I20" s="37" t="s">
        <v>370</v>
      </c>
      <c r="J20" s="37" t="s">
        <v>371</v>
      </c>
      <c r="K20" s="37" t="s">
        <v>372</v>
      </c>
      <c r="L20" s="37" t="str">
        <f aca="false">+VLOOKUP(K20,'Correl CIIU'!$A$1:$F$26,2,FALSE())</f>
        <v>Industrias manufactureras</v>
      </c>
      <c r="M20" s="37" t="str">
        <f aca="false">+VLOOKUP(K20,'Correl CIIU'!$A$1:$F$26,3,FALSE())</f>
        <v>Manufacturas</v>
      </c>
      <c r="N20" s="37" t="str">
        <f aca="false">+VLOOKUP(K20,'Correl CIIU'!$A$1:$F$26,4,FALSE())</f>
        <v>Manufacturing</v>
      </c>
      <c r="O20" s="37" t="n">
        <v>1</v>
      </c>
      <c r="P20" s="49" t="str">
        <f aca="false">+VLOOKUP(O20,bio!$A$2:$B$4,2,FALSE())</f>
        <v>Bioeconomía</v>
      </c>
    </row>
    <row r="21" customFormat="false" ht="15" hidden="false" customHeight="false" outlineLevel="0" collapsed="false">
      <c r="A21" s="0" t="s">
        <v>373</v>
      </c>
      <c r="B21" s="48" t="s">
        <v>337</v>
      </c>
      <c r="C21" s="19" t="str">
        <f aca="false">+VLOOKUP(B21,transacciones!$A$1:$I$39,2,FALSE())</f>
        <v>ATC01</v>
      </c>
      <c r="D21" s="19" t="str">
        <f aca="false">+VLOOKUP(B21,transacciones!$A$1:$I$39,3,FALSE())</f>
        <v>Producción / Consumo intermedio</v>
      </c>
      <c r="E21" s="19" t="str">
        <f aca="false">+VLOOKUP($B21,transacciones!$A$1:$I$39,4,FALSE())</f>
        <v>Producción</v>
      </c>
      <c r="F21" s="19" t="n">
        <f aca="false">+VLOOKUP(B21,transacciones!$A$2:$I$39,5,FALSE())</f>
        <v>1</v>
      </c>
      <c r="G21" s="19" t="str">
        <f aca="false">+VLOOKUP(B21,transacciones!$A$2:$I$39,6,FALSE())</f>
        <v>P1</v>
      </c>
      <c r="H21" s="37" t="str">
        <f aca="false">+VLOOKUP(B21,transacciones!$A$1:$I$39,7,FALSE())</f>
        <v>Producción</v>
      </c>
      <c r="I21" s="37" t="s">
        <v>374</v>
      </c>
      <c r="J21" s="37" t="s">
        <v>375</v>
      </c>
      <c r="K21" s="37" t="s">
        <v>372</v>
      </c>
      <c r="L21" s="37" t="str">
        <f aca="false">+VLOOKUP(K21,'Correl CIIU'!$A$1:$F$26,2,FALSE())</f>
        <v>Industrias manufactureras</v>
      </c>
      <c r="M21" s="37" t="str">
        <f aca="false">+VLOOKUP(K21,'Correl CIIU'!$A$1:$F$26,3,FALSE())</f>
        <v>Manufacturas</v>
      </c>
      <c r="N21" s="37" t="str">
        <f aca="false">+VLOOKUP(K21,'Correl CIIU'!$A$1:$F$26,4,FALSE())</f>
        <v>Manufacturing</v>
      </c>
      <c r="O21" s="37" t="n">
        <v>1</v>
      </c>
      <c r="P21" s="49" t="str">
        <f aca="false">+VLOOKUP(O21,bio!$A$2:$B$4,2,FALSE())</f>
        <v>Bioeconomía</v>
      </c>
    </row>
    <row r="22" customFormat="false" ht="15" hidden="false" customHeight="false" outlineLevel="0" collapsed="false">
      <c r="A22" s="0" t="s">
        <v>376</v>
      </c>
      <c r="B22" s="48" t="s">
        <v>337</v>
      </c>
      <c r="C22" s="19" t="str">
        <f aca="false">+VLOOKUP(B22,transacciones!$A$1:$I$39,2,FALSE())</f>
        <v>ATC01</v>
      </c>
      <c r="D22" s="19" t="str">
        <f aca="false">+VLOOKUP(B22,transacciones!$A$1:$I$39,3,FALSE())</f>
        <v>Producción / Consumo intermedio</v>
      </c>
      <c r="E22" s="19" t="str">
        <f aca="false">+VLOOKUP($B22,transacciones!$A$1:$I$39,4,FALSE())</f>
        <v>Producción</v>
      </c>
      <c r="F22" s="19" t="n">
        <f aca="false">+VLOOKUP(B22,transacciones!$A$2:$I$39,5,FALSE())</f>
        <v>1</v>
      </c>
      <c r="G22" s="19" t="str">
        <f aca="false">+VLOOKUP(B22,transacciones!$A$2:$I$39,6,FALSE())</f>
        <v>P1</v>
      </c>
      <c r="H22" s="37" t="str">
        <f aca="false">+VLOOKUP(B22,transacciones!$A$1:$I$39,7,FALSE())</f>
        <v>Producción</v>
      </c>
      <c r="I22" s="37" t="s">
        <v>377</v>
      </c>
      <c r="J22" s="37" t="s">
        <v>378</v>
      </c>
      <c r="K22" s="37" t="s">
        <v>372</v>
      </c>
      <c r="L22" s="37" t="str">
        <f aca="false">+VLOOKUP(K22,'Correl CIIU'!$A$1:$F$26,2,FALSE())</f>
        <v>Industrias manufactureras</v>
      </c>
      <c r="M22" s="37" t="str">
        <f aca="false">+VLOOKUP(K22,'Correl CIIU'!$A$1:$F$26,3,FALSE())</f>
        <v>Manufacturas</v>
      </c>
      <c r="N22" s="37" t="str">
        <f aca="false">+VLOOKUP(K22,'Correl CIIU'!$A$1:$F$26,4,FALSE())</f>
        <v>Manufacturing</v>
      </c>
      <c r="O22" s="37" t="n">
        <v>1</v>
      </c>
      <c r="P22" s="49" t="str">
        <f aca="false">+VLOOKUP(O22,bio!$A$2:$B$4,2,FALSE())</f>
        <v>Bioeconomía</v>
      </c>
    </row>
    <row r="23" customFormat="false" ht="15" hidden="false" customHeight="false" outlineLevel="0" collapsed="false">
      <c r="A23" s="0" t="s">
        <v>379</v>
      </c>
      <c r="B23" s="48" t="s">
        <v>337</v>
      </c>
      <c r="C23" s="19" t="str">
        <f aca="false">+VLOOKUP(B23,transacciones!$A$1:$I$39,2,FALSE())</f>
        <v>ATC01</v>
      </c>
      <c r="D23" s="19" t="str">
        <f aca="false">+VLOOKUP(B23,transacciones!$A$1:$I$39,3,FALSE())</f>
        <v>Producción / Consumo intermedio</v>
      </c>
      <c r="E23" s="19" t="str">
        <f aca="false">+VLOOKUP($B23,transacciones!$A$1:$I$39,4,FALSE())</f>
        <v>Producción</v>
      </c>
      <c r="F23" s="19" t="n">
        <f aca="false">+VLOOKUP(B23,transacciones!$A$2:$I$39,5,FALSE())</f>
        <v>1</v>
      </c>
      <c r="G23" s="19" t="str">
        <f aca="false">+VLOOKUP(B23,transacciones!$A$2:$I$39,6,FALSE())</f>
        <v>P1</v>
      </c>
      <c r="H23" s="37" t="str">
        <f aca="false">+VLOOKUP(B23,transacciones!$A$1:$I$39,7,FALSE())</f>
        <v>Producción</v>
      </c>
      <c r="I23" s="37" t="s">
        <v>380</v>
      </c>
      <c r="J23" s="37" t="s">
        <v>381</v>
      </c>
      <c r="K23" s="37" t="s">
        <v>372</v>
      </c>
      <c r="L23" s="37" t="str">
        <f aca="false">+VLOOKUP(K23,'Correl CIIU'!$A$1:$F$26,2,FALSE())</f>
        <v>Industrias manufactureras</v>
      </c>
      <c r="M23" s="37" t="str">
        <f aca="false">+VLOOKUP(K23,'Correl CIIU'!$A$1:$F$26,3,FALSE())</f>
        <v>Manufacturas</v>
      </c>
      <c r="N23" s="37" t="str">
        <f aca="false">+VLOOKUP(K23,'Correl CIIU'!$A$1:$F$26,4,FALSE())</f>
        <v>Manufacturing</v>
      </c>
      <c r="O23" s="37" t="n">
        <v>1</v>
      </c>
      <c r="P23" s="49" t="str">
        <f aca="false">+VLOOKUP(O23,bio!$A$2:$B$4,2,FALSE())</f>
        <v>Bioeconomía</v>
      </c>
    </row>
    <row r="24" customFormat="false" ht="15" hidden="false" customHeight="false" outlineLevel="0" collapsed="false">
      <c r="A24" s="0" t="s">
        <v>382</v>
      </c>
      <c r="B24" s="48" t="s">
        <v>337</v>
      </c>
      <c r="C24" s="19" t="str">
        <f aca="false">+VLOOKUP(B24,transacciones!$A$1:$I$39,2,FALSE())</f>
        <v>ATC01</v>
      </c>
      <c r="D24" s="19" t="str">
        <f aca="false">+VLOOKUP(B24,transacciones!$A$1:$I$39,3,FALSE())</f>
        <v>Producción / Consumo intermedio</v>
      </c>
      <c r="E24" s="19" t="str">
        <f aca="false">+VLOOKUP($B24,transacciones!$A$1:$I$39,4,FALSE())</f>
        <v>Producción</v>
      </c>
      <c r="F24" s="19" t="n">
        <f aca="false">+VLOOKUP(B24,transacciones!$A$2:$I$39,5,FALSE())</f>
        <v>1</v>
      </c>
      <c r="G24" s="19" t="str">
        <f aca="false">+VLOOKUP(B24,transacciones!$A$2:$I$39,6,FALSE())</f>
        <v>P1</v>
      </c>
      <c r="H24" s="37" t="str">
        <f aca="false">+VLOOKUP(B24,transacciones!$A$1:$I$39,7,FALSE())</f>
        <v>Producción</v>
      </c>
      <c r="I24" s="37" t="s">
        <v>383</v>
      </c>
      <c r="J24" s="37" t="s">
        <v>384</v>
      </c>
      <c r="K24" s="37" t="s">
        <v>372</v>
      </c>
      <c r="L24" s="37" t="str">
        <f aca="false">+VLOOKUP(K24,'Correl CIIU'!$A$1:$F$26,2,FALSE())</f>
        <v>Industrias manufactureras</v>
      </c>
      <c r="M24" s="37" t="str">
        <f aca="false">+VLOOKUP(K24,'Correl CIIU'!$A$1:$F$26,3,FALSE())</f>
        <v>Manufacturas</v>
      </c>
      <c r="N24" s="37" t="str">
        <f aca="false">+VLOOKUP(K24,'Correl CIIU'!$A$1:$F$26,4,FALSE())</f>
        <v>Manufacturing</v>
      </c>
      <c r="O24" s="37" t="n">
        <v>1</v>
      </c>
      <c r="P24" s="49" t="str">
        <f aca="false">+VLOOKUP(O24,bio!$A$2:$B$4,2,FALSE())</f>
        <v>Bioeconomía</v>
      </c>
    </row>
    <row r="25" customFormat="false" ht="15" hidden="false" customHeight="false" outlineLevel="0" collapsed="false">
      <c r="A25" s="0" t="s">
        <v>385</v>
      </c>
      <c r="B25" s="48" t="s">
        <v>337</v>
      </c>
      <c r="C25" s="19" t="str">
        <f aca="false">+VLOOKUP(B25,transacciones!$A$1:$I$39,2,FALSE())</f>
        <v>ATC01</v>
      </c>
      <c r="D25" s="19" t="str">
        <f aca="false">+VLOOKUP(B25,transacciones!$A$1:$I$39,3,FALSE())</f>
        <v>Producción / Consumo intermedio</v>
      </c>
      <c r="E25" s="19" t="str">
        <f aca="false">+VLOOKUP($B25,transacciones!$A$1:$I$39,4,FALSE())</f>
        <v>Producción</v>
      </c>
      <c r="F25" s="19" t="n">
        <f aca="false">+VLOOKUP(B25,transacciones!$A$2:$I$39,5,FALSE())</f>
        <v>1</v>
      </c>
      <c r="G25" s="19" t="str">
        <f aca="false">+VLOOKUP(B25,transacciones!$A$2:$I$39,6,FALSE())</f>
        <v>P1</v>
      </c>
      <c r="H25" s="37" t="str">
        <f aca="false">+VLOOKUP(B25,transacciones!$A$1:$I$39,7,FALSE())</f>
        <v>Producción</v>
      </c>
      <c r="I25" s="37" t="s">
        <v>386</v>
      </c>
      <c r="J25" s="37" t="s">
        <v>387</v>
      </c>
      <c r="K25" s="37" t="s">
        <v>372</v>
      </c>
      <c r="L25" s="37" t="str">
        <f aca="false">+VLOOKUP(K25,'Correl CIIU'!$A$1:$F$26,2,FALSE())</f>
        <v>Industrias manufactureras</v>
      </c>
      <c r="M25" s="37" t="str">
        <f aca="false">+VLOOKUP(K25,'Correl CIIU'!$A$1:$F$26,3,FALSE())</f>
        <v>Manufacturas</v>
      </c>
      <c r="N25" s="37" t="str">
        <f aca="false">+VLOOKUP(K25,'Correl CIIU'!$A$1:$F$26,4,FALSE())</f>
        <v>Manufacturing</v>
      </c>
      <c r="O25" s="37" t="n">
        <v>1</v>
      </c>
      <c r="P25" s="49" t="str">
        <f aca="false">+VLOOKUP(O25,bio!$A$2:$B$4,2,FALSE())</f>
        <v>Bioeconomía</v>
      </c>
    </row>
    <row r="26" customFormat="false" ht="15" hidden="false" customHeight="false" outlineLevel="0" collapsed="false">
      <c r="A26" s="0" t="s">
        <v>388</v>
      </c>
      <c r="B26" s="48" t="s">
        <v>337</v>
      </c>
      <c r="C26" s="19" t="str">
        <f aca="false">+VLOOKUP(B26,transacciones!$A$1:$I$39,2,FALSE())</f>
        <v>ATC01</v>
      </c>
      <c r="D26" s="19" t="str">
        <f aca="false">+VLOOKUP(B26,transacciones!$A$1:$I$39,3,FALSE())</f>
        <v>Producción / Consumo intermedio</v>
      </c>
      <c r="E26" s="19" t="str">
        <f aca="false">+VLOOKUP($B26,transacciones!$A$1:$I$39,4,FALSE())</f>
        <v>Producción</v>
      </c>
      <c r="F26" s="19" t="n">
        <f aca="false">+VLOOKUP(B26,transacciones!$A$2:$I$39,5,FALSE())</f>
        <v>1</v>
      </c>
      <c r="G26" s="19" t="str">
        <f aca="false">+VLOOKUP(B26,transacciones!$A$2:$I$39,6,FALSE())</f>
        <v>P1</v>
      </c>
      <c r="H26" s="37" t="str">
        <f aca="false">+VLOOKUP(B26,transacciones!$A$1:$I$39,7,FALSE())</f>
        <v>Producción</v>
      </c>
      <c r="I26" s="37" t="s">
        <v>389</v>
      </c>
      <c r="J26" s="37" t="s">
        <v>390</v>
      </c>
      <c r="K26" s="37" t="s">
        <v>372</v>
      </c>
      <c r="L26" s="37" t="str">
        <f aca="false">+VLOOKUP(K26,'Correl CIIU'!$A$1:$F$26,2,FALSE())</f>
        <v>Industrias manufactureras</v>
      </c>
      <c r="M26" s="37" t="str">
        <f aca="false">+VLOOKUP(K26,'Correl CIIU'!$A$1:$F$26,3,FALSE())</f>
        <v>Manufacturas</v>
      </c>
      <c r="N26" s="37" t="str">
        <f aca="false">+VLOOKUP(K26,'Correl CIIU'!$A$1:$F$26,4,FALSE())</f>
        <v>Manufacturing</v>
      </c>
      <c r="O26" s="37" t="n">
        <v>1</v>
      </c>
      <c r="P26" s="49" t="str">
        <f aca="false">+VLOOKUP(O26,bio!$A$2:$B$4,2,FALSE())</f>
        <v>Bioeconomía</v>
      </c>
    </row>
    <row r="27" customFormat="false" ht="15" hidden="false" customHeight="false" outlineLevel="0" collapsed="false">
      <c r="A27" s="0" t="s">
        <v>391</v>
      </c>
      <c r="B27" s="48" t="s">
        <v>337</v>
      </c>
      <c r="C27" s="19" t="str">
        <f aca="false">+VLOOKUP(B27,transacciones!$A$1:$I$39,2,FALSE())</f>
        <v>ATC01</v>
      </c>
      <c r="D27" s="19" t="str">
        <f aca="false">+VLOOKUP(B27,transacciones!$A$1:$I$39,3,FALSE())</f>
        <v>Producción / Consumo intermedio</v>
      </c>
      <c r="E27" s="19" t="str">
        <f aca="false">+VLOOKUP($B27,transacciones!$A$1:$I$39,4,FALSE())</f>
        <v>Producción</v>
      </c>
      <c r="F27" s="19" t="n">
        <f aca="false">+VLOOKUP(B27,transacciones!$A$2:$I$39,5,FALSE())</f>
        <v>1</v>
      </c>
      <c r="G27" s="19" t="str">
        <f aca="false">+VLOOKUP(B27,transacciones!$A$2:$I$39,6,FALSE())</f>
        <v>P1</v>
      </c>
      <c r="H27" s="37" t="str">
        <f aca="false">+VLOOKUP(B27,transacciones!$A$1:$I$39,7,FALSE())</f>
        <v>Producción</v>
      </c>
      <c r="I27" s="37" t="s">
        <v>392</v>
      </c>
      <c r="J27" s="37" t="s">
        <v>393</v>
      </c>
      <c r="K27" s="37" t="s">
        <v>372</v>
      </c>
      <c r="L27" s="37" t="str">
        <f aca="false">+VLOOKUP(K27,'Correl CIIU'!$A$1:$F$26,2,FALSE())</f>
        <v>Industrias manufactureras</v>
      </c>
      <c r="M27" s="37" t="str">
        <f aca="false">+VLOOKUP(K27,'Correl CIIU'!$A$1:$F$26,3,FALSE())</f>
        <v>Manufacturas</v>
      </c>
      <c r="N27" s="37" t="str">
        <f aca="false">+VLOOKUP(K27,'Correl CIIU'!$A$1:$F$26,4,FALSE())</f>
        <v>Manufacturing</v>
      </c>
      <c r="O27" s="37" t="n">
        <v>1</v>
      </c>
      <c r="P27" s="49" t="str">
        <f aca="false">+VLOOKUP(O27,bio!$A$2:$B$4,2,FALSE())</f>
        <v>Bioeconomía</v>
      </c>
    </row>
    <row r="28" customFormat="false" ht="15" hidden="false" customHeight="false" outlineLevel="0" collapsed="false">
      <c r="A28" s="0" t="s">
        <v>394</v>
      </c>
      <c r="B28" s="48" t="s">
        <v>337</v>
      </c>
      <c r="C28" s="19" t="str">
        <f aca="false">+VLOOKUP(B28,transacciones!$A$1:$I$39,2,FALSE())</f>
        <v>ATC01</v>
      </c>
      <c r="D28" s="19" t="str">
        <f aca="false">+VLOOKUP(B28,transacciones!$A$1:$I$39,3,FALSE())</f>
        <v>Producción / Consumo intermedio</v>
      </c>
      <c r="E28" s="19" t="str">
        <f aca="false">+VLOOKUP($B28,transacciones!$A$1:$I$39,4,FALSE())</f>
        <v>Producción</v>
      </c>
      <c r="F28" s="19" t="n">
        <f aca="false">+VLOOKUP(B28,transacciones!$A$2:$I$39,5,FALSE())</f>
        <v>1</v>
      </c>
      <c r="G28" s="19" t="str">
        <f aca="false">+VLOOKUP(B28,transacciones!$A$2:$I$39,6,FALSE())</f>
        <v>P1</v>
      </c>
      <c r="H28" s="37" t="str">
        <f aca="false">+VLOOKUP(B28,transacciones!$A$1:$I$39,7,FALSE())</f>
        <v>Producción</v>
      </c>
      <c r="I28" s="37" t="s">
        <v>395</v>
      </c>
      <c r="J28" s="37" t="s">
        <v>396</v>
      </c>
      <c r="K28" s="37" t="s">
        <v>372</v>
      </c>
      <c r="L28" s="37" t="str">
        <f aca="false">+VLOOKUP(K28,'Correl CIIU'!$A$1:$F$26,2,FALSE())</f>
        <v>Industrias manufactureras</v>
      </c>
      <c r="M28" s="37" t="str">
        <f aca="false">+VLOOKUP(K28,'Correl CIIU'!$A$1:$F$26,3,FALSE())</f>
        <v>Manufacturas</v>
      </c>
      <c r="N28" s="37" t="str">
        <f aca="false">+VLOOKUP(K28,'Correl CIIU'!$A$1:$F$26,4,FALSE())</f>
        <v>Manufacturing</v>
      </c>
      <c r="O28" s="37" t="n">
        <v>1</v>
      </c>
      <c r="P28" s="49" t="str">
        <f aca="false">+VLOOKUP(O28,bio!$A$2:$B$4,2,FALSE())</f>
        <v>Bioeconomía</v>
      </c>
    </row>
    <row r="29" customFormat="false" ht="15" hidden="false" customHeight="false" outlineLevel="0" collapsed="false">
      <c r="A29" s="0" t="s">
        <v>397</v>
      </c>
      <c r="B29" s="48" t="s">
        <v>337</v>
      </c>
      <c r="C29" s="19" t="str">
        <f aca="false">+VLOOKUP(B29,transacciones!$A$1:$I$39,2,FALSE())</f>
        <v>ATC01</v>
      </c>
      <c r="D29" s="19" t="str">
        <f aca="false">+VLOOKUP(B29,transacciones!$A$1:$I$39,3,FALSE())</f>
        <v>Producción / Consumo intermedio</v>
      </c>
      <c r="E29" s="19" t="str">
        <f aca="false">+VLOOKUP($B29,transacciones!$A$1:$I$39,4,FALSE())</f>
        <v>Producción</v>
      </c>
      <c r="F29" s="19" t="n">
        <f aca="false">+VLOOKUP(B29,transacciones!$A$2:$I$39,5,FALSE())</f>
        <v>1</v>
      </c>
      <c r="G29" s="19" t="str">
        <f aca="false">+VLOOKUP(B29,transacciones!$A$2:$I$39,6,FALSE())</f>
        <v>P1</v>
      </c>
      <c r="H29" s="37" t="str">
        <f aca="false">+VLOOKUP(B29,transacciones!$A$1:$I$39,7,FALSE())</f>
        <v>Producción</v>
      </c>
      <c r="I29" s="37" t="s">
        <v>398</v>
      </c>
      <c r="J29" s="37" t="s">
        <v>399</v>
      </c>
      <c r="K29" s="37" t="s">
        <v>372</v>
      </c>
      <c r="L29" s="37" t="str">
        <f aca="false">+VLOOKUP(K29,'Correl CIIU'!$A$1:$F$26,2,FALSE())</f>
        <v>Industrias manufactureras</v>
      </c>
      <c r="M29" s="37" t="str">
        <f aca="false">+VLOOKUP(K29,'Correl CIIU'!$A$1:$F$26,3,FALSE())</f>
        <v>Manufacturas</v>
      </c>
      <c r="N29" s="37" t="str">
        <f aca="false">+VLOOKUP(K29,'Correl CIIU'!$A$1:$F$26,4,FALSE())</f>
        <v>Manufacturing</v>
      </c>
      <c r="O29" s="37" t="n">
        <v>2</v>
      </c>
      <c r="P29" s="49" t="str">
        <f aca="false">+VLOOKUP(O29,bio!$A$2:$B$4,2,FALSE())</f>
        <v>Bioeconomía extendida</v>
      </c>
    </row>
    <row r="30" customFormat="false" ht="15" hidden="false" customHeight="false" outlineLevel="0" collapsed="false">
      <c r="A30" s="0" t="s">
        <v>400</v>
      </c>
      <c r="B30" s="48" t="s">
        <v>337</v>
      </c>
      <c r="C30" s="19" t="str">
        <f aca="false">+VLOOKUP(B30,transacciones!$A$1:$I$39,2,FALSE())</f>
        <v>ATC01</v>
      </c>
      <c r="D30" s="19" t="str">
        <f aca="false">+VLOOKUP(B30,transacciones!$A$1:$I$39,3,FALSE())</f>
        <v>Producción / Consumo intermedio</v>
      </c>
      <c r="E30" s="19" t="str">
        <f aca="false">+VLOOKUP($B30,transacciones!$A$1:$I$39,4,FALSE())</f>
        <v>Producción</v>
      </c>
      <c r="F30" s="19" t="n">
        <f aca="false">+VLOOKUP(B30,transacciones!$A$2:$I$39,5,FALSE())</f>
        <v>1</v>
      </c>
      <c r="G30" s="19" t="str">
        <f aca="false">+VLOOKUP(B30,transacciones!$A$2:$I$39,6,FALSE())</f>
        <v>P1</v>
      </c>
      <c r="H30" s="37" t="str">
        <f aca="false">+VLOOKUP(B30,transacciones!$A$1:$I$39,7,FALSE())</f>
        <v>Producción</v>
      </c>
      <c r="I30" s="37" t="s">
        <v>401</v>
      </c>
      <c r="J30" s="37" t="s">
        <v>402</v>
      </c>
      <c r="K30" s="37" t="s">
        <v>372</v>
      </c>
      <c r="L30" s="37" t="str">
        <f aca="false">+VLOOKUP(K30,'Correl CIIU'!$A$1:$F$26,2,FALSE())</f>
        <v>Industrias manufactureras</v>
      </c>
      <c r="M30" s="37" t="str">
        <f aca="false">+VLOOKUP(K30,'Correl CIIU'!$A$1:$F$26,3,FALSE())</f>
        <v>Manufacturas</v>
      </c>
      <c r="N30" s="37" t="str">
        <f aca="false">+VLOOKUP(K30,'Correl CIIU'!$A$1:$F$26,4,FALSE())</f>
        <v>Manufacturing</v>
      </c>
      <c r="O30" s="37" t="n">
        <v>2</v>
      </c>
      <c r="P30" s="49" t="str">
        <f aca="false">+VLOOKUP(O30,bio!$A$2:$B$4,2,FALSE())</f>
        <v>Bioeconomía extendida</v>
      </c>
    </row>
    <row r="31" customFormat="false" ht="15" hidden="false" customHeight="false" outlineLevel="0" collapsed="false">
      <c r="A31" s="0" t="s">
        <v>403</v>
      </c>
      <c r="B31" s="48" t="s">
        <v>337</v>
      </c>
      <c r="C31" s="19" t="str">
        <f aca="false">+VLOOKUP(B31,transacciones!$A$1:$I$39,2,FALSE())</f>
        <v>ATC01</v>
      </c>
      <c r="D31" s="19" t="str">
        <f aca="false">+VLOOKUP(B31,transacciones!$A$1:$I$39,3,FALSE())</f>
        <v>Producción / Consumo intermedio</v>
      </c>
      <c r="E31" s="19" t="str">
        <f aca="false">+VLOOKUP($B31,transacciones!$A$1:$I$39,4,FALSE())</f>
        <v>Producción</v>
      </c>
      <c r="F31" s="19" t="n">
        <f aca="false">+VLOOKUP(B31,transacciones!$A$2:$I$39,5,FALSE())</f>
        <v>1</v>
      </c>
      <c r="G31" s="19" t="str">
        <f aca="false">+VLOOKUP(B31,transacciones!$A$2:$I$39,6,FALSE())</f>
        <v>P1</v>
      </c>
      <c r="H31" s="37" t="str">
        <f aca="false">+VLOOKUP(B31,transacciones!$A$1:$I$39,7,FALSE())</f>
        <v>Producción</v>
      </c>
      <c r="I31" s="37" t="s">
        <v>404</v>
      </c>
      <c r="J31" s="37" t="s">
        <v>405</v>
      </c>
      <c r="K31" s="37" t="s">
        <v>372</v>
      </c>
      <c r="L31" s="37" t="str">
        <f aca="false">+VLOOKUP(K31,'Correl CIIU'!$A$1:$F$26,2,FALSE())</f>
        <v>Industrias manufactureras</v>
      </c>
      <c r="M31" s="37" t="str">
        <f aca="false">+VLOOKUP(K31,'Correl CIIU'!$A$1:$F$26,3,FALSE())</f>
        <v>Manufacturas</v>
      </c>
      <c r="N31" s="37" t="str">
        <f aca="false">+VLOOKUP(K31,'Correl CIIU'!$A$1:$F$26,4,FALSE())</f>
        <v>Manufacturing</v>
      </c>
      <c r="O31" s="37" t="n">
        <v>2</v>
      </c>
      <c r="P31" s="49" t="str">
        <f aca="false">+VLOOKUP(O31,bio!$A$2:$B$4,2,FALSE())</f>
        <v>Bioeconomía extendida</v>
      </c>
    </row>
    <row r="32" customFormat="false" ht="15" hidden="false" customHeight="false" outlineLevel="0" collapsed="false">
      <c r="A32" s="0" t="s">
        <v>406</v>
      </c>
      <c r="B32" s="48" t="s">
        <v>337</v>
      </c>
      <c r="C32" s="19" t="str">
        <f aca="false">+VLOOKUP(B32,transacciones!$A$1:$I$39,2,FALSE())</f>
        <v>ATC01</v>
      </c>
      <c r="D32" s="19" t="str">
        <f aca="false">+VLOOKUP(B32,transacciones!$A$1:$I$39,3,FALSE())</f>
        <v>Producción / Consumo intermedio</v>
      </c>
      <c r="E32" s="19" t="str">
        <f aca="false">+VLOOKUP($B32,transacciones!$A$1:$I$39,4,FALSE())</f>
        <v>Producción</v>
      </c>
      <c r="F32" s="19" t="n">
        <f aca="false">+VLOOKUP(B32,transacciones!$A$2:$I$39,5,FALSE())</f>
        <v>1</v>
      </c>
      <c r="G32" s="19" t="str">
        <f aca="false">+VLOOKUP(B32,transacciones!$A$2:$I$39,6,FALSE())</f>
        <v>P1</v>
      </c>
      <c r="H32" s="37" t="str">
        <f aca="false">+VLOOKUP(B32,transacciones!$A$1:$I$39,7,FALSE())</f>
        <v>Producción</v>
      </c>
      <c r="I32" s="37" t="s">
        <v>407</v>
      </c>
      <c r="J32" s="37" t="s">
        <v>408</v>
      </c>
      <c r="K32" s="37" t="s">
        <v>372</v>
      </c>
      <c r="L32" s="37" t="str">
        <f aca="false">+VLOOKUP(K32,'Correl CIIU'!$A$1:$F$26,2,FALSE())</f>
        <v>Industrias manufactureras</v>
      </c>
      <c r="M32" s="37" t="str">
        <f aca="false">+VLOOKUP(K32,'Correl CIIU'!$A$1:$F$26,3,FALSE())</f>
        <v>Manufacturas</v>
      </c>
      <c r="N32" s="37" t="str">
        <f aca="false">+VLOOKUP(K32,'Correl CIIU'!$A$1:$F$26,4,FALSE())</f>
        <v>Manufacturing</v>
      </c>
      <c r="O32" s="37" t="n">
        <v>2</v>
      </c>
      <c r="P32" s="49" t="str">
        <f aca="false">+VLOOKUP(O32,bio!$A$2:$B$4,2,FALSE())</f>
        <v>Bioeconomía extendida</v>
      </c>
    </row>
    <row r="33" customFormat="false" ht="15" hidden="false" customHeight="false" outlineLevel="0" collapsed="false">
      <c r="A33" s="0" t="s">
        <v>409</v>
      </c>
      <c r="B33" s="48" t="s">
        <v>337</v>
      </c>
      <c r="C33" s="19" t="str">
        <f aca="false">+VLOOKUP(B33,transacciones!$A$1:$I$39,2,FALSE())</f>
        <v>ATC01</v>
      </c>
      <c r="D33" s="19" t="str">
        <f aca="false">+VLOOKUP(B33,transacciones!$A$1:$I$39,3,FALSE())</f>
        <v>Producción / Consumo intermedio</v>
      </c>
      <c r="E33" s="19" t="str">
        <f aca="false">+VLOOKUP($B33,transacciones!$A$1:$I$39,4,FALSE())</f>
        <v>Producción</v>
      </c>
      <c r="F33" s="19" t="n">
        <f aca="false">+VLOOKUP(B33,transacciones!$A$2:$I$39,5,FALSE())</f>
        <v>1</v>
      </c>
      <c r="G33" s="19" t="str">
        <f aca="false">+VLOOKUP(B33,transacciones!$A$2:$I$39,6,FALSE())</f>
        <v>P1</v>
      </c>
      <c r="H33" s="37" t="str">
        <f aca="false">+VLOOKUP(B33,transacciones!$A$1:$I$39,7,FALSE())</f>
        <v>Producción</v>
      </c>
      <c r="I33" s="37" t="s">
        <v>410</v>
      </c>
      <c r="J33" s="37" t="s">
        <v>411</v>
      </c>
      <c r="K33" s="37" t="s">
        <v>372</v>
      </c>
      <c r="L33" s="37" t="str">
        <f aca="false">+VLOOKUP(K33,'Correl CIIU'!$A$1:$F$26,2,FALSE())</f>
        <v>Industrias manufactureras</v>
      </c>
      <c r="M33" s="37" t="str">
        <f aca="false">+VLOOKUP(K33,'Correl CIIU'!$A$1:$F$26,3,FALSE())</f>
        <v>Manufacturas</v>
      </c>
      <c r="N33" s="37" t="str">
        <f aca="false">+VLOOKUP(K33,'Correl CIIU'!$A$1:$F$26,4,FALSE())</f>
        <v>Manufacturing</v>
      </c>
      <c r="O33" s="37" t="n">
        <v>3</v>
      </c>
      <c r="P33" s="49" t="str">
        <f aca="false">+VLOOKUP(O33,bio!$A$2:$B$4,2,FALSE())</f>
        <v>No bioeconomía</v>
      </c>
    </row>
    <row r="34" customFormat="false" ht="15" hidden="false" customHeight="false" outlineLevel="0" collapsed="false">
      <c r="A34" s="0" t="s">
        <v>412</v>
      </c>
      <c r="B34" s="48" t="s">
        <v>337</v>
      </c>
      <c r="C34" s="19" t="str">
        <f aca="false">+VLOOKUP(B34,transacciones!$A$1:$I$39,2,FALSE())</f>
        <v>ATC01</v>
      </c>
      <c r="D34" s="19" t="str">
        <f aca="false">+VLOOKUP(B34,transacciones!$A$1:$I$39,3,FALSE())</f>
        <v>Producción / Consumo intermedio</v>
      </c>
      <c r="E34" s="19" t="str">
        <f aca="false">+VLOOKUP($B34,transacciones!$A$1:$I$39,4,FALSE())</f>
        <v>Producción</v>
      </c>
      <c r="F34" s="19" t="n">
        <f aca="false">+VLOOKUP(B34,transacciones!$A$2:$I$39,5,FALSE())</f>
        <v>1</v>
      </c>
      <c r="G34" s="19" t="str">
        <f aca="false">+VLOOKUP(B34,transacciones!$A$2:$I$39,6,FALSE())</f>
        <v>P1</v>
      </c>
      <c r="H34" s="37" t="str">
        <f aca="false">+VLOOKUP(B34,transacciones!$A$1:$I$39,7,FALSE())</f>
        <v>Producción</v>
      </c>
      <c r="I34" s="37" t="s">
        <v>413</v>
      </c>
      <c r="J34" s="37" t="s">
        <v>414</v>
      </c>
      <c r="K34" s="37" t="s">
        <v>372</v>
      </c>
      <c r="L34" s="37" t="str">
        <f aca="false">+VLOOKUP(K34,'Correl CIIU'!$A$1:$F$26,2,FALSE())</f>
        <v>Industrias manufactureras</v>
      </c>
      <c r="M34" s="37" t="str">
        <f aca="false">+VLOOKUP(K34,'Correl CIIU'!$A$1:$F$26,3,FALSE())</f>
        <v>Manufacturas</v>
      </c>
      <c r="N34" s="37" t="str">
        <f aca="false">+VLOOKUP(K34,'Correl CIIU'!$A$1:$F$26,4,FALSE())</f>
        <v>Manufacturing</v>
      </c>
      <c r="O34" s="37" t="n">
        <v>3</v>
      </c>
      <c r="P34" s="49" t="str">
        <f aca="false">+VLOOKUP(O34,bio!$A$2:$B$4,2,FALSE())</f>
        <v>No bioeconomía</v>
      </c>
    </row>
    <row r="35" customFormat="false" ht="15" hidden="false" customHeight="false" outlineLevel="0" collapsed="false">
      <c r="A35" s="0" t="s">
        <v>415</v>
      </c>
      <c r="B35" s="48" t="s">
        <v>337</v>
      </c>
      <c r="C35" s="19" t="str">
        <f aca="false">+VLOOKUP(B35,transacciones!$A$1:$I$39,2,FALSE())</f>
        <v>ATC01</v>
      </c>
      <c r="D35" s="19" t="str">
        <f aca="false">+VLOOKUP(B35,transacciones!$A$1:$I$39,3,FALSE())</f>
        <v>Producción / Consumo intermedio</v>
      </c>
      <c r="E35" s="19" t="str">
        <f aca="false">+VLOOKUP($B35,transacciones!$A$1:$I$39,4,FALSE())</f>
        <v>Producción</v>
      </c>
      <c r="F35" s="19" t="n">
        <f aca="false">+VLOOKUP(B35,transacciones!$A$2:$I$39,5,FALSE())</f>
        <v>1</v>
      </c>
      <c r="G35" s="19" t="str">
        <f aca="false">+VLOOKUP(B35,transacciones!$A$2:$I$39,6,FALSE())</f>
        <v>P1</v>
      </c>
      <c r="H35" s="37" t="str">
        <f aca="false">+VLOOKUP(B35,transacciones!$A$1:$I$39,7,FALSE())</f>
        <v>Producción</v>
      </c>
      <c r="I35" s="37" t="s">
        <v>416</v>
      </c>
      <c r="J35" s="37" t="s">
        <v>417</v>
      </c>
      <c r="K35" s="37" t="s">
        <v>372</v>
      </c>
      <c r="L35" s="37" t="str">
        <f aca="false">+VLOOKUP(K35,'Correl CIIU'!$A$1:$F$26,2,FALSE())</f>
        <v>Industrias manufactureras</v>
      </c>
      <c r="M35" s="37" t="str">
        <f aca="false">+VLOOKUP(K35,'Correl CIIU'!$A$1:$F$26,3,FALSE())</f>
        <v>Manufacturas</v>
      </c>
      <c r="N35" s="37" t="str">
        <f aca="false">+VLOOKUP(K35,'Correl CIIU'!$A$1:$F$26,4,FALSE())</f>
        <v>Manufacturing</v>
      </c>
      <c r="O35" s="37" t="n">
        <v>2</v>
      </c>
      <c r="P35" s="49" t="str">
        <f aca="false">+VLOOKUP(O35,bio!$A$2:$B$4,2,FALSE())</f>
        <v>Bioeconomía extendida</v>
      </c>
    </row>
    <row r="36" customFormat="false" ht="15" hidden="false" customHeight="false" outlineLevel="0" collapsed="false">
      <c r="A36" s="0" t="s">
        <v>418</v>
      </c>
      <c r="B36" s="48" t="s">
        <v>337</v>
      </c>
      <c r="C36" s="19" t="str">
        <f aca="false">+VLOOKUP(B36,transacciones!$A$1:$I$39,2,FALSE())</f>
        <v>ATC01</v>
      </c>
      <c r="D36" s="19" t="str">
        <f aca="false">+VLOOKUP(B36,transacciones!$A$1:$I$39,3,FALSE())</f>
        <v>Producción / Consumo intermedio</v>
      </c>
      <c r="E36" s="19" t="str">
        <f aca="false">+VLOOKUP($B36,transacciones!$A$1:$I$39,4,FALSE())</f>
        <v>Producción</v>
      </c>
      <c r="F36" s="19" t="n">
        <f aca="false">+VLOOKUP(B36,transacciones!$A$2:$I$39,5,FALSE())</f>
        <v>1</v>
      </c>
      <c r="G36" s="19" t="str">
        <f aca="false">+VLOOKUP(B36,transacciones!$A$2:$I$39,6,FALSE())</f>
        <v>P1</v>
      </c>
      <c r="H36" s="37" t="str">
        <f aca="false">+VLOOKUP(B36,transacciones!$A$1:$I$39,7,FALSE())</f>
        <v>Producción</v>
      </c>
      <c r="I36" s="37" t="s">
        <v>419</v>
      </c>
      <c r="J36" s="37" t="s">
        <v>420</v>
      </c>
      <c r="K36" s="37" t="s">
        <v>372</v>
      </c>
      <c r="L36" s="37" t="str">
        <f aca="false">+VLOOKUP(K36,'Correl CIIU'!$A$1:$F$26,2,FALSE())</f>
        <v>Industrias manufactureras</v>
      </c>
      <c r="M36" s="37" t="str">
        <f aca="false">+VLOOKUP(K36,'Correl CIIU'!$A$1:$F$26,3,FALSE())</f>
        <v>Manufacturas</v>
      </c>
      <c r="N36" s="37" t="str">
        <f aca="false">+VLOOKUP(K36,'Correl CIIU'!$A$1:$F$26,4,FALSE())</f>
        <v>Manufacturing</v>
      </c>
      <c r="O36" s="37" t="n">
        <v>3</v>
      </c>
      <c r="P36" s="49" t="str">
        <f aca="false">+VLOOKUP(O36,bio!$A$2:$B$4,2,FALSE())</f>
        <v>No bioeconomía</v>
      </c>
    </row>
    <row r="37" customFormat="false" ht="15" hidden="false" customHeight="false" outlineLevel="0" collapsed="false">
      <c r="A37" s="0" t="s">
        <v>421</v>
      </c>
      <c r="B37" s="48" t="s">
        <v>337</v>
      </c>
      <c r="C37" s="19" t="str">
        <f aca="false">+VLOOKUP(B37,transacciones!$A$1:$I$39,2,FALSE())</f>
        <v>ATC01</v>
      </c>
      <c r="D37" s="19" t="str">
        <f aca="false">+VLOOKUP(B37,transacciones!$A$1:$I$39,3,FALSE())</f>
        <v>Producción / Consumo intermedio</v>
      </c>
      <c r="E37" s="19" t="str">
        <f aca="false">+VLOOKUP($B37,transacciones!$A$1:$I$39,4,FALSE())</f>
        <v>Producción</v>
      </c>
      <c r="F37" s="19" t="n">
        <f aca="false">+VLOOKUP(B37,transacciones!$A$2:$I$39,5,FALSE())</f>
        <v>1</v>
      </c>
      <c r="G37" s="19" t="str">
        <f aca="false">+VLOOKUP(B37,transacciones!$A$2:$I$39,6,FALSE())</f>
        <v>P1</v>
      </c>
      <c r="H37" s="37" t="str">
        <f aca="false">+VLOOKUP(B37,transacciones!$A$1:$I$39,7,FALSE())</f>
        <v>Producción</v>
      </c>
      <c r="I37" s="37" t="s">
        <v>422</v>
      </c>
      <c r="J37" s="37" t="s">
        <v>423</v>
      </c>
      <c r="K37" s="37" t="s">
        <v>372</v>
      </c>
      <c r="L37" s="37" t="str">
        <f aca="false">+VLOOKUP(K37,'Correl CIIU'!$A$1:$F$26,2,FALSE())</f>
        <v>Industrias manufactureras</v>
      </c>
      <c r="M37" s="37" t="str">
        <f aca="false">+VLOOKUP(K37,'Correl CIIU'!$A$1:$F$26,3,FALSE())</f>
        <v>Manufacturas</v>
      </c>
      <c r="N37" s="37" t="str">
        <f aca="false">+VLOOKUP(K37,'Correl CIIU'!$A$1:$F$26,4,FALSE())</f>
        <v>Manufacturing</v>
      </c>
      <c r="O37" s="37" t="n">
        <v>3</v>
      </c>
      <c r="P37" s="49" t="str">
        <f aca="false">+VLOOKUP(O37,bio!$A$2:$B$4,2,FALSE())</f>
        <v>No bioeconomía</v>
      </c>
    </row>
    <row r="38" customFormat="false" ht="15" hidden="false" customHeight="false" outlineLevel="0" collapsed="false">
      <c r="A38" s="0" t="s">
        <v>424</v>
      </c>
      <c r="B38" s="48" t="s">
        <v>337</v>
      </c>
      <c r="C38" s="19" t="str">
        <f aca="false">+VLOOKUP(B38,transacciones!$A$1:$I$39,2,FALSE())</f>
        <v>ATC01</v>
      </c>
      <c r="D38" s="19" t="str">
        <f aca="false">+VLOOKUP(B38,transacciones!$A$1:$I$39,3,FALSE())</f>
        <v>Producción / Consumo intermedio</v>
      </c>
      <c r="E38" s="19" t="str">
        <f aca="false">+VLOOKUP($B38,transacciones!$A$1:$I$39,4,FALSE())</f>
        <v>Producción</v>
      </c>
      <c r="F38" s="19" t="n">
        <f aca="false">+VLOOKUP(B38,transacciones!$A$2:$I$39,5,FALSE())</f>
        <v>1</v>
      </c>
      <c r="G38" s="19" t="str">
        <f aca="false">+VLOOKUP(B38,transacciones!$A$2:$I$39,6,FALSE())</f>
        <v>P1</v>
      </c>
      <c r="H38" s="37" t="str">
        <f aca="false">+VLOOKUP(B38,transacciones!$A$1:$I$39,7,FALSE())</f>
        <v>Producción</v>
      </c>
      <c r="I38" s="37" t="s">
        <v>425</v>
      </c>
      <c r="J38" s="37" t="s">
        <v>426</v>
      </c>
      <c r="K38" s="37" t="s">
        <v>372</v>
      </c>
      <c r="L38" s="37" t="str">
        <f aca="false">+VLOOKUP(K38,'Correl CIIU'!$A$1:$F$26,2,FALSE())</f>
        <v>Industrias manufactureras</v>
      </c>
      <c r="M38" s="37" t="str">
        <f aca="false">+VLOOKUP(K38,'Correl CIIU'!$A$1:$F$26,3,FALSE())</f>
        <v>Manufacturas</v>
      </c>
      <c r="N38" s="37" t="str">
        <f aca="false">+VLOOKUP(K38,'Correl CIIU'!$A$1:$F$26,4,FALSE())</f>
        <v>Manufacturing</v>
      </c>
      <c r="O38" s="37" t="n">
        <v>3</v>
      </c>
      <c r="P38" s="49" t="str">
        <f aca="false">+VLOOKUP(O38,bio!$A$2:$B$4,2,FALSE())</f>
        <v>No bioeconomía</v>
      </c>
    </row>
    <row r="39" customFormat="false" ht="15" hidden="false" customHeight="false" outlineLevel="0" collapsed="false">
      <c r="A39" s="0" t="s">
        <v>427</v>
      </c>
      <c r="B39" s="48" t="s">
        <v>337</v>
      </c>
      <c r="C39" s="19" t="str">
        <f aca="false">+VLOOKUP(B39,transacciones!$A$1:$I$39,2,FALSE())</f>
        <v>ATC01</v>
      </c>
      <c r="D39" s="19" t="str">
        <f aca="false">+VLOOKUP(B39,transacciones!$A$1:$I$39,3,FALSE())</f>
        <v>Producción / Consumo intermedio</v>
      </c>
      <c r="E39" s="19" t="str">
        <f aca="false">+VLOOKUP($B39,transacciones!$A$1:$I$39,4,FALSE())</f>
        <v>Producción</v>
      </c>
      <c r="F39" s="19" t="n">
        <f aca="false">+VLOOKUP(B39,transacciones!$A$2:$I$39,5,FALSE())</f>
        <v>1</v>
      </c>
      <c r="G39" s="19" t="str">
        <f aca="false">+VLOOKUP(B39,transacciones!$A$2:$I$39,6,FALSE())</f>
        <v>P1</v>
      </c>
      <c r="H39" s="37" t="str">
        <f aca="false">+VLOOKUP(B39,transacciones!$A$1:$I$39,7,FALSE())</f>
        <v>Producción</v>
      </c>
      <c r="I39" s="37" t="s">
        <v>428</v>
      </c>
      <c r="J39" s="37" t="s">
        <v>429</v>
      </c>
      <c r="K39" s="37" t="s">
        <v>372</v>
      </c>
      <c r="L39" s="37" t="str">
        <f aca="false">+VLOOKUP(K39,'Correl CIIU'!$A$1:$F$26,2,FALSE())</f>
        <v>Industrias manufactureras</v>
      </c>
      <c r="M39" s="37" t="str">
        <f aca="false">+VLOOKUP(K39,'Correl CIIU'!$A$1:$F$26,3,FALSE())</f>
        <v>Manufacturas</v>
      </c>
      <c r="N39" s="37" t="str">
        <f aca="false">+VLOOKUP(K39,'Correl CIIU'!$A$1:$F$26,4,FALSE())</f>
        <v>Manufacturing</v>
      </c>
      <c r="O39" s="37" t="n">
        <v>3</v>
      </c>
      <c r="P39" s="49" t="str">
        <f aca="false">+VLOOKUP(O39,bio!$A$2:$B$4,2,FALSE())</f>
        <v>No bioeconomía</v>
      </c>
    </row>
    <row r="40" customFormat="false" ht="15" hidden="false" customHeight="false" outlineLevel="0" collapsed="false">
      <c r="A40" s="0" t="s">
        <v>430</v>
      </c>
      <c r="B40" s="48" t="s">
        <v>337</v>
      </c>
      <c r="C40" s="19" t="str">
        <f aca="false">+VLOOKUP(B40,transacciones!$A$1:$I$39,2,FALSE())</f>
        <v>ATC01</v>
      </c>
      <c r="D40" s="19" t="str">
        <f aca="false">+VLOOKUP(B40,transacciones!$A$1:$I$39,3,FALSE())</f>
        <v>Producción / Consumo intermedio</v>
      </c>
      <c r="E40" s="19" t="str">
        <f aca="false">+VLOOKUP($B40,transacciones!$A$1:$I$39,4,FALSE())</f>
        <v>Producción</v>
      </c>
      <c r="F40" s="19" t="n">
        <f aca="false">+VLOOKUP(B40,transacciones!$A$2:$I$39,5,FALSE())</f>
        <v>1</v>
      </c>
      <c r="G40" s="19" t="str">
        <f aca="false">+VLOOKUP(B40,transacciones!$A$2:$I$39,6,FALSE())</f>
        <v>P1</v>
      </c>
      <c r="H40" s="37" t="str">
        <f aca="false">+VLOOKUP(B40,transacciones!$A$1:$I$39,7,FALSE())</f>
        <v>Producción</v>
      </c>
      <c r="I40" s="37" t="s">
        <v>431</v>
      </c>
      <c r="J40" s="37" t="s">
        <v>432</v>
      </c>
      <c r="K40" s="37" t="s">
        <v>372</v>
      </c>
      <c r="L40" s="37" t="str">
        <f aca="false">+VLOOKUP(K40,'Correl CIIU'!$A$1:$F$26,2,FALSE())</f>
        <v>Industrias manufactureras</v>
      </c>
      <c r="M40" s="37" t="str">
        <f aca="false">+VLOOKUP(K40,'Correl CIIU'!$A$1:$F$26,3,FALSE())</f>
        <v>Manufacturas</v>
      </c>
      <c r="N40" s="37" t="str">
        <f aca="false">+VLOOKUP(K40,'Correl CIIU'!$A$1:$F$26,4,FALSE())</f>
        <v>Manufacturing</v>
      </c>
      <c r="O40" s="37" t="n">
        <v>3</v>
      </c>
      <c r="P40" s="49" t="str">
        <f aca="false">+VLOOKUP(O40,bio!$A$2:$B$4,2,FALSE())</f>
        <v>No bioeconomía</v>
      </c>
    </row>
    <row r="41" customFormat="false" ht="15" hidden="false" customHeight="false" outlineLevel="0" collapsed="false">
      <c r="A41" s="0" t="s">
        <v>433</v>
      </c>
      <c r="B41" s="48" t="s">
        <v>337</v>
      </c>
      <c r="C41" s="19" t="str">
        <f aca="false">+VLOOKUP(B41,transacciones!$A$1:$I$39,2,FALSE())</f>
        <v>ATC01</v>
      </c>
      <c r="D41" s="19" t="str">
        <f aca="false">+VLOOKUP(B41,transacciones!$A$1:$I$39,3,FALSE())</f>
        <v>Producción / Consumo intermedio</v>
      </c>
      <c r="E41" s="19" t="str">
        <f aca="false">+VLOOKUP($B41,transacciones!$A$1:$I$39,4,FALSE())</f>
        <v>Producción</v>
      </c>
      <c r="F41" s="19" t="n">
        <f aca="false">+VLOOKUP(B41,transacciones!$A$2:$I$39,5,FALSE())</f>
        <v>1</v>
      </c>
      <c r="G41" s="19" t="str">
        <f aca="false">+VLOOKUP(B41,transacciones!$A$2:$I$39,6,FALSE())</f>
        <v>P1</v>
      </c>
      <c r="H41" s="37" t="str">
        <f aca="false">+VLOOKUP(B41,transacciones!$A$1:$I$39,7,FALSE())</f>
        <v>Producción</v>
      </c>
      <c r="I41" s="37" t="s">
        <v>434</v>
      </c>
      <c r="J41" s="37" t="s">
        <v>435</v>
      </c>
      <c r="K41" s="37" t="s">
        <v>372</v>
      </c>
      <c r="L41" s="37" t="str">
        <f aca="false">+VLOOKUP(K41,'Correl CIIU'!$A$1:$F$26,2,FALSE())</f>
        <v>Industrias manufactureras</v>
      </c>
      <c r="M41" s="37" t="str">
        <f aca="false">+VLOOKUP(K41,'Correl CIIU'!$A$1:$F$26,3,FALSE())</f>
        <v>Manufacturas</v>
      </c>
      <c r="N41" s="37" t="str">
        <f aca="false">+VLOOKUP(K41,'Correl CIIU'!$A$1:$F$26,4,FALSE())</f>
        <v>Manufacturing</v>
      </c>
      <c r="O41" s="37" t="n">
        <v>3</v>
      </c>
      <c r="P41" s="49" t="str">
        <f aca="false">+VLOOKUP(O41,bio!$A$2:$B$4,2,FALSE())</f>
        <v>No bioeconomía</v>
      </c>
    </row>
    <row r="42" customFormat="false" ht="15" hidden="false" customHeight="false" outlineLevel="0" collapsed="false">
      <c r="A42" s="0" t="s">
        <v>436</v>
      </c>
      <c r="B42" s="48" t="s">
        <v>337</v>
      </c>
      <c r="C42" s="19" t="str">
        <f aca="false">+VLOOKUP(B42,transacciones!$A$1:$I$39,2,FALSE())</f>
        <v>ATC01</v>
      </c>
      <c r="D42" s="19" t="str">
        <f aca="false">+VLOOKUP(B42,transacciones!$A$1:$I$39,3,FALSE())</f>
        <v>Producción / Consumo intermedio</v>
      </c>
      <c r="E42" s="19" t="str">
        <f aca="false">+VLOOKUP($B42,transacciones!$A$1:$I$39,4,FALSE())</f>
        <v>Producción</v>
      </c>
      <c r="F42" s="19" t="n">
        <f aca="false">+VLOOKUP(B42,transacciones!$A$2:$I$39,5,FALSE())</f>
        <v>1</v>
      </c>
      <c r="G42" s="19" t="str">
        <f aca="false">+VLOOKUP(B42,transacciones!$A$2:$I$39,6,FALSE())</f>
        <v>P1</v>
      </c>
      <c r="H42" s="37" t="str">
        <f aca="false">+VLOOKUP(B42,transacciones!$A$1:$I$39,7,FALSE())</f>
        <v>Producción</v>
      </c>
      <c r="I42" s="37" t="s">
        <v>437</v>
      </c>
      <c r="J42" s="37" t="s">
        <v>438</v>
      </c>
      <c r="K42" s="37" t="s">
        <v>372</v>
      </c>
      <c r="L42" s="37" t="str">
        <f aca="false">+VLOOKUP(K42,'Correl CIIU'!$A$1:$F$26,2,FALSE())</f>
        <v>Industrias manufactureras</v>
      </c>
      <c r="M42" s="37" t="str">
        <f aca="false">+VLOOKUP(K42,'Correl CIIU'!$A$1:$F$26,3,FALSE())</f>
        <v>Manufacturas</v>
      </c>
      <c r="N42" s="37" t="str">
        <f aca="false">+VLOOKUP(K42,'Correl CIIU'!$A$1:$F$26,4,FALSE())</f>
        <v>Manufacturing</v>
      </c>
      <c r="O42" s="37" t="n">
        <v>3</v>
      </c>
      <c r="P42" s="49" t="str">
        <f aca="false">+VLOOKUP(O42,bio!$A$2:$B$4,2,FALSE())</f>
        <v>No bioeconomía</v>
      </c>
    </row>
    <row r="43" customFormat="false" ht="15" hidden="false" customHeight="false" outlineLevel="0" collapsed="false">
      <c r="A43" s="0" t="s">
        <v>439</v>
      </c>
      <c r="B43" s="48" t="s">
        <v>337</v>
      </c>
      <c r="C43" s="19" t="str">
        <f aca="false">+VLOOKUP(B43,transacciones!$A$1:$I$39,2,FALSE())</f>
        <v>ATC01</v>
      </c>
      <c r="D43" s="19" t="str">
        <f aca="false">+VLOOKUP(B43,transacciones!$A$1:$I$39,3,FALSE())</f>
        <v>Producción / Consumo intermedio</v>
      </c>
      <c r="E43" s="19" t="str">
        <f aca="false">+VLOOKUP($B43,transacciones!$A$1:$I$39,4,FALSE())</f>
        <v>Producción</v>
      </c>
      <c r="F43" s="19" t="n">
        <f aca="false">+VLOOKUP(B43,transacciones!$A$2:$I$39,5,FALSE())</f>
        <v>1</v>
      </c>
      <c r="G43" s="19" t="str">
        <f aca="false">+VLOOKUP(B43,transacciones!$A$2:$I$39,6,FALSE())</f>
        <v>P1</v>
      </c>
      <c r="H43" s="37" t="str">
        <f aca="false">+VLOOKUP(B43,transacciones!$A$1:$I$39,7,FALSE())</f>
        <v>Producción</v>
      </c>
      <c r="I43" s="37" t="s">
        <v>440</v>
      </c>
      <c r="J43" s="37" t="s">
        <v>441</v>
      </c>
      <c r="K43" s="37" t="s">
        <v>372</v>
      </c>
      <c r="L43" s="37" t="str">
        <f aca="false">+VLOOKUP(K43,'Correl CIIU'!$A$1:$F$26,2,FALSE())</f>
        <v>Industrias manufactureras</v>
      </c>
      <c r="M43" s="37" t="str">
        <f aca="false">+VLOOKUP(K43,'Correl CIIU'!$A$1:$F$26,3,FALSE())</f>
        <v>Manufacturas</v>
      </c>
      <c r="N43" s="37" t="str">
        <f aca="false">+VLOOKUP(K43,'Correl CIIU'!$A$1:$F$26,4,FALSE())</f>
        <v>Manufacturing</v>
      </c>
      <c r="O43" s="37" t="n">
        <v>3</v>
      </c>
      <c r="P43" s="49" t="str">
        <f aca="false">+VLOOKUP(O43,bio!$A$2:$B$4,2,FALSE())</f>
        <v>No bioeconomía</v>
      </c>
    </row>
    <row r="44" customFormat="false" ht="15" hidden="false" customHeight="false" outlineLevel="0" collapsed="false">
      <c r="A44" s="0" t="s">
        <v>442</v>
      </c>
      <c r="B44" s="48" t="s">
        <v>337</v>
      </c>
      <c r="C44" s="19" t="str">
        <f aca="false">+VLOOKUP(B44,transacciones!$A$1:$I$39,2,FALSE())</f>
        <v>ATC01</v>
      </c>
      <c r="D44" s="19" t="str">
        <f aca="false">+VLOOKUP(B44,transacciones!$A$1:$I$39,3,FALSE())</f>
        <v>Producción / Consumo intermedio</v>
      </c>
      <c r="E44" s="19" t="str">
        <f aca="false">+VLOOKUP($B44,transacciones!$A$1:$I$39,4,FALSE())</f>
        <v>Producción</v>
      </c>
      <c r="F44" s="19" t="n">
        <f aca="false">+VLOOKUP(B44,transacciones!$A$2:$I$39,5,FALSE())</f>
        <v>1</v>
      </c>
      <c r="G44" s="19" t="str">
        <f aca="false">+VLOOKUP(B44,transacciones!$A$2:$I$39,6,FALSE())</f>
        <v>P1</v>
      </c>
      <c r="H44" s="37" t="str">
        <f aca="false">+VLOOKUP(B44,transacciones!$A$1:$I$39,7,FALSE())</f>
        <v>Producción</v>
      </c>
      <c r="I44" s="37" t="s">
        <v>443</v>
      </c>
      <c r="J44" s="37" t="s">
        <v>444</v>
      </c>
      <c r="K44" s="37" t="s">
        <v>445</v>
      </c>
      <c r="L44" s="37" t="str">
        <f aca="false">+VLOOKUP(K44,'Correl CIIU'!$A$1:$F$26,2,FALSE())</f>
        <v>Suministro de electricidad, gas, vapor y aire acondicionado</v>
      </c>
      <c r="M44" s="37" t="str">
        <f aca="false">+VLOOKUP(K44,'Correl CIIU'!$A$1:$F$26,3,FALSE())</f>
        <v>Servicios básicos</v>
      </c>
      <c r="N44" s="37" t="str">
        <f aca="false">+VLOOKUP(K44,'Correl CIIU'!$A$1:$F$26,4,FALSE())</f>
        <v>Electricity, gas, steam and air conditioning supply</v>
      </c>
      <c r="O44" s="37" t="n">
        <v>3</v>
      </c>
      <c r="P44" s="49" t="str">
        <f aca="false">+VLOOKUP(O44,bio!$A$2:$B$4,2,FALSE())</f>
        <v>No bioeconomía</v>
      </c>
    </row>
    <row r="45" customFormat="false" ht="15" hidden="false" customHeight="false" outlineLevel="0" collapsed="false">
      <c r="A45" s="0" t="s">
        <v>446</v>
      </c>
      <c r="B45" s="48" t="s">
        <v>337</v>
      </c>
      <c r="C45" s="19" t="str">
        <f aca="false">+VLOOKUP(B45,transacciones!$A$1:$I$39,2,FALSE())</f>
        <v>ATC01</v>
      </c>
      <c r="D45" s="19" t="str">
        <f aca="false">+VLOOKUP(B45,transacciones!$A$1:$I$39,3,FALSE())</f>
        <v>Producción / Consumo intermedio</v>
      </c>
      <c r="E45" s="19" t="str">
        <f aca="false">+VLOOKUP($B45,transacciones!$A$1:$I$39,4,FALSE())</f>
        <v>Producción</v>
      </c>
      <c r="F45" s="19" t="n">
        <f aca="false">+VLOOKUP(B45,transacciones!$A$2:$I$39,5,FALSE())</f>
        <v>1</v>
      </c>
      <c r="G45" s="19" t="str">
        <f aca="false">+VLOOKUP(B45,transacciones!$A$2:$I$39,6,FALSE())</f>
        <v>P1</v>
      </c>
      <c r="H45" s="37" t="str">
        <f aca="false">+VLOOKUP(B45,transacciones!$A$1:$I$39,7,FALSE())</f>
        <v>Producción</v>
      </c>
      <c r="I45" s="37" t="s">
        <v>447</v>
      </c>
      <c r="J45" s="37" t="s">
        <v>448</v>
      </c>
      <c r="K45" s="37" t="s">
        <v>445</v>
      </c>
      <c r="L45" s="37" t="str">
        <f aca="false">+VLOOKUP(K45,'Correl CIIU'!$A$1:$F$26,2,FALSE())</f>
        <v>Suministro de electricidad, gas, vapor y aire acondicionado</v>
      </c>
      <c r="M45" s="37" t="str">
        <f aca="false">+VLOOKUP(K45,'Correl CIIU'!$A$1:$F$26,3,FALSE())</f>
        <v>Servicios básicos</v>
      </c>
      <c r="N45" s="37" t="str">
        <f aca="false">+VLOOKUP(K45,'Correl CIIU'!$A$1:$F$26,4,FALSE())</f>
        <v>Electricity, gas, steam and air conditioning supply</v>
      </c>
      <c r="O45" s="37" t="n">
        <v>3</v>
      </c>
      <c r="P45" s="49" t="str">
        <f aca="false">+VLOOKUP(O45,bio!$A$2:$B$4,2,FALSE())</f>
        <v>No bioeconomía</v>
      </c>
    </row>
    <row r="46" customFormat="false" ht="15" hidden="false" customHeight="false" outlineLevel="0" collapsed="false">
      <c r="A46" s="0" t="s">
        <v>449</v>
      </c>
      <c r="B46" s="48" t="s">
        <v>337</v>
      </c>
      <c r="C46" s="19" t="str">
        <f aca="false">+VLOOKUP(B46,transacciones!$A$1:$I$39,2,FALSE())</f>
        <v>ATC01</v>
      </c>
      <c r="D46" s="19" t="str">
        <f aca="false">+VLOOKUP(B46,transacciones!$A$1:$I$39,3,FALSE())</f>
        <v>Producción / Consumo intermedio</v>
      </c>
      <c r="E46" s="19" t="str">
        <f aca="false">+VLOOKUP($B46,transacciones!$A$1:$I$39,4,FALSE())</f>
        <v>Producción</v>
      </c>
      <c r="F46" s="19" t="n">
        <f aca="false">+VLOOKUP(B46,transacciones!$A$2:$I$39,5,FALSE())</f>
        <v>1</v>
      </c>
      <c r="G46" s="19" t="str">
        <f aca="false">+VLOOKUP(B46,transacciones!$A$2:$I$39,6,FALSE())</f>
        <v>P1</v>
      </c>
      <c r="H46" s="37" t="str">
        <f aca="false">+VLOOKUP(B46,transacciones!$A$1:$I$39,7,FALSE())</f>
        <v>Producción</v>
      </c>
      <c r="I46" s="37" t="s">
        <v>450</v>
      </c>
      <c r="J46" s="37" t="s">
        <v>451</v>
      </c>
      <c r="K46" s="37" t="s">
        <v>452</v>
      </c>
      <c r="L46" s="37" t="str">
        <f aca="false">+VLOOKUP(K46,'Correl CIIU'!$A$1:$F$26,2,FALSE())</f>
        <v>Suministro de agua; evacuación de aguas residuales, gestión de desechos y descontaminación</v>
      </c>
      <c r="M46" s="37" t="str">
        <f aca="false">+VLOOKUP(K46,'Correl CIIU'!$A$1:$F$26,3,FALSE())</f>
        <v>Suministro de agua</v>
      </c>
      <c r="N46" s="37" t="str">
        <f aca="false">+VLOOKUP(K46,'Correl CIIU'!$A$1:$F$26,4,FALSE())</f>
        <v>Water supply; sewerage, waste management and remediation activities</v>
      </c>
      <c r="O46" s="37" t="n">
        <v>3</v>
      </c>
      <c r="P46" s="49" t="str">
        <f aca="false">+VLOOKUP(O46,bio!$A$2:$B$4,2,FALSE())</f>
        <v>No bioeconomía</v>
      </c>
    </row>
    <row r="47" customFormat="false" ht="15" hidden="false" customHeight="false" outlineLevel="0" collapsed="false">
      <c r="A47" s="0" t="s">
        <v>453</v>
      </c>
      <c r="B47" s="48" t="s">
        <v>337</v>
      </c>
      <c r="C47" s="19" t="str">
        <f aca="false">+VLOOKUP(B47,transacciones!$A$1:$I$39,2,FALSE())</f>
        <v>ATC01</v>
      </c>
      <c r="D47" s="19" t="str">
        <f aca="false">+VLOOKUP(B47,transacciones!$A$1:$I$39,3,FALSE())</f>
        <v>Producción / Consumo intermedio</v>
      </c>
      <c r="E47" s="19" t="str">
        <f aca="false">+VLOOKUP($B47,transacciones!$A$1:$I$39,4,FALSE())</f>
        <v>Producción</v>
      </c>
      <c r="F47" s="19" t="n">
        <f aca="false">+VLOOKUP(B47,transacciones!$A$2:$I$39,5,FALSE())</f>
        <v>1</v>
      </c>
      <c r="G47" s="19" t="str">
        <f aca="false">+VLOOKUP(B47,transacciones!$A$2:$I$39,6,FALSE())</f>
        <v>P1</v>
      </c>
      <c r="H47" s="37" t="str">
        <f aca="false">+VLOOKUP(B47,transacciones!$A$1:$I$39,7,FALSE())</f>
        <v>Producción</v>
      </c>
      <c r="I47" s="37" t="s">
        <v>454</v>
      </c>
      <c r="J47" s="37" t="s">
        <v>455</v>
      </c>
      <c r="K47" s="37" t="s">
        <v>452</v>
      </c>
      <c r="L47" s="37" t="str">
        <f aca="false">+VLOOKUP(K47,'Correl CIIU'!$A$1:$F$26,2,FALSE())</f>
        <v>Suministro de agua; evacuación de aguas residuales, gestión de desechos y descontaminación</v>
      </c>
      <c r="M47" s="37" t="str">
        <f aca="false">+VLOOKUP(K47,'Correl CIIU'!$A$1:$F$26,3,FALSE())</f>
        <v>Suministro de agua</v>
      </c>
      <c r="N47" s="37" t="str">
        <f aca="false">+VLOOKUP(K47,'Correl CIIU'!$A$1:$F$26,4,FALSE())</f>
        <v>Water supply; sewerage, waste management and remediation activities</v>
      </c>
      <c r="O47" s="37" t="n">
        <v>3</v>
      </c>
      <c r="P47" s="49" t="str">
        <f aca="false">+VLOOKUP(O47,bio!$A$2:$B$4,2,FALSE())</f>
        <v>No bioeconomía</v>
      </c>
    </row>
    <row r="48" customFormat="false" ht="15" hidden="false" customHeight="false" outlineLevel="0" collapsed="false">
      <c r="A48" s="0" t="s">
        <v>456</v>
      </c>
      <c r="B48" s="48" t="s">
        <v>337</v>
      </c>
      <c r="C48" s="19" t="str">
        <f aca="false">+VLOOKUP(B48,transacciones!$A$1:$I$39,2,FALSE())</f>
        <v>ATC01</v>
      </c>
      <c r="D48" s="19" t="str">
        <f aca="false">+VLOOKUP(B48,transacciones!$A$1:$I$39,3,FALSE())</f>
        <v>Producción / Consumo intermedio</v>
      </c>
      <c r="E48" s="19" t="str">
        <f aca="false">+VLOOKUP($B48,transacciones!$A$1:$I$39,4,FALSE())</f>
        <v>Producción</v>
      </c>
      <c r="F48" s="19" t="n">
        <f aca="false">+VLOOKUP(B48,transacciones!$A$2:$I$39,5,FALSE())</f>
        <v>1</v>
      </c>
      <c r="G48" s="19" t="str">
        <f aca="false">+VLOOKUP(B48,transacciones!$A$2:$I$39,6,FALSE())</f>
        <v>P1</v>
      </c>
      <c r="H48" s="37" t="str">
        <f aca="false">+VLOOKUP(B48,transacciones!$A$1:$I$39,7,FALSE())</f>
        <v>Producción</v>
      </c>
      <c r="I48" s="37" t="s">
        <v>457</v>
      </c>
      <c r="J48" s="37" t="s">
        <v>458</v>
      </c>
      <c r="K48" s="37" t="s">
        <v>452</v>
      </c>
      <c r="L48" s="37" t="str">
        <f aca="false">+VLOOKUP(K48,'Correl CIIU'!$A$1:$F$26,2,FALSE())</f>
        <v>Suministro de agua; evacuación de aguas residuales, gestión de desechos y descontaminación</v>
      </c>
      <c r="M48" s="37" t="str">
        <f aca="false">+VLOOKUP(K48,'Correl CIIU'!$A$1:$F$26,3,FALSE())</f>
        <v>Suministro de agua</v>
      </c>
      <c r="N48" s="37" t="str">
        <f aca="false">+VLOOKUP(K48,'Correl CIIU'!$A$1:$F$26,4,FALSE())</f>
        <v>Water supply; sewerage, waste management and remediation activities</v>
      </c>
      <c r="O48" s="37" t="n">
        <v>3</v>
      </c>
      <c r="P48" s="49" t="str">
        <f aca="false">+VLOOKUP(O48,bio!$A$2:$B$4,2,FALSE())</f>
        <v>No bioeconomía</v>
      </c>
    </row>
    <row r="49" customFormat="false" ht="15" hidden="false" customHeight="false" outlineLevel="0" collapsed="false">
      <c r="A49" s="0" t="s">
        <v>459</v>
      </c>
      <c r="B49" s="48" t="s">
        <v>337</v>
      </c>
      <c r="C49" s="19" t="str">
        <f aca="false">+VLOOKUP(B49,transacciones!$A$1:$I$39,2,FALSE())</f>
        <v>ATC01</v>
      </c>
      <c r="D49" s="19" t="str">
        <f aca="false">+VLOOKUP(B49,transacciones!$A$1:$I$39,3,FALSE())</f>
        <v>Producción / Consumo intermedio</v>
      </c>
      <c r="E49" s="19" t="str">
        <f aca="false">+VLOOKUP($B49,transacciones!$A$1:$I$39,4,FALSE())</f>
        <v>Producción</v>
      </c>
      <c r="F49" s="19" t="n">
        <f aca="false">+VLOOKUP(B49,transacciones!$A$2:$I$39,5,FALSE())</f>
        <v>1</v>
      </c>
      <c r="G49" s="19" t="str">
        <f aca="false">+VLOOKUP(B49,transacciones!$A$2:$I$39,6,FALSE())</f>
        <v>P1</v>
      </c>
      <c r="H49" s="37" t="str">
        <f aca="false">+VLOOKUP(B49,transacciones!$A$1:$I$39,7,FALSE())</f>
        <v>Producción</v>
      </c>
      <c r="I49" s="37" t="s">
        <v>460</v>
      </c>
      <c r="J49" s="37" t="s">
        <v>461</v>
      </c>
      <c r="K49" s="37" t="s">
        <v>462</v>
      </c>
      <c r="L49" s="37" t="str">
        <f aca="false">+VLOOKUP(K49,'Correl CIIU'!$A$1:$F$26,2,FALSE())</f>
        <v>Construcción</v>
      </c>
      <c r="M49" s="37" t="str">
        <f aca="false">+VLOOKUP(K49,'Correl CIIU'!$A$1:$F$26,3,FALSE())</f>
        <v>Construcción</v>
      </c>
      <c r="N49" s="37" t="str">
        <f aca="false">+VLOOKUP(K49,'Correl CIIU'!$A$1:$F$26,4,FALSE())</f>
        <v>Construction</v>
      </c>
      <c r="O49" s="37" t="n">
        <v>3</v>
      </c>
      <c r="P49" s="49" t="str">
        <f aca="false">+VLOOKUP(O49,bio!$A$2:$B$4,2,FALSE())</f>
        <v>No bioeconomía</v>
      </c>
    </row>
    <row r="50" customFormat="false" ht="15" hidden="false" customHeight="false" outlineLevel="0" collapsed="false">
      <c r="A50" s="0" t="s">
        <v>463</v>
      </c>
      <c r="B50" s="48" t="s">
        <v>337</v>
      </c>
      <c r="C50" s="19" t="str">
        <f aca="false">+VLOOKUP(B50,transacciones!$A$1:$I$39,2,FALSE())</f>
        <v>ATC01</v>
      </c>
      <c r="D50" s="19" t="str">
        <f aca="false">+VLOOKUP(B50,transacciones!$A$1:$I$39,3,FALSE())</f>
        <v>Producción / Consumo intermedio</v>
      </c>
      <c r="E50" s="19" t="str">
        <f aca="false">+VLOOKUP($B50,transacciones!$A$1:$I$39,4,FALSE())</f>
        <v>Producción</v>
      </c>
      <c r="F50" s="19" t="n">
        <f aca="false">+VLOOKUP(B50,transacciones!$A$2:$I$39,5,FALSE())</f>
        <v>1</v>
      </c>
      <c r="G50" s="19" t="str">
        <f aca="false">+VLOOKUP(B50,transacciones!$A$2:$I$39,6,FALSE())</f>
        <v>P1</v>
      </c>
      <c r="H50" s="37" t="str">
        <f aca="false">+VLOOKUP(B50,transacciones!$A$1:$I$39,7,FALSE())</f>
        <v>Producción</v>
      </c>
      <c r="I50" s="37" t="s">
        <v>464</v>
      </c>
      <c r="J50" s="37" t="s">
        <v>465</v>
      </c>
      <c r="K50" s="37" t="s">
        <v>462</v>
      </c>
      <c r="L50" s="37" t="str">
        <f aca="false">+VLOOKUP(K50,'Correl CIIU'!$A$1:$F$26,2,FALSE())</f>
        <v>Construcción</v>
      </c>
      <c r="M50" s="37" t="str">
        <f aca="false">+VLOOKUP(K50,'Correl CIIU'!$A$1:$F$26,3,FALSE())</f>
        <v>Construcción</v>
      </c>
      <c r="N50" s="37" t="str">
        <f aca="false">+VLOOKUP(K50,'Correl CIIU'!$A$1:$F$26,4,FALSE())</f>
        <v>Construction</v>
      </c>
      <c r="O50" s="37" t="n">
        <v>3</v>
      </c>
      <c r="P50" s="49" t="str">
        <f aca="false">+VLOOKUP(O50,bio!$A$2:$B$4,2,FALSE())</f>
        <v>No bioeconomía</v>
      </c>
    </row>
    <row r="51" customFormat="false" ht="15" hidden="false" customHeight="false" outlineLevel="0" collapsed="false">
      <c r="A51" s="0" t="s">
        <v>466</v>
      </c>
      <c r="B51" s="48" t="s">
        <v>337</v>
      </c>
      <c r="C51" s="19" t="str">
        <f aca="false">+VLOOKUP(B51,transacciones!$A$1:$I$39,2,FALSE())</f>
        <v>ATC01</v>
      </c>
      <c r="D51" s="19" t="str">
        <f aca="false">+VLOOKUP(B51,transacciones!$A$1:$I$39,3,FALSE())</f>
        <v>Producción / Consumo intermedio</v>
      </c>
      <c r="E51" s="19" t="str">
        <f aca="false">+VLOOKUP($B51,transacciones!$A$1:$I$39,4,FALSE())</f>
        <v>Producción</v>
      </c>
      <c r="F51" s="19" t="n">
        <f aca="false">+VLOOKUP(B51,transacciones!$A$2:$I$39,5,FALSE())</f>
        <v>1</v>
      </c>
      <c r="G51" s="19" t="str">
        <f aca="false">+VLOOKUP(B51,transacciones!$A$2:$I$39,6,FALSE())</f>
        <v>P1</v>
      </c>
      <c r="H51" s="37" t="str">
        <f aca="false">+VLOOKUP(B51,transacciones!$A$1:$I$39,7,FALSE())</f>
        <v>Producción</v>
      </c>
      <c r="I51" s="37" t="s">
        <v>467</v>
      </c>
      <c r="J51" s="37" t="s">
        <v>468</v>
      </c>
      <c r="K51" s="37" t="s">
        <v>462</v>
      </c>
      <c r="L51" s="37" t="str">
        <f aca="false">+VLOOKUP(K51,'Correl CIIU'!$A$1:$F$26,2,FALSE())</f>
        <v>Construcción</v>
      </c>
      <c r="M51" s="37" t="str">
        <f aca="false">+VLOOKUP(K51,'Correl CIIU'!$A$1:$F$26,3,FALSE())</f>
        <v>Construcción</v>
      </c>
      <c r="N51" s="37" t="str">
        <f aca="false">+VLOOKUP(K51,'Correl CIIU'!$A$1:$F$26,4,FALSE())</f>
        <v>Construction</v>
      </c>
      <c r="O51" s="37" t="n">
        <v>3</v>
      </c>
      <c r="P51" s="49" t="str">
        <f aca="false">+VLOOKUP(O51,bio!$A$2:$B$4,2,FALSE())</f>
        <v>No bioeconomía</v>
      </c>
    </row>
    <row r="52" customFormat="false" ht="15" hidden="false" customHeight="false" outlineLevel="0" collapsed="false">
      <c r="A52" s="0" t="s">
        <v>469</v>
      </c>
      <c r="B52" s="48" t="s">
        <v>337</v>
      </c>
      <c r="C52" s="19" t="str">
        <f aca="false">+VLOOKUP(B52,transacciones!$A$1:$I$39,2,FALSE())</f>
        <v>ATC01</v>
      </c>
      <c r="D52" s="19" t="str">
        <f aca="false">+VLOOKUP(B52,transacciones!$A$1:$I$39,3,FALSE())</f>
        <v>Producción / Consumo intermedio</v>
      </c>
      <c r="E52" s="19" t="str">
        <f aca="false">+VLOOKUP($B52,transacciones!$A$1:$I$39,4,FALSE())</f>
        <v>Producción</v>
      </c>
      <c r="F52" s="19" t="n">
        <f aca="false">+VLOOKUP(B52,transacciones!$A$2:$I$39,5,FALSE())</f>
        <v>1</v>
      </c>
      <c r="G52" s="19" t="str">
        <f aca="false">+VLOOKUP(B52,transacciones!$A$2:$I$39,6,FALSE())</f>
        <v>P1</v>
      </c>
      <c r="H52" s="37" t="str">
        <f aca="false">+VLOOKUP(B52,transacciones!$A$1:$I$39,7,FALSE())</f>
        <v>Producción</v>
      </c>
      <c r="I52" s="37" t="s">
        <v>470</v>
      </c>
      <c r="J52" s="37" t="s">
        <v>471</v>
      </c>
      <c r="K52" s="37" t="s">
        <v>472</v>
      </c>
      <c r="L52" s="37" t="str">
        <f aca="false">+VLOOKUP(K52,'Correl CIIU'!$A$1:$F$26,2,FALSE())</f>
        <v>Comercio al por mayor y al por menor; reparación de vehículos automotores y motocicletas</v>
      </c>
      <c r="M52" s="37" t="str">
        <f aca="false">+VLOOKUP(K52,'Correl CIIU'!$A$1:$F$26,3,FALSE())</f>
        <v>Comercio</v>
      </c>
      <c r="N52" s="37" t="str">
        <f aca="false">+VLOOKUP(K52,'Correl CIIU'!$A$1:$F$26,4,FALSE())</f>
        <v>Wholesale and retail trade; repair of motor vehicles and motorcycles</v>
      </c>
      <c r="O52" s="37" t="n">
        <v>3</v>
      </c>
      <c r="P52" s="49" t="str">
        <f aca="false">+VLOOKUP(O52,bio!$A$2:$B$4,2,FALSE())</f>
        <v>No bioeconomía</v>
      </c>
    </row>
    <row r="53" customFormat="false" ht="15" hidden="false" customHeight="false" outlineLevel="0" collapsed="false">
      <c r="A53" s="0" t="s">
        <v>473</v>
      </c>
      <c r="B53" s="48" t="s">
        <v>337</v>
      </c>
      <c r="C53" s="19" t="str">
        <f aca="false">+VLOOKUP(B53,transacciones!$A$1:$I$39,2,FALSE())</f>
        <v>ATC01</v>
      </c>
      <c r="D53" s="19" t="str">
        <f aca="false">+VLOOKUP(B53,transacciones!$A$1:$I$39,3,FALSE())</f>
        <v>Producción / Consumo intermedio</v>
      </c>
      <c r="E53" s="19" t="str">
        <f aca="false">+VLOOKUP($B53,transacciones!$A$1:$I$39,4,FALSE())</f>
        <v>Producción</v>
      </c>
      <c r="F53" s="19" t="n">
        <f aca="false">+VLOOKUP(B53,transacciones!$A$2:$I$39,5,FALSE())</f>
        <v>1</v>
      </c>
      <c r="G53" s="19" t="str">
        <f aca="false">+VLOOKUP(B53,transacciones!$A$2:$I$39,6,FALSE())</f>
        <v>P1</v>
      </c>
      <c r="H53" s="37" t="str">
        <f aca="false">+VLOOKUP(B53,transacciones!$A$1:$I$39,7,FALSE())</f>
        <v>Producción</v>
      </c>
      <c r="I53" s="37" t="s">
        <v>474</v>
      </c>
      <c r="J53" s="37" t="s">
        <v>475</v>
      </c>
      <c r="K53" s="37" t="s">
        <v>472</v>
      </c>
      <c r="L53" s="37" t="str">
        <f aca="false">+VLOOKUP(K53,'Correl CIIU'!$A$1:$F$26,2,FALSE())</f>
        <v>Comercio al por mayor y al por menor; reparación de vehículos automotores y motocicletas</v>
      </c>
      <c r="M53" s="37" t="str">
        <f aca="false">+VLOOKUP(K53,'Correl CIIU'!$A$1:$F$26,3,FALSE())</f>
        <v>Comercio</v>
      </c>
      <c r="N53" s="37" t="str">
        <f aca="false">+VLOOKUP(K53,'Correl CIIU'!$A$1:$F$26,4,FALSE())</f>
        <v>Wholesale and retail trade; repair of motor vehicles and motorcycles</v>
      </c>
      <c r="O53" s="37" t="n">
        <v>3</v>
      </c>
      <c r="P53" s="49" t="str">
        <f aca="false">+VLOOKUP(O53,bio!$A$2:$B$4,2,FALSE())</f>
        <v>No bioeconomía</v>
      </c>
    </row>
    <row r="54" customFormat="false" ht="15" hidden="false" customHeight="false" outlineLevel="0" collapsed="false">
      <c r="A54" s="0" t="s">
        <v>476</v>
      </c>
      <c r="B54" s="48" t="s">
        <v>337</v>
      </c>
      <c r="C54" s="19" t="str">
        <f aca="false">+VLOOKUP(B54,transacciones!$A$1:$I$39,2,FALSE())</f>
        <v>ATC01</v>
      </c>
      <c r="D54" s="19" t="str">
        <f aca="false">+VLOOKUP(B54,transacciones!$A$1:$I$39,3,FALSE())</f>
        <v>Producción / Consumo intermedio</v>
      </c>
      <c r="E54" s="19" t="str">
        <f aca="false">+VLOOKUP($B54,transacciones!$A$1:$I$39,4,FALSE())</f>
        <v>Producción</v>
      </c>
      <c r="F54" s="19" t="n">
        <f aca="false">+VLOOKUP(B54,transacciones!$A$2:$I$39,5,FALSE())</f>
        <v>1</v>
      </c>
      <c r="G54" s="19" t="str">
        <f aca="false">+VLOOKUP(B54,transacciones!$A$2:$I$39,6,FALSE())</f>
        <v>P1</v>
      </c>
      <c r="H54" s="37" t="str">
        <f aca="false">+VLOOKUP(B54,transacciones!$A$1:$I$39,7,FALSE())</f>
        <v>Producción</v>
      </c>
      <c r="I54" s="37" t="s">
        <v>477</v>
      </c>
      <c r="J54" s="37" t="s">
        <v>478</v>
      </c>
      <c r="K54" s="37" t="s">
        <v>479</v>
      </c>
      <c r="L54" s="37" t="str">
        <f aca="false">+VLOOKUP(K54,'Correl CIIU'!$A$1:$F$26,2,FALSE())</f>
        <v>Transporte y almacenamiento</v>
      </c>
      <c r="M54" s="37" t="str">
        <f aca="false">+VLOOKUP(K54,'Correl CIIU'!$A$1:$F$26,3,FALSE())</f>
        <v>Transporte y almacenamiento</v>
      </c>
      <c r="N54" s="37" t="str">
        <f aca="false">+VLOOKUP(K54,'Correl CIIU'!$A$1:$F$26,4,FALSE())</f>
        <v>Transportation and storage</v>
      </c>
      <c r="O54" s="37" t="n">
        <v>3</v>
      </c>
      <c r="P54" s="49" t="str">
        <f aca="false">+VLOOKUP(O54,bio!$A$2:$B$4,2,FALSE())</f>
        <v>No bioeconomía</v>
      </c>
    </row>
    <row r="55" customFormat="false" ht="15" hidden="false" customHeight="false" outlineLevel="0" collapsed="false">
      <c r="A55" s="0" t="s">
        <v>480</v>
      </c>
      <c r="B55" s="48" t="s">
        <v>337</v>
      </c>
      <c r="C55" s="19" t="str">
        <f aca="false">+VLOOKUP(B55,transacciones!$A$1:$I$39,2,FALSE())</f>
        <v>ATC01</v>
      </c>
      <c r="D55" s="19" t="str">
        <f aca="false">+VLOOKUP(B55,transacciones!$A$1:$I$39,3,FALSE())</f>
        <v>Producción / Consumo intermedio</v>
      </c>
      <c r="E55" s="19" t="str">
        <f aca="false">+VLOOKUP($B55,transacciones!$A$1:$I$39,4,FALSE())</f>
        <v>Producción</v>
      </c>
      <c r="F55" s="19" t="n">
        <f aca="false">+VLOOKUP(B55,transacciones!$A$2:$I$39,5,FALSE())</f>
        <v>1</v>
      </c>
      <c r="G55" s="19" t="str">
        <f aca="false">+VLOOKUP(B55,transacciones!$A$2:$I$39,6,FALSE())</f>
        <v>P1</v>
      </c>
      <c r="H55" s="37" t="str">
        <f aca="false">+VLOOKUP(B55,transacciones!$A$1:$I$39,7,FALSE())</f>
        <v>Producción</v>
      </c>
      <c r="I55" s="37" t="s">
        <v>481</v>
      </c>
      <c r="J55" s="37" t="s">
        <v>482</v>
      </c>
      <c r="K55" s="37" t="s">
        <v>479</v>
      </c>
      <c r="L55" s="37" t="str">
        <f aca="false">+VLOOKUP(K55,'Correl CIIU'!$A$1:$F$26,2,FALSE())</f>
        <v>Transporte y almacenamiento</v>
      </c>
      <c r="M55" s="37" t="str">
        <f aca="false">+VLOOKUP(K55,'Correl CIIU'!$A$1:$F$26,3,FALSE())</f>
        <v>Transporte y almacenamiento</v>
      </c>
      <c r="N55" s="37" t="str">
        <f aca="false">+VLOOKUP(K55,'Correl CIIU'!$A$1:$F$26,4,FALSE())</f>
        <v>Transportation and storage</v>
      </c>
      <c r="O55" s="37" t="n">
        <v>3</v>
      </c>
      <c r="P55" s="49" t="str">
        <f aca="false">+VLOOKUP(O55,bio!$A$2:$B$4,2,FALSE())</f>
        <v>No bioeconomía</v>
      </c>
    </row>
    <row r="56" customFormat="false" ht="15" hidden="false" customHeight="false" outlineLevel="0" collapsed="false">
      <c r="A56" s="0" t="s">
        <v>483</v>
      </c>
      <c r="B56" s="48" t="s">
        <v>337</v>
      </c>
      <c r="C56" s="19" t="str">
        <f aca="false">+VLOOKUP(B56,transacciones!$A$1:$I$39,2,FALSE())</f>
        <v>ATC01</v>
      </c>
      <c r="D56" s="19" t="str">
        <f aca="false">+VLOOKUP(B56,transacciones!$A$1:$I$39,3,FALSE())</f>
        <v>Producción / Consumo intermedio</v>
      </c>
      <c r="E56" s="19" t="str">
        <f aca="false">+VLOOKUP($B56,transacciones!$A$1:$I$39,4,FALSE())</f>
        <v>Producción</v>
      </c>
      <c r="F56" s="19" t="n">
        <f aca="false">+VLOOKUP(B56,transacciones!$A$2:$I$39,5,FALSE())</f>
        <v>1</v>
      </c>
      <c r="G56" s="19" t="str">
        <f aca="false">+VLOOKUP(B56,transacciones!$A$2:$I$39,6,FALSE())</f>
        <v>P1</v>
      </c>
      <c r="H56" s="37" t="str">
        <f aca="false">+VLOOKUP(B56,transacciones!$A$1:$I$39,7,FALSE())</f>
        <v>Producción</v>
      </c>
      <c r="I56" s="37" t="s">
        <v>484</v>
      </c>
      <c r="J56" s="37" t="s">
        <v>485</v>
      </c>
      <c r="K56" s="37" t="s">
        <v>479</v>
      </c>
      <c r="L56" s="37" t="str">
        <f aca="false">+VLOOKUP(K56,'Correl CIIU'!$A$1:$F$26,2,FALSE())</f>
        <v>Transporte y almacenamiento</v>
      </c>
      <c r="M56" s="37" t="str">
        <f aca="false">+VLOOKUP(K56,'Correl CIIU'!$A$1:$F$26,3,FALSE())</f>
        <v>Transporte y almacenamiento</v>
      </c>
      <c r="N56" s="37" t="str">
        <f aca="false">+VLOOKUP(K56,'Correl CIIU'!$A$1:$F$26,4,FALSE())</f>
        <v>Transportation and storage</v>
      </c>
      <c r="O56" s="37" t="n">
        <v>3</v>
      </c>
      <c r="P56" s="49" t="str">
        <f aca="false">+VLOOKUP(O56,bio!$A$2:$B$4,2,FALSE())</f>
        <v>No bioeconomía</v>
      </c>
    </row>
    <row r="57" customFormat="false" ht="15" hidden="false" customHeight="false" outlineLevel="0" collapsed="false">
      <c r="A57" s="0" t="s">
        <v>486</v>
      </c>
      <c r="B57" s="48" t="s">
        <v>337</v>
      </c>
      <c r="C57" s="19" t="str">
        <f aca="false">+VLOOKUP(B57,transacciones!$A$1:$I$39,2,FALSE())</f>
        <v>ATC01</v>
      </c>
      <c r="D57" s="19" t="str">
        <f aca="false">+VLOOKUP(B57,transacciones!$A$1:$I$39,3,FALSE())</f>
        <v>Producción / Consumo intermedio</v>
      </c>
      <c r="E57" s="19" t="str">
        <f aca="false">+VLOOKUP($B57,transacciones!$A$1:$I$39,4,FALSE())</f>
        <v>Producción</v>
      </c>
      <c r="F57" s="19" t="n">
        <f aca="false">+VLOOKUP(B57,transacciones!$A$2:$I$39,5,FALSE())</f>
        <v>1</v>
      </c>
      <c r="G57" s="19" t="str">
        <f aca="false">+VLOOKUP(B57,transacciones!$A$2:$I$39,6,FALSE())</f>
        <v>P1</v>
      </c>
      <c r="H57" s="37" t="str">
        <f aca="false">+VLOOKUP(B57,transacciones!$A$1:$I$39,7,FALSE())</f>
        <v>Producción</v>
      </c>
      <c r="I57" s="37" t="s">
        <v>487</v>
      </c>
      <c r="J57" s="37" t="s">
        <v>488</v>
      </c>
      <c r="K57" s="37" t="s">
        <v>479</v>
      </c>
      <c r="L57" s="37" t="str">
        <f aca="false">+VLOOKUP(K57,'Correl CIIU'!$A$1:$F$26,2,FALSE())</f>
        <v>Transporte y almacenamiento</v>
      </c>
      <c r="M57" s="37" t="str">
        <f aca="false">+VLOOKUP(K57,'Correl CIIU'!$A$1:$F$26,3,FALSE())</f>
        <v>Transporte y almacenamiento</v>
      </c>
      <c r="N57" s="37" t="str">
        <f aca="false">+VLOOKUP(K57,'Correl CIIU'!$A$1:$F$26,4,FALSE())</f>
        <v>Transportation and storage</v>
      </c>
      <c r="O57" s="37" t="n">
        <v>3</v>
      </c>
      <c r="P57" s="49" t="str">
        <f aca="false">+VLOOKUP(O57,bio!$A$2:$B$4,2,FALSE())</f>
        <v>No bioeconomía</v>
      </c>
    </row>
    <row r="58" customFormat="false" ht="15" hidden="false" customHeight="false" outlineLevel="0" collapsed="false">
      <c r="A58" s="0" t="s">
        <v>489</v>
      </c>
      <c r="B58" s="48" t="s">
        <v>337</v>
      </c>
      <c r="C58" s="19" t="str">
        <f aca="false">+VLOOKUP(B58,transacciones!$A$1:$I$39,2,FALSE())</f>
        <v>ATC01</v>
      </c>
      <c r="D58" s="19" t="str">
        <f aca="false">+VLOOKUP(B58,transacciones!$A$1:$I$39,3,FALSE())</f>
        <v>Producción / Consumo intermedio</v>
      </c>
      <c r="E58" s="19" t="str">
        <f aca="false">+VLOOKUP($B58,transacciones!$A$1:$I$39,4,FALSE())</f>
        <v>Producción</v>
      </c>
      <c r="F58" s="19" t="n">
        <f aca="false">+VLOOKUP(B58,transacciones!$A$2:$I$39,5,FALSE())</f>
        <v>1</v>
      </c>
      <c r="G58" s="19" t="str">
        <f aca="false">+VLOOKUP(B58,transacciones!$A$2:$I$39,6,FALSE())</f>
        <v>P1</v>
      </c>
      <c r="H58" s="37" t="str">
        <f aca="false">+VLOOKUP(B58,transacciones!$A$1:$I$39,7,FALSE())</f>
        <v>Producción</v>
      </c>
      <c r="I58" s="37" t="s">
        <v>490</v>
      </c>
      <c r="J58" s="37" t="s">
        <v>491</v>
      </c>
      <c r="K58" s="37" t="s">
        <v>492</v>
      </c>
      <c r="L58" s="37" t="str">
        <f aca="false">+VLOOKUP(K58,'Correl CIIU'!$A$1:$F$26,2,FALSE())</f>
        <v>Información y comunicaciones</v>
      </c>
      <c r="M58" s="37" t="str">
        <f aca="false">+VLOOKUP(K58,'Correl CIIU'!$A$1:$F$26,3,FALSE())</f>
        <v>Información y comunicaciones</v>
      </c>
      <c r="N58" s="37" t="str">
        <f aca="false">+VLOOKUP(K58,'Correl CIIU'!$A$1:$F$26,4,FALSE())</f>
        <v>Information and communication</v>
      </c>
      <c r="O58" s="37" t="n">
        <v>3</v>
      </c>
      <c r="P58" s="49" t="str">
        <f aca="false">+VLOOKUP(O58,bio!$A$2:$B$4,2,FALSE())</f>
        <v>No bioeconomía</v>
      </c>
    </row>
    <row r="59" customFormat="false" ht="15" hidden="false" customHeight="false" outlineLevel="0" collapsed="false">
      <c r="A59" s="0" t="s">
        <v>493</v>
      </c>
      <c r="B59" s="48" t="s">
        <v>337</v>
      </c>
      <c r="C59" s="19" t="str">
        <f aca="false">+VLOOKUP(B59,transacciones!$A$1:$I$39,2,FALSE())</f>
        <v>ATC01</v>
      </c>
      <c r="D59" s="19" t="str">
        <f aca="false">+VLOOKUP(B59,transacciones!$A$1:$I$39,3,FALSE())</f>
        <v>Producción / Consumo intermedio</v>
      </c>
      <c r="E59" s="19" t="str">
        <f aca="false">+VLOOKUP($B59,transacciones!$A$1:$I$39,4,FALSE())</f>
        <v>Producción</v>
      </c>
      <c r="F59" s="19" t="n">
        <f aca="false">+VLOOKUP(B59,transacciones!$A$2:$I$39,5,FALSE())</f>
        <v>1</v>
      </c>
      <c r="G59" s="19" t="str">
        <f aca="false">+VLOOKUP(B59,transacciones!$A$2:$I$39,6,FALSE())</f>
        <v>P1</v>
      </c>
      <c r="H59" s="37" t="str">
        <f aca="false">+VLOOKUP(B59,transacciones!$A$1:$I$39,7,FALSE())</f>
        <v>Producción</v>
      </c>
      <c r="I59" s="37" t="s">
        <v>494</v>
      </c>
      <c r="J59" s="37" t="s">
        <v>495</v>
      </c>
      <c r="K59" s="37" t="s">
        <v>494</v>
      </c>
      <c r="L59" s="37" t="str">
        <f aca="false">+VLOOKUP(K59,'Correl CIIU'!$A$1:$F$26,2,FALSE())</f>
        <v>Actividades de alojamiento y de servicio de comidas</v>
      </c>
      <c r="M59" s="37" t="str">
        <f aca="false">+VLOOKUP(K59,'Correl CIIU'!$A$1:$F$26,3,FALSE())</f>
        <v>Alojamiento y alimentación</v>
      </c>
      <c r="N59" s="37" t="str">
        <f aca="false">+VLOOKUP(K59,'Correl CIIU'!$A$1:$F$26,4,FALSE())</f>
        <v>Accommodation and food service activities</v>
      </c>
      <c r="O59" s="37" t="n">
        <v>3</v>
      </c>
      <c r="P59" s="49" t="str">
        <f aca="false">+VLOOKUP(O59,bio!$A$2:$B$4,2,FALSE())</f>
        <v>No bioeconomía</v>
      </c>
    </row>
    <row r="60" customFormat="false" ht="15" hidden="false" customHeight="false" outlineLevel="0" collapsed="false">
      <c r="A60" s="0" t="s">
        <v>496</v>
      </c>
      <c r="B60" s="48" t="s">
        <v>337</v>
      </c>
      <c r="C60" s="19" t="str">
        <f aca="false">+VLOOKUP(B60,transacciones!$A$1:$I$39,2,FALSE())</f>
        <v>ATC01</v>
      </c>
      <c r="D60" s="19" t="str">
        <f aca="false">+VLOOKUP(B60,transacciones!$A$1:$I$39,3,FALSE())</f>
        <v>Producción / Consumo intermedio</v>
      </c>
      <c r="E60" s="19" t="str">
        <f aca="false">+VLOOKUP($B60,transacciones!$A$1:$I$39,4,FALSE())</f>
        <v>Producción</v>
      </c>
      <c r="F60" s="19" t="n">
        <f aca="false">+VLOOKUP(B60,transacciones!$A$2:$I$39,5,FALSE())</f>
        <v>1</v>
      </c>
      <c r="G60" s="19" t="str">
        <f aca="false">+VLOOKUP(B60,transacciones!$A$2:$I$39,6,FALSE())</f>
        <v>P1</v>
      </c>
      <c r="H60" s="37" t="str">
        <f aca="false">+VLOOKUP(B60,transacciones!$A$1:$I$39,7,FALSE())</f>
        <v>Producción</v>
      </c>
      <c r="I60" s="37" t="s">
        <v>492</v>
      </c>
      <c r="J60" s="37" t="s">
        <v>497</v>
      </c>
      <c r="K60" s="37" t="s">
        <v>492</v>
      </c>
      <c r="L60" s="37" t="str">
        <f aca="false">+VLOOKUP(K60,'Correl CIIU'!$A$1:$F$26,2,FALSE())</f>
        <v>Información y comunicaciones</v>
      </c>
      <c r="M60" s="37" t="str">
        <f aca="false">+VLOOKUP(K60,'Correl CIIU'!$A$1:$F$26,3,FALSE())</f>
        <v>Información y comunicaciones</v>
      </c>
      <c r="N60" s="37" t="str">
        <f aca="false">+VLOOKUP(K60,'Correl CIIU'!$A$1:$F$26,4,FALSE())</f>
        <v>Information and communication</v>
      </c>
      <c r="O60" s="37" t="n">
        <v>3</v>
      </c>
      <c r="P60" s="49" t="str">
        <f aca="false">+VLOOKUP(O60,bio!$A$2:$B$4,2,FALSE())</f>
        <v>No bioeconomía</v>
      </c>
    </row>
    <row r="61" customFormat="false" ht="15" hidden="false" customHeight="false" outlineLevel="0" collapsed="false">
      <c r="A61" s="0" t="s">
        <v>498</v>
      </c>
      <c r="B61" s="48" t="s">
        <v>337</v>
      </c>
      <c r="C61" s="19" t="str">
        <f aca="false">+VLOOKUP(B61,transacciones!$A$1:$I$39,2,FALSE())</f>
        <v>ATC01</v>
      </c>
      <c r="D61" s="19" t="str">
        <f aca="false">+VLOOKUP(B61,transacciones!$A$1:$I$39,3,FALSE())</f>
        <v>Producción / Consumo intermedio</v>
      </c>
      <c r="E61" s="19" t="str">
        <f aca="false">+VLOOKUP($B61,transacciones!$A$1:$I$39,4,FALSE())</f>
        <v>Producción</v>
      </c>
      <c r="F61" s="19" t="n">
        <f aca="false">+VLOOKUP(B61,transacciones!$A$2:$I$39,5,FALSE())</f>
        <v>1</v>
      </c>
      <c r="G61" s="19" t="str">
        <f aca="false">+VLOOKUP(B61,transacciones!$A$2:$I$39,6,FALSE())</f>
        <v>P1</v>
      </c>
      <c r="H61" s="37" t="str">
        <f aca="false">+VLOOKUP(B61,transacciones!$A$1:$I$39,7,FALSE())</f>
        <v>Producción</v>
      </c>
      <c r="I61" s="37" t="s">
        <v>499</v>
      </c>
      <c r="J61" s="37" t="s">
        <v>500</v>
      </c>
      <c r="K61" s="37" t="s">
        <v>499</v>
      </c>
      <c r="L61" s="37" t="str">
        <f aca="false">+VLOOKUP(K61,'Correl CIIU'!$A$1:$F$26,2,FALSE())</f>
        <v>Actividades financieras y de seguros</v>
      </c>
      <c r="M61" s="37" t="str">
        <f aca="false">+VLOOKUP(K61,'Correl CIIU'!$A$1:$F$26,3,FALSE())</f>
        <v>Finanzas y seguros</v>
      </c>
      <c r="N61" s="37" t="str">
        <f aca="false">+VLOOKUP(K61,'Correl CIIU'!$A$1:$F$26,4,FALSE())</f>
        <v>Financial and insurance activities</v>
      </c>
      <c r="O61" s="37" t="n">
        <v>3</v>
      </c>
      <c r="P61" s="49" t="str">
        <f aca="false">+VLOOKUP(O61,bio!$A$2:$B$4,2,FALSE())</f>
        <v>No bioeconomía</v>
      </c>
    </row>
    <row r="62" customFormat="false" ht="15" hidden="false" customHeight="false" outlineLevel="0" collapsed="false">
      <c r="A62" s="0" t="s">
        <v>501</v>
      </c>
      <c r="B62" s="48" t="s">
        <v>337</v>
      </c>
      <c r="C62" s="19" t="str">
        <f aca="false">+VLOOKUP(B62,transacciones!$A$1:$I$39,2,FALSE())</f>
        <v>ATC01</v>
      </c>
      <c r="D62" s="19" t="str">
        <f aca="false">+VLOOKUP(B62,transacciones!$A$1:$I$39,3,FALSE())</f>
        <v>Producción / Consumo intermedio</v>
      </c>
      <c r="E62" s="19" t="str">
        <f aca="false">+VLOOKUP($B62,transacciones!$A$1:$I$39,4,FALSE())</f>
        <v>Producción</v>
      </c>
      <c r="F62" s="19" t="n">
        <f aca="false">+VLOOKUP(B62,transacciones!$A$2:$I$39,5,FALSE())</f>
        <v>1</v>
      </c>
      <c r="G62" s="19" t="str">
        <f aca="false">+VLOOKUP(B62,transacciones!$A$2:$I$39,6,FALSE())</f>
        <v>P1</v>
      </c>
      <c r="H62" s="37" t="str">
        <f aca="false">+VLOOKUP(B62,transacciones!$A$1:$I$39,7,FALSE())</f>
        <v>Producción</v>
      </c>
      <c r="I62" s="37" t="s">
        <v>502</v>
      </c>
      <c r="J62" s="37" t="s">
        <v>503</v>
      </c>
      <c r="K62" s="37" t="s">
        <v>504</v>
      </c>
      <c r="L62" s="37" t="str">
        <f aca="false">+VLOOKUP(K62,'Correl CIIU'!$A$1:$F$26,2,FALSE())</f>
        <v>Actividades inmobiliarias</v>
      </c>
      <c r="M62" s="37" t="str">
        <f aca="false">+VLOOKUP(K62,'Correl CIIU'!$A$1:$F$26,3,FALSE())</f>
        <v>Inmobiliarios</v>
      </c>
      <c r="N62" s="37" t="str">
        <f aca="false">+VLOOKUP(K62,'Correl CIIU'!$A$1:$F$26,4,FALSE())</f>
        <v>Real estate activities</v>
      </c>
      <c r="O62" s="37" t="n">
        <v>3</v>
      </c>
      <c r="P62" s="49" t="str">
        <f aca="false">+VLOOKUP(O62,bio!$A$2:$B$4,2,FALSE())</f>
        <v>No bioeconomía</v>
      </c>
    </row>
    <row r="63" customFormat="false" ht="15" hidden="false" customHeight="false" outlineLevel="0" collapsed="false">
      <c r="A63" s="0" t="s">
        <v>505</v>
      </c>
      <c r="B63" s="48" t="s">
        <v>337</v>
      </c>
      <c r="C63" s="19" t="str">
        <f aca="false">+VLOOKUP(B63,transacciones!$A$1:$I$39,2,FALSE())</f>
        <v>ATC01</v>
      </c>
      <c r="D63" s="19" t="str">
        <f aca="false">+VLOOKUP(B63,transacciones!$A$1:$I$39,3,FALSE())</f>
        <v>Producción / Consumo intermedio</v>
      </c>
      <c r="E63" s="19" t="str">
        <f aca="false">+VLOOKUP($B63,transacciones!$A$1:$I$39,4,FALSE())</f>
        <v>Producción</v>
      </c>
      <c r="F63" s="19" t="n">
        <f aca="false">+VLOOKUP(B63,transacciones!$A$2:$I$39,5,FALSE())</f>
        <v>1</v>
      </c>
      <c r="G63" s="19" t="str">
        <f aca="false">+VLOOKUP(B63,transacciones!$A$2:$I$39,6,FALSE())</f>
        <v>P1</v>
      </c>
      <c r="H63" s="37" t="str">
        <f aca="false">+VLOOKUP(B63,transacciones!$A$1:$I$39,7,FALSE())</f>
        <v>Producción</v>
      </c>
      <c r="I63" s="37" t="s">
        <v>506</v>
      </c>
      <c r="J63" s="37" t="s">
        <v>507</v>
      </c>
      <c r="K63" s="37" t="s">
        <v>506</v>
      </c>
      <c r="L63" s="37" t="str">
        <f aca="false">+VLOOKUP(K63,'Correl CIIU'!$A$1:$F$26,2,FALSE())</f>
        <v>Actividades profesionales, científicas y técnicas</v>
      </c>
      <c r="M63" s="37" t="str">
        <f aca="false">+VLOOKUP(K63,'Correl CIIU'!$A$1:$F$26,3,FALSE())</f>
        <v>Servicios profesionales</v>
      </c>
      <c r="N63" s="37" t="str">
        <f aca="false">+VLOOKUP(K63,'Correl CIIU'!$A$1:$F$26,4,FALSE())</f>
        <v>Professional, scientific and technical activities</v>
      </c>
      <c r="O63" s="37" t="n">
        <v>3</v>
      </c>
      <c r="P63" s="49" t="str">
        <f aca="false">+VLOOKUP(O63,bio!$A$2:$B$4,2,FALSE())</f>
        <v>No bioeconomía</v>
      </c>
    </row>
    <row r="64" customFormat="false" ht="15" hidden="false" customHeight="false" outlineLevel="0" collapsed="false">
      <c r="A64" s="0" t="s">
        <v>508</v>
      </c>
      <c r="B64" s="48" t="s">
        <v>337</v>
      </c>
      <c r="C64" s="19" t="str">
        <f aca="false">+VLOOKUP(B64,transacciones!$A$1:$I$39,2,FALSE())</f>
        <v>ATC01</v>
      </c>
      <c r="D64" s="19" t="str">
        <f aca="false">+VLOOKUP(B64,transacciones!$A$1:$I$39,3,FALSE())</f>
        <v>Producción / Consumo intermedio</v>
      </c>
      <c r="E64" s="19" t="str">
        <f aca="false">+VLOOKUP($B64,transacciones!$A$1:$I$39,4,FALSE())</f>
        <v>Producción</v>
      </c>
      <c r="F64" s="19" t="n">
        <f aca="false">+VLOOKUP(B64,transacciones!$A$2:$I$39,5,FALSE())</f>
        <v>1</v>
      </c>
      <c r="G64" s="19" t="str">
        <f aca="false">+VLOOKUP(B64,transacciones!$A$2:$I$39,6,FALSE())</f>
        <v>P1</v>
      </c>
      <c r="H64" s="37" t="str">
        <f aca="false">+VLOOKUP(B64,transacciones!$A$1:$I$39,7,FALSE())</f>
        <v>Producción</v>
      </c>
      <c r="I64" s="37" t="s">
        <v>509</v>
      </c>
      <c r="J64" s="37" t="s">
        <v>510</v>
      </c>
      <c r="K64" s="37" t="s">
        <v>511</v>
      </c>
      <c r="L64" s="37" t="str">
        <f aca="false">+VLOOKUP(K64,'Correl CIIU'!$A$1:$F$26,2,FALSE())</f>
        <v>Actividades de servicios administrativos y de apoyo</v>
      </c>
      <c r="M64" s="37" t="str">
        <f aca="false">+VLOOKUP(K64,'Correl CIIU'!$A$1:$F$26,3,FALSE())</f>
        <v>Servicios administrativos</v>
      </c>
      <c r="N64" s="37" t="str">
        <f aca="false">+VLOOKUP(K64,'Correl CIIU'!$A$1:$F$26,4,FALSE())</f>
        <v>Administrative and support service activities</v>
      </c>
      <c r="O64" s="37" t="n">
        <v>3</v>
      </c>
      <c r="P64" s="49" t="str">
        <f aca="false">+VLOOKUP(O64,bio!$A$2:$B$4,2,FALSE())</f>
        <v>No bioeconomía</v>
      </c>
    </row>
    <row r="65" customFormat="false" ht="15" hidden="false" customHeight="false" outlineLevel="0" collapsed="false">
      <c r="A65" s="0" t="s">
        <v>512</v>
      </c>
      <c r="B65" s="48" t="s">
        <v>337</v>
      </c>
      <c r="C65" s="19" t="str">
        <f aca="false">+VLOOKUP(B65,transacciones!$A$1:$I$39,2,FALSE())</f>
        <v>ATC01</v>
      </c>
      <c r="D65" s="19" t="str">
        <f aca="false">+VLOOKUP(B65,transacciones!$A$1:$I$39,3,FALSE())</f>
        <v>Producción / Consumo intermedio</v>
      </c>
      <c r="E65" s="19" t="str">
        <f aca="false">+VLOOKUP($B65,transacciones!$A$1:$I$39,4,FALSE())</f>
        <v>Producción</v>
      </c>
      <c r="F65" s="19" t="n">
        <f aca="false">+VLOOKUP(B65,transacciones!$A$2:$I$39,5,FALSE())</f>
        <v>1</v>
      </c>
      <c r="G65" s="19" t="str">
        <f aca="false">+VLOOKUP(B65,transacciones!$A$2:$I$39,6,FALSE())</f>
        <v>P1</v>
      </c>
      <c r="H65" s="37" t="str">
        <f aca="false">+VLOOKUP(B65,transacciones!$A$1:$I$39,7,FALSE())</f>
        <v>Producción</v>
      </c>
      <c r="I65" s="37" t="s">
        <v>513</v>
      </c>
      <c r="J65" s="37" t="s">
        <v>514</v>
      </c>
      <c r="K65" s="37" t="s">
        <v>513</v>
      </c>
      <c r="L65" s="37" t="str">
        <f aca="false">+VLOOKUP(K65,'Correl CIIU'!$A$1:$F$26,2,FALSE())</f>
        <v>Administración pública y defensa; planes de seguridad social de afiliación obligatoria</v>
      </c>
      <c r="M65" s="37" t="str">
        <f aca="false">+VLOOKUP(K65,'Correl CIIU'!$A$1:$F$26,3,FALSE())</f>
        <v>Administración pública</v>
      </c>
      <c r="N65" s="37" t="str">
        <f aca="false">+VLOOKUP(K65,'Correl CIIU'!$A$1:$F$26,4,FALSE())</f>
        <v>Public administration and defence; compulsory social security</v>
      </c>
      <c r="O65" s="37" t="n">
        <v>3</v>
      </c>
      <c r="P65" s="49" t="str">
        <f aca="false">+VLOOKUP(O65,bio!$A$2:$B$4,2,FALSE())</f>
        <v>No bioeconomía</v>
      </c>
    </row>
    <row r="66" customFormat="false" ht="15" hidden="false" customHeight="false" outlineLevel="0" collapsed="false">
      <c r="A66" s="0" t="s">
        <v>515</v>
      </c>
      <c r="B66" s="48" t="s">
        <v>337</v>
      </c>
      <c r="C66" s="19" t="str">
        <f aca="false">+VLOOKUP(B66,transacciones!$A$1:$I$39,2,FALSE())</f>
        <v>ATC01</v>
      </c>
      <c r="D66" s="19" t="str">
        <f aca="false">+VLOOKUP(B66,transacciones!$A$1:$I$39,3,FALSE())</f>
        <v>Producción / Consumo intermedio</v>
      </c>
      <c r="E66" s="19" t="str">
        <f aca="false">+VLOOKUP($B66,transacciones!$A$1:$I$39,4,FALSE())</f>
        <v>Producción</v>
      </c>
      <c r="F66" s="19" t="n">
        <f aca="false">+VLOOKUP(B66,transacciones!$A$2:$I$39,5,FALSE())</f>
        <v>1</v>
      </c>
      <c r="G66" s="19" t="str">
        <f aca="false">+VLOOKUP(B66,transacciones!$A$2:$I$39,6,FALSE())</f>
        <v>P1</v>
      </c>
      <c r="H66" s="37" t="str">
        <f aca="false">+VLOOKUP(B66,transacciones!$A$1:$I$39,7,FALSE())</f>
        <v>Producción</v>
      </c>
      <c r="I66" s="37" t="s">
        <v>516</v>
      </c>
      <c r="J66" s="37" t="s">
        <v>517</v>
      </c>
      <c r="K66" s="37" t="s">
        <v>518</v>
      </c>
      <c r="L66" s="37" t="str">
        <f aca="false">+VLOOKUP(K66,'Correl CIIU'!$A$1:$F$26,2,FALSE())</f>
        <v>Enseñanza</v>
      </c>
      <c r="M66" s="37" t="str">
        <f aca="false">+VLOOKUP(K66,'Correl CIIU'!$A$1:$F$26,3,FALSE())</f>
        <v>Enseñanza</v>
      </c>
      <c r="N66" s="37" t="str">
        <f aca="false">+VLOOKUP(K66,'Correl CIIU'!$A$1:$F$26,4,FALSE())</f>
        <v>Education</v>
      </c>
      <c r="O66" s="37" t="n">
        <v>3</v>
      </c>
      <c r="P66" s="49" t="str">
        <f aca="false">+VLOOKUP(O66,bio!$A$2:$B$4,2,FALSE())</f>
        <v>No bioeconomía</v>
      </c>
    </row>
    <row r="67" customFormat="false" ht="15" hidden="false" customHeight="false" outlineLevel="0" collapsed="false">
      <c r="A67" s="0" t="s">
        <v>519</v>
      </c>
      <c r="B67" s="48" t="s">
        <v>337</v>
      </c>
      <c r="C67" s="19" t="str">
        <f aca="false">+VLOOKUP(B67,transacciones!$A$1:$I$39,2,FALSE())</f>
        <v>ATC01</v>
      </c>
      <c r="D67" s="19" t="str">
        <f aca="false">+VLOOKUP(B67,transacciones!$A$1:$I$39,3,FALSE())</f>
        <v>Producción / Consumo intermedio</v>
      </c>
      <c r="E67" s="19" t="str">
        <f aca="false">+VLOOKUP($B67,transacciones!$A$1:$I$39,4,FALSE())</f>
        <v>Producción</v>
      </c>
      <c r="F67" s="19" t="n">
        <f aca="false">+VLOOKUP(B67,transacciones!$A$2:$I$39,5,FALSE())</f>
        <v>1</v>
      </c>
      <c r="G67" s="19" t="str">
        <f aca="false">+VLOOKUP(B67,transacciones!$A$2:$I$39,6,FALSE())</f>
        <v>P1</v>
      </c>
      <c r="H67" s="37" t="str">
        <f aca="false">+VLOOKUP(B67,transacciones!$A$1:$I$39,7,FALSE())</f>
        <v>Producción</v>
      </c>
      <c r="I67" s="37" t="s">
        <v>520</v>
      </c>
      <c r="J67" s="37" t="s">
        <v>521</v>
      </c>
      <c r="K67" s="37" t="s">
        <v>518</v>
      </c>
      <c r="L67" s="37" t="str">
        <f aca="false">+VLOOKUP(K67,'Correl CIIU'!$A$1:$F$26,2,FALSE())</f>
        <v>Enseñanza</v>
      </c>
      <c r="M67" s="37" t="str">
        <f aca="false">+VLOOKUP(K67,'Correl CIIU'!$A$1:$F$26,3,FALSE())</f>
        <v>Enseñanza</v>
      </c>
      <c r="N67" s="37" t="str">
        <f aca="false">+VLOOKUP(K67,'Correl CIIU'!$A$1:$F$26,4,FALSE())</f>
        <v>Education</v>
      </c>
      <c r="O67" s="37" t="n">
        <v>3</v>
      </c>
      <c r="P67" s="49" t="str">
        <f aca="false">+VLOOKUP(O67,bio!$A$2:$B$4,2,FALSE())</f>
        <v>No bioeconomía</v>
      </c>
    </row>
    <row r="68" customFormat="false" ht="15" hidden="false" customHeight="false" outlineLevel="0" collapsed="false">
      <c r="A68" s="0" t="s">
        <v>522</v>
      </c>
      <c r="B68" s="48" t="s">
        <v>337</v>
      </c>
      <c r="C68" s="19" t="str">
        <f aca="false">+VLOOKUP(B68,transacciones!$A$1:$I$39,2,FALSE())</f>
        <v>ATC01</v>
      </c>
      <c r="D68" s="19" t="str">
        <f aca="false">+VLOOKUP(B68,transacciones!$A$1:$I$39,3,FALSE())</f>
        <v>Producción / Consumo intermedio</v>
      </c>
      <c r="E68" s="19" t="str">
        <f aca="false">+VLOOKUP($B68,transacciones!$A$1:$I$39,4,FALSE())</f>
        <v>Producción</v>
      </c>
      <c r="F68" s="19" t="n">
        <f aca="false">+VLOOKUP(B68,transacciones!$A$2:$I$39,5,FALSE())</f>
        <v>1</v>
      </c>
      <c r="G68" s="19" t="str">
        <f aca="false">+VLOOKUP(B68,transacciones!$A$2:$I$39,6,FALSE())</f>
        <v>P1</v>
      </c>
      <c r="H68" s="37" t="str">
        <f aca="false">+VLOOKUP(B68,transacciones!$A$1:$I$39,7,FALSE())</f>
        <v>Producción</v>
      </c>
      <c r="I68" s="37" t="s">
        <v>523</v>
      </c>
      <c r="J68" s="37" t="s">
        <v>524</v>
      </c>
      <c r="K68" s="37" t="s">
        <v>523</v>
      </c>
      <c r="L68" s="37" t="str">
        <f aca="false">+VLOOKUP(K68,'Correl CIIU'!$A$1:$F$26,2,FALSE())</f>
        <v>Actividades de atención de la salud humana y de asistencia social</v>
      </c>
      <c r="M68" s="37" t="str">
        <f aca="false">+VLOOKUP(K68,'Correl CIIU'!$A$1:$F$26,3,FALSE())</f>
        <v>Salud</v>
      </c>
      <c r="N68" s="37" t="str">
        <f aca="false">+VLOOKUP(K68,'Correl CIIU'!$A$1:$F$26,4,FALSE())</f>
        <v>Human health and social work activities</v>
      </c>
      <c r="O68" s="37" t="n">
        <v>3</v>
      </c>
      <c r="P68" s="49" t="str">
        <f aca="false">+VLOOKUP(O68,bio!$A$2:$B$4,2,FALSE())</f>
        <v>No bioeconomía</v>
      </c>
    </row>
    <row r="69" customFormat="false" ht="15" hidden="false" customHeight="false" outlineLevel="0" collapsed="false">
      <c r="A69" s="0" t="s">
        <v>525</v>
      </c>
      <c r="B69" s="48" t="s">
        <v>337</v>
      </c>
      <c r="C69" s="19" t="str">
        <f aca="false">+VLOOKUP(B69,transacciones!$A$1:$I$39,2,FALSE())</f>
        <v>ATC01</v>
      </c>
      <c r="D69" s="19" t="str">
        <f aca="false">+VLOOKUP(B69,transacciones!$A$1:$I$39,3,FALSE())</f>
        <v>Producción / Consumo intermedio</v>
      </c>
      <c r="E69" s="19" t="str">
        <f aca="false">+VLOOKUP($B69,transacciones!$A$1:$I$39,4,FALSE())</f>
        <v>Producción</v>
      </c>
      <c r="F69" s="19" t="n">
        <f aca="false">+VLOOKUP(B69,transacciones!$A$2:$I$39,5,FALSE())</f>
        <v>1</v>
      </c>
      <c r="G69" s="19" t="str">
        <f aca="false">+VLOOKUP(B69,transacciones!$A$2:$I$39,6,FALSE())</f>
        <v>P1</v>
      </c>
      <c r="H69" s="37" t="str">
        <f aca="false">+VLOOKUP(B69,transacciones!$A$1:$I$39,7,FALSE())</f>
        <v>Producción</v>
      </c>
      <c r="I69" s="37" t="s">
        <v>526</v>
      </c>
      <c r="J69" s="37" t="s">
        <v>527</v>
      </c>
      <c r="K69" s="37" t="s">
        <v>528</v>
      </c>
      <c r="L69" s="37" t="str">
        <f aca="false">+VLOOKUP(K69,'Correl CIIU'!$A$1:$F$26,2,FALSE())</f>
        <v>Otras actividades de servicios</v>
      </c>
      <c r="M69" s="37" t="str">
        <f aca="false">+VLOOKUP(K69,'Correl CIIU'!$A$1:$F$26,3,FALSE())</f>
        <v>Otros servicios</v>
      </c>
      <c r="N69" s="37" t="str">
        <f aca="false">+VLOOKUP(K69,'Correl CIIU'!$A$1:$F$26,4,FALSE())</f>
        <v>Other service activities</v>
      </c>
      <c r="O69" s="37" t="n">
        <v>3</v>
      </c>
      <c r="P69" s="49" t="str">
        <f aca="false">+VLOOKUP(O69,bio!$A$2:$B$4,2,FALSE())</f>
        <v>No bioeconomía</v>
      </c>
    </row>
    <row r="70" customFormat="false" ht="15" hidden="false" customHeight="false" outlineLevel="0" collapsed="false">
      <c r="A70" s="0" t="s">
        <v>529</v>
      </c>
      <c r="B70" s="48" t="s">
        <v>337</v>
      </c>
      <c r="C70" s="19" t="str">
        <f aca="false">+VLOOKUP(B70,transacciones!$A$1:$I$39,2,FALSE())</f>
        <v>ATC01</v>
      </c>
      <c r="D70" s="19" t="str">
        <f aca="false">+VLOOKUP(B70,transacciones!$A$1:$I$39,3,FALSE())</f>
        <v>Producción / Consumo intermedio</v>
      </c>
      <c r="E70" s="19" t="str">
        <f aca="false">+VLOOKUP($B70,transacciones!$A$1:$I$39,4,FALSE())</f>
        <v>Producción</v>
      </c>
      <c r="F70" s="19" t="n">
        <f aca="false">+VLOOKUP(B70,transacciones!$A$2:$I$39,5,FALSE())</f>
        <v>1</v>
      </c>
      <c r="G70" s="19" t="str">
        <f aca="false">+VLOOKUP(B70,transacciones!$A$2:$I$39,6,FALSE())</f>
        <v>P1</v>
      </c>
      <c r="H70" s="37" t="str">
        <f aca="false">+VLOOKUP(B70,transacciones!$A$1:$I$39,7,FALSE())</f>
        <v>Producción</v>
      </c>
      <c r="I70" s="37" t="s">
        <v>530</v>
      </c>
      <c r="J70" s="37" t="s">
        <v>531</v>
      </c>
      <c r="K70" s="37" t="s">
        <v>532</v>
      </c>
      <c r="L70" s="37" t="str">
        <f aca="false">+VLOOKUP(K70,'Correl CIIU'!$A$1:$F$26,2,FALSE())</f>
        <v>Actividades de los hogares como empleadores; actividades no diferenciadas de los hogares como productores de bienes y servicios para uso propio</v>
      </c>
      <c r="M70" s="37" t="str">
        <f aca="false">+VLOOKUP(K70,'Correl CIIU'!$A$1:$F$26,3,FALSE())</f>
        <v>Hogares como empleadores</v>
      </c>
      <c r="N70" s="37" t="str">
        <f aca="false">+VLOOKUP(K70,'Correl CIIU'!$A$1:$F$26,4,FALSE())</f>
        <v>Activities of households as employers; undifferentiated goods- and services-producing activities of households for own use</v>
      </c>
      <c r="O70" s="37" t="n">
        <v>3</v>
      </c>
      <c r="P70" s="49" t="str">
        <f aca="false">+VLOOKUP(O70,bio!$A$2:$B$4,2,FALSE())</f>
        <v>No bioeconomía</v>
      </c>
    </row>
    <row r="71" customFormat="false" ht="15" hidden="false" customHeight="false" outlineLevel="0" collapsed="false">
      <c r="A71" s="50" t="s">
        <v>533</v>
      </c>
      <c r="B71" s="50"/>
      <c r="C71" s="42"/>
      <c r="D71" s="42"/>
      <c r="E71" s="42"/>
      <c r="F71" s="42"/>
      <c r="G71" s="42"/>
      <c r="H71" s="50"/>
      <c r="I71" s="50"/>
      <c r="J71" s="50"/>
      <c r="K71" s="50"/>
      <c r="L71" s="50"/>
      <c r="M71" s="50"/>
      <c r="N71" s="50"/>
      <c r="O71" s="51"/>
      <c r="P71" s="52"/>
    </row>
    <row r="72" customFormat="false" ht="15" hidden="false" customHeight="false" outlineLevel="0" collapsed="false">
      <c r="A72" s="50" t="s">
        <v>534</v>
      </c>
      <c r="B72" s="50"/>
      <c r="C72" s="42"/>
      <c r="D72" s="42"/>
      <c r="E72" s="42"/>
      <c r="F72" s="42"/>
      <c r="G72" s="42"/>
      <c r="H72" s="50"/>
      <c r="I72" s="50" t="s">
        <v>535</v>
      </c>
      <c r="J72" s="50"/>
      <c r="K72" s="50"/>
      <c r="L72" s="50"/>
      <c r="M72" s="50"/>
      <c r="N72" s="50"/>
      <c r="O72" s="51"/>
      <c r="P72" s="52"/>
    </row>
    <row r="73" customFormat="false" ht="15" hidden="false" customHeight="false" outlineLevel="0" collapsed="false">
      <c r="A73" s="50" t="s">
        <v>536</v>
      </c>
      <c r="B73" s="50"/>
      <c r="C73" s="42"/>
      <c r="D73" s="42"/>
      <c r="E73" s="42"/>
      <c r="F73" s="42"/>
      <c r="G73" s="42"/>
      <c r="H73" s="50"/>
      <c r="I73" s="50" t="s">
        <v>537</v>
      </c>
      <c r="J73" s="50"/>
      <c r="K73" s="50"/>
      <c r="L73" s="50"/>
      <c r="M73" s="50"/>
      <c r="N73" s="50"/>
      <c r="O73" s="51"/>
      <c r="P73" s="52"/>
    </row>
    <row r="74" customFormat="false" ht="15" hidden="false" customHeight="false" outlineLevel="0" collapsed="false">
      <c r="A74" s="50" t="s">
        <v>538</v>
      </c>
      <c r="B74" s="50"/>
      <c r="C74" s="42"/>
      <c r="D74" s="42"/>
      <c r="E74" s="42"/>
      <c r="F74" s="42"/>
      <c r="G74" s="42"/>
      <c r="H74" s="50"/>
      <c r="I74" s="50" t="s">
        <v>539</v>
      </c>
      <c r="J74" s="50"/>
      <c r="K74" s="50"/>
      <c r="L74" s="50"/>
      <c r="M74" s="50"/>
      <c r="N74" s="50"/>
      <c r="O74" s="51"/>
      <c r="P74" s="52"/>
    </row>
    <row r="75" customFormat="false" ht="15" hidden="false" customHeight="false" outlineLevel="0" collapsed="false">
      <c r="A75" s="50" t="s">
        <v>540</v>
      </c>
      <c r="B75" s="50"/>
      <c r="C75" s="42"/>
      <c r="D75" s="42"/>
      <c r="E75" s="42"/>
      <c r="F75" s="42"/>
      <c r="G75" s="42"/>
      <c r="H75" s="50"/>
      <c r="I75" s="50" t="s">
        <v>541</v>
      </c>
      <c r="J75" s="50"/>
      <c r="K75" s="50"/>
      <c r="L75" s="50"/>
      <c r="M75" s="50"/>
      <c r="N75" s="50"/>
      <c r="O75" s="51"/>
      <c r="P75" s="52"/>
    </row>
    <row r="76" customFormat="false" ht="15" hidden="false" customHeight="false" outlineLevel="0" collapsed="false">
      <c r="A76" s="50" t="s">
        <v>542</v>
      </c>
      <c r="B76" s="50"/>
      <c r="C76" s="42"/>
      <c r="D76" s="42"/>
      <c r="E76" s="42"/>
      <c r="F76" s="42"/>
      <c r="G76" s="42"/>
      <c r="H76" s="50"/>
      <c r="I76" s="50"/>
      <c r="J76" s="50"/>
      <c r="K76" s="50"/>
      <c r="L76" s="50"/>
      <c r="M76" s="50"/>
      <c r="N76" s="50"/>
      <c r="O76" s="51"/>
      <c r="P76" s="52"/>
    </row>
    <row r="77" customFormat="false" ht="15" hidden="false" customHeight="false" outlineLevel="0" collapsed="false">
      <c r="A77" s="0" t="s">
        <v>543</v>
      </c>
      <c r="B77" s="2" t="s">
        <v>544</v>
      </c>
      <c r="C77" s="19" t="str">
        <f aca="false">+VLOOKUP(B77,transacciones!$A$1:$I$39,2,FALSE())</f>
        <v>ATC03</v>
      </c>
      <c r="D77" s="19" t="str">
        <f aca="false">+VLOOKUP(B77,transacciones!$A$1:$I$39,3,FALSE())</f>
        <v>Ajuste CIF/FOB</v>
      </c>
      <c r="E77" s="19" t="str">
        <f aca="false">+VLOOKUP($B77,transacciones!$A$1:$I$39,4,FALSE())</f>
        <v>Ajuste CIF/FOB sobre importaciones</v>
      </c>
      <c r="F77" s="19" t="n">
        <f aca="false">+VLOOKUP(B77,transacciones!$A$2:$I$39,5,FALSE())</f>
        <v>8</v>
      </c>
      <c r="G77" s="19" t="str">
        <f aca="false">+VLOOKUP(B77,transacciones!$A$2:$I$39,6,FALSE())</f>
        <v>CIF</v>
      </c>
      <c r="H77" s="37" t="str">
        <f aca="false">+VLOOKUP(B77,transacciones!$A$1:$I$39,7,FALSE())</f>
        <v>Ajuste CIF/FOB sobre importaciones</v>
      </c>
      <c r="I77" s="37" t="s">
        <v>545</v>
      </c>
      <c r="J77" s="16" t="s">
        <v>181</v>
      </c>
      <c r="K77" s="16" t="s">
        <v>181</v>
      </c>
      <c r="L77" s="16" t="s">
        <v>181</v>
      </c>
      <c r="M77" s="16" t="s">
        <v>181</v>
      </c>
      <c r="N77" s="16" t="s">
        <v>181</v>
      </c>
      <c r="O77" s="39" t="s">
        <v>181</v>
      </c>
      <c r="P77" s="40" t="s">
        <v>181</v>
      </c>
    </row>
    <row r="78" customFormat="false" ht="15" hidden="false" customHeight="false" outlineLevel="0" collapsed="false">
      <c r="A78" s="0" t="s">
        <v>546</v>
      </c>
      <c r="B78" s="2" t="s">
        <v>547</v>
      </c>
      <c r="C78" s="19" t="str">
        <f aca="false">+VLOOKUP(B78,transacciones!$A$1:$I$39,2,FALSE())</f>
        <v>ATC02</v>
      </c>
      <c r="D78" s="19" t="str">
        <f aca="false">+VLOOKUP(B78,transacciones!$A$1:$I$39,3,FALSE())</f>
        <v>Exportaciones / Importaciones</v>
      </c>
      <c r="E78" s="19" t="str">
        <f aca="false">+VLOOKUP($B78,transacciones!$A$1:$I$39,4,FALSE())</f>
        <v>Importaciones de bienes</v>
      </c>
      <c r="F78" s="19" t="n">
        <f aca="false">+VLOOKUP(B78,transacciones!$A$2:$I$39,5,FALSE())</f>
        <v>7</v>
      </c>
      <c r="G78" s="19" t="str">
        <f aca="false">+VLOOKUP(B78,transacciones!$A$2:$I$39,6,FALSE())</f>
        <v>P7</v>
      </c>
      <c r="H78" s="37" t="str">
        <f aca="false">+VLOOKUP(B78,transacciones!$A$1:$I$39,7,FALSE())</f>
        <v>Importaciones de bienes y servicios</v>
      </c>
      <c r="I78" s="37" t="s">
        <v>548</v>
      </c>
      <c r="J78" s="16" t="s">
        <v>181</v>
      </c>
      <c r="K78" s="16" t="s">
        <v>181</v>
      </c>
      <c r="L78" s="16" t="s">
        <v>181</v>
      </c>
      <c r="M78" s="16" t="s">
        <v>181</v>
      </c>
      <c r="N78" s="16" t="s">
        <v>181</v>
      </c>
      <c r="O78" s="39" t="s">
        <v>181</v>
      </c>
      <c r="P78" s="40" t="s">
        <v>181</v>
      </c>
    </row>
    <row r="79" customFormat="false" ht="15" hidden="false" customHeight="false" outlineLevel="0" collapsed="false">
      <c r="A79" s="53" t="s">
        <v>549</v>
      </c>
      <c r="B79" s="2" t="s">
        <v>550</v>
      </c>
      <c r="C79" s="19" t="str">
        <f aca="false">+VLOOKUP(B79,transacciones!$A$1:$I$39,2,FALSE())</f>
        <v>ATC02</v>
      </c>
      <c r="D79" s="19" t="str">
        <f aca="false">+VLOOKUP(B79,transacciones!$A$1:$I$39,3,FALSE())</f>
        <v>Exportaciones / Importaciones</v>
      </c>
      <c r="E79" s="19" t="str">
        <f aca="false">+VLOOKUP($B79,transacciones!$A$1:$I$39,4,FALSE())</f>
        <v>Importaciones de servicios</v>
      </c>
      <c r="F79" s="19" t="n">
        <f aca="false">+VLOOKUP(B79,transacciones!$A$2:$I$39,5,FALSE())</f>
        <v>7</v>
      </c>
      <c r="G79" s="19" t="str">
        <f aca="false">+VLOOKUP(B79,transacciones!$A$2:$I$39,6,FALSE())</f>
        <v>P7</v>
      </c>
      <c r="H79" s="37" t="str">
        <f aca="false">+VLOOKUP(B79,transacciones!$A$1:$I$39,7,FALSE())</f>
        <v>Importaciones de bienes y servicios</v>
      </c>
      <c r="I79" s="37" t="s">
        <v>551</v>
      </c>
      <c r="J79" s="16" t="s">
        <v>181</v>
      </c>
      <c r="K79" s="16" t="s">
        <v>181</v>
      </c>
      <c r="L79" s="16" t="s">
        <v>181</v>
      </c>
      <c r="M79" s="16" t="s">
        <v>181</v>
      </c>
      <c r="N79" s="16" t="s">
        <v>181</v>
      </c>
      <c r="O79" s="39" t="s">
        <v>181</v>
      </c>
      <c r="P79" s="40" t="s">
        <v>181</v>
      </c>
    </row>
    <row r="80" customFormat="false" ht="15" hidden="false" customHeight="false" outlineLevel="0" collapsed="false">
      <c r="A80" s="50" t="s">
        <v>552</v>
      </c>
      <c r="B80" s="54"/>
      <c r="C80" s="31"/>
      <c r="D80" s="31"/>
      <c r="E80" s="31"/>
      <c r="F80" s="31"/>
      <c r="G80" s="31"/>
      <c r="H80" s="32"/>
      <c r="I80" s="54"/>
      <c r="J80" s="55" t="s">
        <v>314</v>
      </c>
      <c r="K80" s="56"/>
      <c r="L80" s="33"/>
      <c r="M80" s="33"/>
      <c r="N80" s="33"/>
      <c r="O80" s="57"/>
      <c r="P80" s="58"/>
    </row>
    <row r="81" customFormat="false" ht="15" hidden="false" customHeight="false" outlineLevel="0" collapsed="false">
      <c r="A81" s="0" t="s">
        <v>553</v>
      </c>
      <c r="B81" s="2" t="s">
        <v>332</v>
      </c>
      <c r="C81" s="19" t="str">
        <f aca="false">+VLOOKUP(B81,transacciones!$A$1:$I$39,2,FALSE())</f>
        <v>ATC04</v>
      </c>
      <c r="D81" s="19" t="str">
        <f aca="false">+VLOOKUP(B81,transacciones!$A$1:$I$39,3,FALSE())</f>
        <v>Impuestos menos subvenciones sobre los productos</v>
      </c>
      <c r="E81" s="19" t="str">
        <f aca="false">+VLOOKUP($B81,transacciones!$A$1:$I$39,4,FALSE())</f>
        <v>Subvenciones a los productos</v>
      </c>
      <c r="F81" s="19" t="n">
        <f aca="false">+VLOOKUP(B81,transacciones!$A$2:$I$39,5,FALSE())</f>
        <v>11</v>
      </c>
      <c r="G81" s="19" t="str">
        <f aca="false">+VLOOKUP(B81,transacciones!$A$2:$I$39,6,FALSE())</f>
        <v>D3</v>
      </c>
      <c r="H81" s="37" t="str">
        <f aca="false">+VLOOKUP(B81,transacciones!$A$1:$I$39,7,FALSE())</f>
        <v>Subvenciones</v>
      </c>
      <c r="I81" s="37" t="s">
        <v>317</v>
      </c>
      <c r="J81" s="37" t="s">
        <v>554</v>
      </c>
      <c r="K81" s="16" t="s">
        <v>181</v>
      </c>
      <c r="L81" s="16" t="s">
        <v>181</v>
      </c>
      <c r="M81" s="16" t="s">
        <v>181</v>
      </c>
      <c r="N81" s="16" t="s">
        <v>181</v>
      </c>
      <c r="O81" s="39" t="s">
        <v>181</v>
      </c>
      <c r="P81" s="40" t="s">
        <v>181</v>
      </c>
    </row>
    <row r="82" customFormat="false" ht="15" hidden="false" customHeight="false" outlineLevel="0" collapsed="false">
      <c r="A82" s="0" t="s">
        <v>555</v>
      </c>
      <c r="B82" s="2" t="s">
        <v>556</v>
      </c>
      <c r="C82" s="19" t="str">
        <f aca="false">+VLOOKUP(B82,transacciones!$A$1:$I$39,2,FALSE())</f>
        <v>ATC01</v>
      </c>
      <c r="D82" s="19" t="str">
        <f aca="false">+VLOOKUP(B82,transacciones!$A$1:$I$39,3,FALSE())</f>
        <v>Producción / Consumo intermedio</v>
      </c>
      <c r="E82" s="19" t="str">
        <f aca="false">+VLOOKUP($B82,transacciones!$A$1:$I$39,4,FALSE())</f>
        <v>Consumo intermedio de mercado</v>
      </c>
      <c r="F82" s="19" t="n">
        <f aca="false">+VLOOKUP(B82,transacciones!$A$2:$I$39,5,FALSE())</f>
        <v>2</v>
      </c>
      <c r="G82" s="19" t="str">
        <f aca="false">+VLOOKUP(B82,transacciones!$A$2:$I$39,6,FALSE())</f>
        <v>P2</v>
      </c>
      <c r="H82" s="37" t="str">
        <f aca="false">+VLOOKUP(B82,transacciones!$A$1:$I$39,7,FALSE())</f>
        <v>Consumo intermedio</v>
      </c>
      <c r="I82" s="37" t="s">
        <v>317</v>
      </c>
      <c r="J82" s="37" t="s">
        <v>333</v>
      </c>
      <c r="K82" s="16" t="s">
        <v>181</v>
      </c>
      <c r="L82" s="16" t="s">
        <v>181</v>
      </c>
      <c r="M82" s="16" t="s">
        <v>181</v>
      </c>
      <c r="N82" s="16" t="s">
        <v>181</v>
      </c>
      <c r="O82" s="39" t="s">
        <v>181</v>
      </c>
      <c r="P82" s="40" t="s">
        <v>181</v>
      </c>
    </row>
    <row r="83" customFormat="false" ht="15" hidden="false" customHeight="false" outlineLevel="0" collapsed="false">
      <c r="A83" s="0" t="s">
        <v>557</v>
      </c>
      <c r="B83" s="2" t="s">
        <v>558</v>
      </c>
      <c r="C83" s="19" t="str">
        <f aca="false">+VLOOKUP(B83,transacciones!$A$1:$I$39,2,FALSE())</f>
        <v>ATC01</v>
      </c>
      <c r="D83" s="19" t="str">
        <f aca="false">+VLOOKUP(B83,transacciones!$A$1:$I$39,3,FALSE())</f>
        <v>Producción / Consumo intermedio</v>
      </c>
      <c r="E83" s="19" t="str">
        <f aca="false">+VLOOKUP($B83,transacciones!$A$1:$I$39,4,FALSE())</f>
        <v>Consumo</v>
      </c>
      <c r="F83" s="19" t="n">
        <f aca="false">+VLOOKUP(B83,transacciones!$A$2:$I$39,5,FALSE())</f>
        <v>2</v>
      </c>
      <c r="G83" s="19" t="str">
        <f aca="false">+VLOOKUP(B83,transacciones!$A$2:$I$39,6,FALSE())</f>
        <v>P2</v>
      </c>
      <c r="H83" s="37" t="str">
        <f aca="false">+VLOOKUP(B83,transacciones!$A$1:$I$39,7,FALSE())</f>
        <v>Consumo intermedio</v>
      </c>
      <c r="I83" s="37" t="s">
        <v>559</v>
      </c>
      <c r="J83" s="59" t="s">
        <v>560</v>
      </c>
      <c r="K83" s="2" t="s">
        <v>340</v>
      </c>
      <c r="L83" s="60" t="str">
        <f aca="false">+VLOOKUP(K83,'Correl CIIU'!$A$1:$F$26,2,FALSE())</f>
        <v>Agricultura, ganadería, silvicultura y pesca</v>
      </c>
      <c r="M83" s="60" t="str">
        <f aca="false">+VLOOKUP(K83,'Correl CIIU'!$A$1:$F$26,3,FALSE())</f>
        <v>Agricultura</v>
      </c>
      <c r="N83" s="60" t="str">
        <f aca="false">+VLOOKUP(K83,'Correl CIIU'!$A$1:$F$26,4,FALSE())</f>
        <v>Agriculture, forestry and fishing</v>
      </c>
      <c r="O83" s="61" t="n">
        <v>1</v>
      </c>
      <c r="P83" s="62" t="str">
        <f aca="false">VLOOKUP(O83,bio!$D$2:$E$4,2,FALSE())</f>
        <v>Bioeconomía</v>
      </c>
    </row>
    <row r="84" customFormat="false" ht="15" hidden="false" customHeight="false" outlineLevel="0" collapsed="false">
      <c r="A84" s="0" t="s">
        <v>561</v>
      </c>
      <c r="B84" s="2" t="s">
        <v>558</v>
      </c>
      <c r="C84" s="19" t="str">
        <f aca="false">+VLOOKUP(B84,transacciones!$A$1:$I$39,2,FALSE())</f>
        <v>ATC01</v>
      </c>
      <c r="D84" s="19" t="str">
        <f aca="false">+VLOOKUP(B84,transacciones!$A$1:$I$39,3,FALSE())</f>
        <v>Producción / Consumo intermedio</v>
      </c>
      <c r="E84" s="19" t="str">
        <f aca="false">+VLOOKUP($B84,transacciones!$A$1:$I$39,4,FALSE())</f>
        <v>Consumo</v>
      </c>
      <c r="F84" s="19" t="n">
        <f aca="false">+VLOOKUP(B84,transacciones!$A$2:$I$39,5,FALSE())</f>
        <v>2</v>
      </c>
      <c r="G84" s="19" t="str">
        <f aca="false">+VLOOKUP(B84,transacciones!$A$2:$I$39,6,FALSE())</f>
        <v>P2</v>
      </c>
      <c r="H84" s="37" t="str">
        <f aca="false">+VLOOKUP(B84,transacciones!$A$1:$I$39,7,FALSE())</f>
        <v>Consumo intermedio</v>
      </c>
      <c r="I84" s="37" t="s">
        <v>317</v>
      </c>
      <c r="J84" s="37" t="s">
        <v>562</v>
      </c>
      <c r="K84" s="2" t="s">
        <v>340</v>
      </c>
      <c r="L84" s="60" t="str">
        <f aca="false">+VLOOKUP(K84,'Correl CIIU'!$A$1:$F$26,2,FALSE())</f>
        <v>Agricultura, ganadería, silvicultura y pesca</v>
      </c>
      <c r="M84" s="60" t="str">
        <f aca="false">+VLOOKUP(K84,'Correl CIIU'!$A$1:$F$26,3,FALSE())</f>
        <v>Agricultura</v>
      </c>
      <c r="N84" s="60" t="str">
        <f aca="false">+VLOOKUP(K84,'Correl CIIU'!$A$1:$F$26,4,FALSE())</f>
        <v>Agriculture, forestry and fishing</v>
      </c>
      <c r="O84" s="61" t="n">
        <v>1</v>
      </c>
      <c r="P84" s="62" t="str">
        <f aca="false">VLOOKUP(O84,bio!$D$2:$E$4,2,FALSE())</f>
        <v>Bioeconomía</v>
      </c>
    </row>
    <row r="85" customFormat="false" ht="15" hidden="false" customHeight="false" outlineLevel="0" collapsed="false">
      <c r="A85" s="0" t="s">
        <v>563</v>
      </c>
      <c r="B85" s="2" t="s">
        <v>558</v>
      </c>
      <c r="C85" s="19" t="str">
        <f aca="false">+VLOOKUP(B85,transacciones!$A$1:$I$39,2,FALSE())</f>
        <v>ATC01</v>
      </c>
      <c r="D85" s="19" t="str">
        <f aca="false">+VLOOKUP(B85,transacciones!$A$1:$I$39,3,FALSE())</f>
        <v>Producción / Consumo intermedio</v>
      </c>
      <c r="E85" s="19" t="str">
        <f aca="false">+VLOOKUP($B85,transacciones!$A$1:$I$39,4,FALSE())</f>
        <v>Consumo</v>
      </c>
      <c r="F85" s="19" t="n">
        <f aca="false">+VLOOKUP(B85,transacciones!$A$2:$I$39,5,FALSE())</f>
        <v>2</v>
      </c>
      <c r="G85" s="19" t="str">
        <f aca="false">+VLOOKUP(B85,transacciones!$A$2:$I$39,6,FALSE())</f>
        <v>P2</v>
      </c>
      <c r="H85" s="37" t="str">
        <f aca="false">+VLOOKUP(B85,transacciones!$A$1:$I$39,7,FALSE())</f>
        <v>Consumo intermedio</v>
      </c>
      <c r="I85" s="37" t="s">
        <v>317</v>
      </c>
      <c r="J85" s="37" t="s">
        <v>564</v>
      </c>
      <c r="K85" s="2" t="s">
        <v>340</v>
      </c>
      <c r="L85" s="60" t="str">
        <f aca="false">+VLOOKUP(K85,'Correl CIIU'!$A$1:$F$26,2,FALSE())</f>
        <v>Agricultura, ganadería, silvicultura y pesca</v>
      </c>
      <c r="M85" s="60" t="str">
        <f aca="false">+VLOOKUP(K85,'Correl CIIU'!$A$1:$F$26,3,FALSE())</f>
        <v>Agricultura</v>
      </c>
      <c r="N85" s="60" t="str">
        <f aca="false">+VLOOKUP(K85,'Correl CIIU'!$A$1:$F$26,4,FALSE())</f>
        <v>Agriculture, forestry and fishing</v>
      </c>
      <c r="O85" s="61" t="n">
        <v>1</v>
      </c>
      <c r="P85" s="62" t="str">
        <f aca="false">VLOOKUP(O85,bio!$D$2:$E$4,2,FALSE())</f>
        <v>Bioeconomía</v>
      </c>
    </row>
    <row r="86" customFormat="false" ht="15" hidden="false" customHeight="false" outlineLevel="0" collapsed="false">
      <c r="A86" s="0" t="s">
        <v>565</v>
      </c>
      <c r="B86" s="2" t="s">
        <v>558</v>
      </c>
      <c r="C86" s="19" t="str">
        <f aca="false">+VLOOKUP(B86,transacciones!$A$1:$I$39,2,FALSE())</f>
        <v>ATC01</v>
      </c>
      <c r="D86" s="19" t="str">
        <f aca="false">+VLOOKUP(B86,transacciones!$A$1:$I$39,3,FALSE())</f>
        <v>Producción / Consumo intermedio</v>
      </c>
      <c r="E86" s="19" t="str">
        <f aca="false">+VLOOKUP($B86,transacciones!$A$1:$I$39,4,FALSE())</f>
        <v>Consumo</v>
      </c>
      <c r="F86" s="19" t="n">
        <f aca="false">+VLOOKUP(B86,transacciones!$A$2:$I$39,5,FALSE())</f>
        <v>2</v>
      </c>
      <c r="G86" s="19" t="str">
        <f aca="false">+VLOOKUP(B86,transacciones!$A$2:$I$39,6,FALSE())</f>
        <v>P2</v>
      </c>
      <c r="H86" s="37" t="str">
        <f aca="false">+VLOOKUP(B86,transacciones!$A$1:$I$39,7,FALSE())</f>
        <v>Consumo intermedio</v>
      </c>
      <c r="I86" s="37" t="s">
        <v>317</v>
      </c>
      <c r="J86" s="37" t="s">
        <v>566</v>
      </c>
      <c r="K86" s="2" t="s">
        <v>340</v>
      </c>
      <c r="L86" s="60" t="str">
        <f aca="false">+VLOOKUP(K86,'Correl CIIU'!$A$1:$F$26,2,FALSE())</f>
        <v>Agricultura, ganadería, silvicultura y pesca</v>
      </c>
      <c r="M86" s="60" t="str">
        <f aca="false">+VLOOKUP(K86,'Correl CIIU'!$A$1:$F$26,3,FALSE())</f>
        <v>Agricultura</v>
      </c>
      <c r="N86" s="60" t="str">
        <f aca="false">+VLOOKUP(K86,'Correl CIIU'!$A$1:$F$26,4,FALSE())</f>
        <v>Agriculture, forestry and fishing</v>
      </c>
      <c r="O86" s="61" t="n">
        <v>1</v>
      </c>
      <c r="P86" s="62" t="str">
        <f aca="false">VLOOKUP(O86,bio!$D$2:$E$4,2,FALSE())</f>
        <v>Bioeconomía</v>
      </c>
    </row>
    <row r="87" customFormat="false" ht="15" hidden="false" customHeight="false" outlineLevel="0" collapsed="false">
      <c r="A87" s="0" t="s">
        <v>567</v>
      </c>
      <c r="B87" s="2" t="s">
        <v>558</v>
      </c>
      <c r="C87" s="19" t="str">
        <f aca="false">+VLOOKUP(B87,transacciones!$A$1:$I$39,2,FALSE())</f>
        <v>ATC01</v>
      </c>
      <c r="D87" s="19" t="str">
        <f aca="false">+VLOOKUP(B87,transacciones!$A$1:$I$39,3,FALSE())</f>
        <v>Producción / Consumo intermedio</v>
      </c>
      <c r="E87" s="19" t="str">
        <f aca="false">+VLOOKUP($B87,transacciones!$A$1:$I$39,4,FALSE())</f>
        <v>Consumo</v>
      </c>
      <c r="F87" s="19" t="n">
        <f aca="false">+VLOOKUP(B87,transacciones!$A$2:$I$39,5,FALSE())</f>
        <v>2</v>
      </c>
      <c r="G87" s="19" t="str">
        <f aca="false">+VLOOKUP(B87,transacciones!$A$2:$I$39,6,FALSE())</f>
        <v>P2</v>
      </c>
      <c r="H87" s="37" t="str">
        <f aca="false">+VLOOKUP(B87,transacciones!$A$1:$I$39,7,FALSE())</f>
        <v>Consumo intermedio</v>
      </c>
      <c r="I87" s="37" t="s">
        <v>317</v>
      </c>
      <c r="J87" s="37" t="s">
        <v>568</v>
      </c>
      <c r="K87" s="2" t="s">
        <v>340</v>
      </c>
      <c r="L87" s="60" t="str">
        <f aca="false">+VLOOKUP(K87,'Correl CIIU'!$A$1:$F$26,2,FALSE())</f>
        <v>Agricultura, ganadería, silvicultura y pesca</v>
      </c>
      <c r="M87" s="60" t="str">
        <f aca="false">+VLOOKUP(K87,'Correl CIIU'!$A$1:$F$26,3,FALSE())</f>
        <v>Agricultura</v>
      </c>
      <c r="N87" s="60" t="str">
        <f aca="false">+VLOOKUP(K87,'Correl CIIU'!$A$1:$F$26,4,FALSE())</f>
        <v>Agriculture, forestry and fishing</v>
      </c>
      <c r="O87" s="61" t="n">
        <v>1</v>
      </c>
      <c r="P87" s="62" t="str">
        <f aca="false">VLOOKUP(O87,bio!$D$2:$E$4,2,FALSE())</f>
        <v>Bioeconomía</v>
      </c>
    </row>
    <row r="88" customFormat="false" ht="15" hidden="false" customHeight="false" outlineLevel="0" collapsed="false">
      <c r="A88" s="0" t="s">
        <v>569</v>
      </c>
      <c r="B88" s="2" t="s">
        <v>558</v>
      </c>
      <c r="C88" s="19" t="str">
        <f aca="false">+VLOOKUP(B88,transacciones!$A$1:$I$39,2,FALSE())</f>
        <v>ATC01</v>
      </c>
      <c r="D88" s="19" t="str">
        <f aca="false">+VLOOKUP(B88,transacciones!$A$1:$I$39,3,FALSE())</f>
        <v>Producción / Consumo intermedio</v>
      </c>
      <c r="E88" s="19" t="str">
        <f aca="false">+VLOOKUP($B88,transacciones!$A$1:$I$39,4,FALSE())</f>
        <v>Consumo</v>
      </c>
      <c r="F88" s="19" t="n">
        <f aca="false">+VLOOKUP(B88,transacciones!$A$2:$I$39,5,FALSE())</f>
        <v>2</v>
      </c>
      <c r="G88" s="19" t="str">
        <f aca="false">+VLOOKUP(B88,transacciones!$A$2:$I$39,6,FALSE())</f>
        <v>P2</v>
      </c>
      <c r="H88" s="37" t="str">
        <f aca="false">+VLOOKUP(B88,transacciones!$A$1:$I$39,7,FALSE())</f>
        <v>Consumo intermedio</v>
      </c>
      <c r="I88" s="37" t="s">
        <v>317</v>
      </c>
      <c r="J88" s="37" t="s">
        <v>570</v>
      </c>
      <c r="K88" s="2" t="s">
        <v>340</v>
      </c>
      <c r="L88" s="60" t="str">
        <f aca="false">+VLOOKUP(K88,'Correl CIIU'!$A$1:$F$26,2,FALSE())</f>
        <v>Agricultura, ganadería, silvicultura y pesca</v>
      </c>
      <c r="M88" s="60" t="str">
        <f aca="false">+VLOOKUP(K88,'Correl CIIU'!$A$1:$F$26,3,FALSE())</f>
        <v>Agricultura</v>
      </c>
      <c r="N88" s="60" t="str">
        <f aca="false">+VLOOKUP(K88,'Correl CIIU'!$A$1:$F$26,4,FALSE())</f>
        <v>Agriculture, forestry and fishing</v>
      </c>
      <c r="O88" s="61" t="n">
        <v>3</v>
      </c>
      <c r="P88" s="62" t="str">
        <f aca="false">VLOOKUP(O88,bio!$D$2:$E$4,2,FALSE())</f>
        <v>No bioeconomía</v>
      </c>
    </row>
    <row r="89" customFormat="false" ht="15" hidden="false" customHeight="false" outlineLevel="0" collapsed="false">
      <c r="A89" s="0" t="s">
        <v>571</v>
      </c>
      <c r="B89" s="2" t="s">
        <v>558</v>
      </c>
      <c r="C89" s="19" t="str">
        <f aca="false">+VLOOKUP(B89,transacciones!$A$1:$I$39,2,FALSE())</f>
        <v>ATC01</v>
      </c>
      <c r="D89" s="19" t="str">
        <f aca="false">+VLOOKUP(B89,transacciones!$A$1:$I$39,3,FALSE())</f>
        <v>Producción / Consumo intermedio</v>
      </c>
      <c r="E89" s="19" t="str">
        <f aca="false">+VLOOKUP($B89,transacciones!$A$1:$I$39,4,FALSE())</f>
        <v>Consumo</v>
      </c>
      <c r="F89" s="19" t="n">
        <f aca="false">+VLOOKUP(B89,transacciones!$A$2:$I$39,5,FALSE())</f>
        <v>2</v>
      </c>
      <c r="G89" s="19" t="str">
        <f aca="false">+VLOOKUP(B89,transacciones!$A$2:$I$39,6,FALSE())</f>
        <v>P2</v>
      </c>
      <c r="H89" s="37" t="str">
        <f aca="false">+VLOOKUP(B89,transacciones!$A$1:$I$39,7,FALSE())</f>
        <v>Consumo intermedio</v>
      </c>
      <c r="I89" s="37" t="s">
        <v>317</v>
      </c>
      <c r="J89" s="37" t="s">
        <v>572</v>
      </c>
      <c r="K89" s="2" t="s">
        <v>359</v>
      </c>
      <c r="L89" s="60" t="str">
        <f aca="false">+VLOOKUP(K89,'Correl CIIU'!$A$1:$F$26,2,FALSE())</f>
        <v>Explotación de minas y canteras</v>
      </c>
      <c r="M89" s="60" t="str">
        <f aca="false">+VLOOKUP(K89,'Correl CIIU'!$A$1:$F$26,3,FALSE())</f>
        <v>Minería</v>
      </c>
      <c r="N89" s="60" t="str">
        <f aca="false">+VLOOKUP(K89,'Correl CIIU'!$A$1:$F$26,4,FALSE())</f>
        <v>Mining and quarrying</v>
      </c>
      <c r="O89" s="61" t="n">
        <v>3</v>
      </c>
      <c r="P89" s="62" t="str">
        <f aca="false">VLOOKUP(O89,bio!$D$2:$E$4,2,FALSE())</f>
        <v>No bioeconomía</v>
      </c>
    </row>
    <row r="90" customFormat="false" ht="15" hidden="false" customHeight="false" outlineLevel="0" collapsed="false">
      <c r="A90" s="0" t="s">
        <v>573</v>
      </c>
      <c r="B90" s="2" t="s">
        <v>558</v>
      </c>
      <c r="C90" s="19" t="str">
        <f aca="false">+VLOOKUP(B90,transacciones!$A$1:$I$39,2,FALSE())</f>
        <v>ATC01</v>
      </c>
      <c r="D90" s="19" t="str">
        <f aca="false">+VLOOKUP(B90,transacciones!$A$1:$I$39,3,FALSE())</f>
        <v>Producción / Consumo intermedio</v>
      </c>
      <c r="E90" s="19" t="str">
        <f aca="false">+VLOOKUP($B90,transacciones!$A$1:$I$39,4,FALSE())</f>
        <v>Consumo</v>
      </c>
      <c r="F90" s="19" t="n">
        <f aca="false">+VLOOKUP(B90,transacciones!$A$2:$I$39,5,FALSE())</f>
        <v>2</v>
      </c>
      <c r="G90" s="19" t="str">
        <f aca="false">+VLOOKUP(B90,transacciones!$A$2:$I$39,6,FALSE())</f>
        <v>P2</v>
      </c>
      <c r="H90" s="37" t="str">
        <f aca="false">+VLOOKUP(B90,transacciones!$A$1:$I$39,7,FALSE())</f>
        <v>Consumo intermedio</v>
      </c>
      <c r="I90" s="37" t="s">
        <v>317</v>
      </c>
      <c r="J90" s="37" t="s">
        <v>574</v>
      </c>
      <c r="K90" s="2" t="s">
        <v>359</v>
      </c>
      <c r="L90" s="60" t="str">
        <f aca="false">+VLOOKUP(K90,'Correl CIIU'!$A$1:$F$26,2,FALSE())</f>
        <v>Explotación de minas y canteras</v>
      </c>
      <c r="M90" s="60" t="str">
        <f aca="false">+VLOOKUP(K90,'Correl CIIU'!$A$1:$F$26,3,FALSE())</f>
        <v>Minería</v>
      </c>
      <c r="N90" s="60" t="str">
        <f aca="false">+VLOOKUP(K90,'Correl CIIU'!$A$1:$F$26,4,FALSE())</f>
        <v>Mining and quarrying</v>
      </c>
      <c r="O90" s="61" t="n">
        <v>3</v>
      </c>
      <c r="P90" s="62" t="str">
        <f aca="false">VLOOKUP(O90,bio!$D$2:$E$4,2,FALSE())</f>
        <v>No bioeconomía</v>
      </c>
    </row>
    <row r="91" customFormat="false" ht="15" hidden="false" customHeight="false" outlineLevel="0" collapsed="false">
      <c r="A91" s="0" t="s">
        <v>575</v>
      </c>
      <c r="B91" s="2" t="s">
        <v>558</v>
      </c>
      <c r="C91" s="19" t="str">
        <f aca="false">+VLOOKUP(B91,transacciones!$A$1:$I$39,2,FALSE())</f>
        <v>ATC01</v>
      </c>
      <c r="D91" s="19" t="str">
        <f aca="false">+VLOOKUP(B91,transacciones!$A$1:$I$39,3,FALSE())</f>
        <v>Producción / Consumo intermedio</v>
      </c>
      <c r="E91" s="19" t="str">
        <f aca="false">+VLOOKUP($B91,transacciones!$A$1:$I$39,4,FALSE())</f>
        <v>Consumo</v>
      </c>
      <c r="F91" s="19" t="n">
        <f aca="false">+VLOOKUP(B91,transacciones!$A$2:$I$39,5,FALSE())</f>
        <v>2</v>
      </c>
      <c r="G91" s="19" t="str">
        <f aca="false">+VLOOKUP(B91,transacciones!$A$2:$I$39,6,FALSE())</f>
        <v>P2</v>
      </c>
      <c r="H91" s="37" t="str">
        <f aca="false">+VLOOKUP(B91,transacciones!$A$1:$I$39,7,FALSE())</f>
        <v>Consumo intermedio</v>
      </c>
      <c r="I91" s="37" t="s">
        <v>317</v>
      </c>
      <c r="J91" s="37" t="s">
        <v>576</v>
      </c>
      <c r="K91" s="2" t="s">
        <v>359</v>
      </c>
      <c r="L91" s="60" t="str">
        <f aca="false">+VLOOKUP(K91,'Correl CIIU'!$A$1:$F$26,2,FALSE())</f>
        <v>Explotación de minas y canteras</v>
      </c>
      <c r="M91" s="60" t="str">
        <f aca="false">+VLOOKUP(K91,'Correl CIIU'!$A$1:$F$26,3,FALSE())</f>
        <v>Minería</v>
      </c>
      <c r="N91" s="60" t="str">
        <f aca="false">+VLOOKUP(K91,'Correl CIIU'!$A$1:$F$26,4,FALSE())</f>
        <v>Mining and quarrying</v>
      </c>
      <c r="O91" s="61" t="n">
        <v>3</v>
      </c>
      <c r="P91" s="62" t="str">
        <f aca="false">VLOOKUP(O91,bio!$D$2:$E$4,2,FALSE())</f>
        <v>No bioeconomía</v>
      </c>
    </row>
    <row r="92" customFormat="false" ht="15" hidden="false" customHeight="false" outlineLevel="0" collapsed="false">
      <c r="A92" s="0" t="s">
        <v>577</v>
      </c>
      <c r="B92" s="2" t="s">
        <v>558</v>
      </c>
      <c r="C92" s="19" t="str">
        <f aca="false">+VLOOKUP(B92,transacciones!$A$1:$I$39,2,FALSE())</f>
        <v>ATC01</v>
      </c>
      <c r="D92" s="19" t="str">
        <f aca="false">+VLOOKUP(B92,transacciones!$A$1:$I$39,3,FALSE())</f>
        <v>Producción / Consumo intermedio</v>
      </c>
      <c r="E92" s="19" t="str">
        <f aca="false">+VLOOKUP($B92,transacciones!$A$1:$I$39,4,FALSE())</f>
        <v>Consumo</v>
      </c>
      <c r="F92" s="19" t="n">
        <f aca="false">+VLOOKUP(B92,transacciones!$A$2:$I$39,5,FALSE())</f>
        <v>2</v>
      </c>
      <c r="G92" s="19" t="str">
        <f aca="false">+VLOOKUP(B92,transacciones!$A$2:$I$39,6,FALSE())</f>
        <v>P2</v>
      </c>
      <c r="H92" s="37" t="str">
        <f aca="false">+VLOOKUP(B92,transacciones!$A$1:$I$39,7,FALSE())</f>
        <v>Consumo intermedio</v>
      </c>
      <c r="I92" s="37" t="s">
        <v>317</v>
      </c>
      <c r="J92" s="37" t="s">
        <v>578</v>
      </c>
      <c r="K92" s="2" t="s">
        <v>359</v>
      </c>
      <c r="L92" s="60" t="str">
        <f aca="false">+VLOOKUP(K92,'Correl CIIU'!$A$1:$F$26,2,FALSE())</f>
        <v>Explotación de minas y canteras</v>
      </c>
      <c r="M92" s="60" t="str">
        <f aca="false">+VLOOKUP(K92,'Correl CIIU'!$A$1:$F$26,3,FALSE())</f>
        <v>Minería</v>
      </c>
      <c r="N92" s="60" t="str">
        <f aca="false">+VLOOKUP(K92,'Correl CIIU'!$A$1:$F$26,4,FALSE())</f>
        <v>Mining and quarrying</v>
      </c>
      <c r="O92" s="61" t="n">
        <v>3</v>
      </c>
      <c r="P92" s="62" t="str">
        <f aca="false">VLOOKUP(O92,bio!$D$2:$E$4,2,FALSE())</f>
        <v>No bioeconomía</v>
      </c>
    </row>
    <row r="93" customFormat="false" ht="15" hidden="false" customHeight="false" outlineLevel="0" collapsed="false">
      <c r="A93" s="0" t="s">
        <v>579</v>
      </c>
      <c r="B93" s="2" t="s">
        <v>558</v>
      </c>
      <c r="C93" s="19" t="str">
        <f aca="false">+VLOOKUP(B93,transacciones!$A$1:$I$39,2,FALSE())</f>
        <v>ATC01</v>
      </c>
      <c r="D93" s="19" t="str">
        <f aca="false">+VLOOKUP(B93,transacciones!$A$1:$I$39,3,FALSE())</f>
        <v>Producción / Consumo intermedio</v>
      </c>
      <c r="E93" s="19" t="str">
        <f aca="false">+VLOOKUP($B93,transacciones!$A$1:$I$39,4,FALSE())</f>
        <v>Consumo</v>
      </c>
      <c r="F93" s="19" t="n">
        <f aca="false">+VLOOKUP(B93,transacciones!$A$2:$I$39,5,FALSE())</f>
        <v>2</v>
      </c>
      <c r="G93" s="19" t="str">
        <f aca="false">+VLOOKUP(B93,transacciones!$A$2:$I$39,6,FALSE())</f>
        <v>P2</v>
      </c>
      <c r="H93" s="37" t="str">
        <f aca="false">+VLOOKUP(B93,transacciones!$A$1:$I$39,7,FALSE())</f>
        <v>Consumo intermedio</v>
      </c>
      <c r="I93" s="37" t="s">
        <v>317</v>
      </c>
      <c r="J93" s="37" t="s">
        <v>580</v>
      </c>
      <c r="K93" s="2" t="s">
        <v>372</v>
      </c>
      <c r="L93" s="60" t="str">
        <f aca="false">+VLOOKUP(K93,'Correl CIIU'!$A$1:$F$26,2,FALSE())</f>
        <v>Industrias manufactureras</v>
      </c>
      <c r="M93" s="60" t="str">
        <f aca="false">+VLOOKUP(K93,'Correl CIIU'!$A$1:$F$26,3,FALSE())</f>
        <v>Manufacturas</v>
      </c>
      <c r="N93" s="60" t="str">
        <f aca="false">+VLOOKUP(K93,'Correl CIIU'!$A$1:$F$26,4,FALSE())</f>
        <v>Manufacturing</v>
      </c>
      <c r="O93" s="61" t="n">
        <v>1</v>
      </c>
      <c r="P93" s="62" t="str">
        <f aca="false">VLOOKUP(O93,bio!$D$2:$E$4,2,FALSE())</f>
        <v>Bioeconomía</v>
      </c>
    </row>
    <row r="94" customFormat="false" ht="15" hidden="false" customHeight="false" outlineLevel="0" collapsed="false">
      <c r="A94" s="0" t="s">
        <v>581</v>
      </c>
      <c r="B94" s="2" t="s">
        <v>558</v>
      </c>
      <c r="C94" s="19" t="str">
        <f aca="false">+VLOOKUP(B94,transacciones!$A$1:$I$39,2,FALSE())</f>
        <v>ATC01</v>
      </c>
      <c r="D94" s="19" t="str">
        <f aca="false">+VLOOKUP(B94,transacciones!$A$1:$I$39,3,FALSE())</f>
        <v>Producción / Consumo intermedio</v>
      </c>
      <c r="E94" s="19" t="str">
        <f aca="false">+VLOOKUP($B94,transacciones!$A$1:$I$39,4,FALSE())</f>
        <v>Consumo</v>
      </c>
      <c r="F94" s="19" t="n">
        <f aca="false">+VLOOKUP(B94,transacciones!$A$2:$I$39,5,FALSE())</f>
        <v>2</v>
      </c>
      <c r="G94" s="19" t="str">
        <f aca="false">+VLOOKUP(B94,transacciones!$A$2:$I$39,6,FALSE())</f>
        <v>P2</v>
      </c>
      <c r="H94" s="37" t="str">
        <f aca="false">+VLOOKUP(B94,transacciones!$A$1:$I$39,7,FALSE())</f>
        <v>Consumo intermedio</v>
      </c>
      <c r="I94" s="37" t="s">
        <v>317</v>
      </c>
      <c r="J94" s="37" t="s">
        <v>582</v>
      </c>
      <c r="K94" s="2" t="s">
        <v>372</v>
      </c>
      <c r="L94" s="60" t="str">
        <f aca="false">+VLOOKUP(K94,'Correl CIIU'!$A$1:$F$26,2,FALSE())</f>
        <v>Industrias manufactureras</v>
      </c>
      <c r="M94" s="60" t="str">
        <f aca="false">+VLOOKUP(K94,'Correl CIIU'!$A$1:$F$26,3,FALSE())</f>
        <v>Manufacturas</v>
      </c>
      <c r="N94" s="60" t="str">
        <f aca="false">+VLOOKUP(K94,'Correl CIIU'!$A$1:$F$26,4,FALSE())</f>
        <v>Manufacturing</v>
      </c>
      <c r="O94" s="61" t="n">
        <v>1</v>
      </c>
      <c r="P94" s="62" t="str">
        <f aca="false">VLOOKUP(O94,bio!$D$2:$E$4,2,FALSE())</f>
        <v>Bioeconomía</v>
      </c>
    </row>
    <row r="95" customFormat="false" ht="15" hidden="false" customHeight="false" outlineLevel="0" collapsed="false">
      <c r="A95" s="0" t="s">
        <v>583</v>
      </c>
      <c r="B95" s="2" t="s">
        <v>558</v>
      </c>
      <c r="C95" s="19" t="str">
        <f aca="false">+VLOOKUP(B95,transacciones!$A$1:$I$39,2,FALSE())</f>
        <v>ATC01</v>
      </c>
      <c r="D95" s="19" t="str">
        <f aca="false">+VLOOKUP(B95,transacciones!$A$1:$I$39,3,FALSE())</f>
        <v>Producción / Consumo intermedio</v>
      </c>
      <c r="E95" s="19" t="str">
        <f aca="false">+VLOOKUP($B95,transacciones!$A$1:$I$39,4,FALSE())</f>
        <v>Consumo</v>
      </c>
      <c r="F95" s="19" t="n">
        <f aca="false">+VLOOKUP(B95,transacciones!$A$2:$I$39,5,FALSE())</f>
        <v>2</v>
      </c>
      <c r="G95" s="19" t="str">
        <f aca="false">+VLOOKUP(B95,transacciones!$A$2:$I$39,6,FALSE())</f>
        <v>P2</v>
      </c>
      <c r="H95" s="37" t="str">
        <f aca="false">+VLOOKUP(B95,transacciones!$A$1:$I$39,7,FALSE())</f>
        <v>Consumo intermedio</v>
      </c>
      <c r="I95" s="37" t="s">
        <v>317</v>
      </c>
      <c r="J95" s="37" t="s">
        <v>584</v>
      </c>
      <c r="K95" s="2" t="s">
        <v>372</v>
      </c>
      <c r="L95" s="60" t="str">
        <f aca="false">+VLOOKUP(K95,'Correl CIIU'!$A$1:$F$26,2,FALSE())</f>
        <v>Industrias manufactureras</v>
      </c>
      <c r="M95" s="60" t="str">
        <f aca="false">+VLOOKUP(K95,'Correl CIIU'!$A$1:$F$26,3,FALSE())</f>
        <v>Manufacturas</v>
      </c>
      <c r="N95" s="60" t="str">
        <f aca="false">+VLOOKUP(K95,'Correl CIIU'!$A$1:$F$26,4,FALSE())</f>
        <v>Manufacturing</v>
      </c>
      <c r="O95" s="61" t="n">
        <v>1</v>
      </c>
      <c r="P95" s="62" t="str">
        <f aca="false">VLOOKUP(O95,bio!$D$2:$E$4,2,FALSE())</f>
        <v>Bioeconomía</v>
      </c>
    </row>
    <row r="96" customFormat="false" ht="15" hidden="false" customHeight="false" outlineLevel="0" collapsed="false">
      <c r="A96" s="0" t="s">
        <v>585</v>
      </c>
      <c r="B96" s="2" t="s">
        <v>558</v>
      </c>
      <c r="C96" s="19" t="str">
        <f aca="false">+VLOOKUP(B96,transacciones!$A$1:$I$39,2,FALSE())</f>
        <v>ATC01</v>
      </c>
      <c r="D96" s="19" t="str">
        <f aca="false">+VLOOKUP(B96,transacciones!$A$1:$I$39,3,FALSE())</f>
        <v>Producción / Consumo intermedio</v>
      </c>
      <c r="E96" s="19" t="str">
        <f aca="false">+VLOOKUP($B96,transacciones!$A$1:$I$39,4,FALSE())</f>
        <v>Consumo</v>
      </c>
      <c r="F96" s="19" t="n">
        <f aca="false">+VLOOKUP(B96,transacciones!$A$2:$I$39,5,FALSE())</f>
        <v>2</v>
      </c>
      <c r="G96" s="19" t="str">
        <f aca="false">+VLOOKUP(B96,transacciones!$A$2:$I$39,6,FALSE())</f>
        <v>P2</v>
      </c>
      <c r="H96" s="37" t="str">
        <f aca="false">+VLOOKUP(B96,transacciones!$A$1:$I$39,7,FALSE())</f>
        <v>Consumo intermedio</v>
      </c>
      <c r="I96" s="37" t="s">
        <v>317</v>
      </c>
      <c r="J96" s="37" t="s">
        <v>586</v>
      </c>
      <c r="K96" s="2" t="s">
        <v>372</v>
      </c>
      <c r="L96" s="60" t="str">
        <f aca="false">+VLOOKUP(K96,'Correl CIIU'!$A$1:$F$26,2,FALSE())</f>
        <v>Industrias manufactureras</v>
      </c>
      <c r="M96" s="60" t="str">
        <f aca="false">+VLOOKUP(K96,'Correl CIIU'!$A$1:$F$26,3,FALSE())</f>
        <v>Manufacturas</v>
      </c>
      <c r="N96" s="60" t="str">
        <f aca="false">+VLOOKUP(K96,'Correl CIIU'!$A$1:$F$26,4,FALSE())</f>
        <v>Manufacturing</v>
      </c>
      <c r="O96" s="61" t="n">
        <v>1</v>
      </c>
      <c r="P96" s="62" t="str">
        <f aca="false">VLOOKUP(O96,bio!$D$2:$E$4,2,FALSE())</f>
        <v>Bioeconomía</v>
      </c>
    </row>
    <row r="97" customFormat="false" ht="15" hidden="false" customHeight="false" outlineLevel="0" collapsed="false">
      <c r="A97" s="0" t="s">
        <v>587</v>
      </c>
      <c r="B97" s="2" t="s">
        <v>558</v>
      </c>
      <c r="C97" s="19" t="str">
        <f aca="false">+VLOOKUP(B97,transacciones!$A$1:$I$39,2,FALSE())</f>
        <v>ATC01</v>
      </c>
      <c r="D97" s="19" t="str">
        <f aca="false">+VLOOKUP(B97,transacciones!$A$1:$I$39,3,FALSE())</f>
        <v>Producción / Consumo intermedio</v>
      </c>
      <c r="E97" s="19" t="str">
        <f aca="false">+VLOOKUP($B97,transacciones!$A$1:$I$39,4,FALSE())</f>
        <v>Consumo</v>
      </c>
      <c r="F97" s="19" t="n">
        <f aca="false">+VLOOKUP(B97,transacciones!$A$2:$I$39,5,FALSE())</f>
        <v>2</v>
      </c>
      <c r="G97" s="19" t="str">
        <f aca="false">+VLOOKUP(B97,transacciones!$A$2:$I$39,6,FALSE())</f>
        <v>P2</v>
      </c>
      <c r="H97" s="37" t="str">
        <f aca="false">+VLOOKUP(B97,transacciones!$A$1:$I$39,7,FALSE())</f>
        <v>Consumo intermedio</v>
      </c>
      <c r="I97" s="37" t="s">
        <v>317</v>
      </c>
      <c r="J97" s="37" t="s">
        <v>588</v>
      </c>
      <c r="K97" s="2" t="s">
        <v>372</v>
      </c>
      <c r="L97" s="60" t="str">
        <f aca="false">+VLOOKUP(K97,'Correl CIIU'!$A$1:$F$26,2,FALSE())</f>
        <v>Industrias manufactureras</v>
      </c>
      <c r="M97" s="60" t="str">
        <f aca="false">+VLOOKUP(K97,'Correl CIIU'!$A$1:$F$26,3,FALSE())</f>
        <v>Manufacturas</v>
      </c>
      <c r="N97" s="60" t="str">
        <f aca="false">+VLOOKUP(K97,'Correl CIIU'!$A$1:$F$26,4,FALSE())</f>
        <v>Manufacturing</v>
      </c>
      <c r="O97" s="61" t="n">
        <v>1</v>
      </c>
      <c r="P97" s="62" t="str">
        <f aca="false">VLOOKUP(O97,bio!$D$2:$E$4,2,FALSE())</f>
        <v>Bioeconomía</v>
      </c>
    </row>
    <row r="98" customFormat="false" ht="15" hidden="false" customHeight="false" outlineLevel="0" collapsed="false">
      <c r="A98" s="0" t="s">
        <v>589</v>
      </c>
      <c r="B98" s="2" t="s">
        <v>558</v>
      </c>
      <c r="C98" s="19" t="str">
        <f aca="false">+VLOOKUP(B98,transacciones!$A$1:$I$39,2,FALSE())</f>
        <v>ATC01</v>
      </c>
      <c r="D98" s="19" t="str">
        <f aca="false">+VLOOKUP(B98,transacciones!$A$1:$I$39,3,FALSE())</f>
        <v>Producción / Consumo intermedio</v>
      </c>
      <c r="E98" s="19" t="str">
        <f aca="false">+VLOOKUP($B98,transacciones!$A$1:$I$39,4,FALSE())</f>
        <v>Consumo</v>
      </c>
      <c r="F98" s="19" t="n">
        <f aca="false">+VLOOKUP(B98,transacciones!$A$2:$I$39,5,FALSE())</f>
        <v>2</v>
      </c>
      <c r="G98" s="19" t="str">
        <f aca="false">+VLOOKUP(B98,transacciones!$A$2:$I$39,6,FALSE())</f>
        <v>P2</v>
      </c>
      <c r="H98" s="37" t="str">
        <f aca="false">+VLOOKUP(B98,transacciones!$A$1:$I$39,7,FALSE())</f>
        <v>Consumo intermedio</v>
      </c>
      <c r="I98" s="37" t="s">
        <v>317</v>
      </c>
      <c r="J98" s="37" t="s">
        <v>590</v>
      </c>
      <c r="K98" s="2" t="s">
        <v>372</v>
      </c>
      <c r="L98" s="60" t="str">
        <f aca="false">+VLOOKUP(K98,'Correl CIIU'!$A$1:$F$26,2,FALSE())</f>
        <v>Industrias manufactureras</v>
      </c>
      <c r="M98" s="60" t="str">
        <f aca="false">+VLOOKUP(K98,'Correl CIIU'!$A$1:$F$26,3,FALSE())</f>
        <v>Manufacturas</v>
      </c>
      <c r="N98" s="60" t="str">
        <f aca="false">+VLOOKUP(K98,'Correl CIIU'!$A$1:$F$26,4,FALSE())</f>
        <v>Manufacturing</v>
      </c>
      <c r="O98" s="61" t="n">
        <v>1</v>
      </c>
      <c r="P98" s="62" t="str">
        <f aca="false">VLOOKUP(O98,bio!$D$2:$E$4,2,FALSE())</f>
        <v>Bioeconomía</v>
      </c>
    </row>
    <row r="99" customFormat="false" ht="15" hidden="false" customHeight="false" outlineLevel="0" collapsed="false">
      <c r="A99" s="0" t="s">
        <v>591</v>
      </c>
      <c r="B99" s="2" t="s">
        <v>558</v>
      </c>
      <c r="C99" s="19" t="str">
        <f aca="false">+VLOOKUP(B99,transacciones!$A$1:$I$39,2,FALSE())</f>
        <v>ATC01</v>
      </c>
      <c r="D99" s="19" t="str">
        <f aca="false">+VLOOKUP(B99,transacciones!$A$1:$I$39,3,FALSE())</f>
        <v>Producción / Consumo intermedio</v>
      </c>
      <c r="E99" s="19" t="str">
        <f aca="false">+VLOOKUP($B99,transacciones!$A$1:$I$39,4,FALSE())</f>
        <v>Consumo</v>
      </c>
      <c r="F99" s="19" t="n">
        <f aca="false">+VLOOKUP(B99,transacciones!$A$2:$I$39,5,FALSE())</f>
        <v>2</v>
      </c>
      <c r="G99" s="19" t="str">
        <f aca="false">+VLOOKUP(B99,transacciones!$A$2:$I$39,6,FALSE())</f>
        <v>P2</v>
      </c>
      <c r="H99" s="37" t="str">
        <f aca="false">+VLOOKUP(B99,transacciones!$A$1:$I$39,7,FALSE())</f>
        <v>Consumo intermedio</v>
      </c>
      <c r="I99" s="37" t="s">
        <v>317</v>
      </c>
      <c r="J99" s="37" t="s">
        <v>592</v>
      </c>
      <c r="K99" s="2" t="s">
        <v>372</v>
      </c>
      <c r="L99" s="60" t="str">
        <f aca="false">+VLOOKUP(K99,'Correl CIIU'!$A$1:$F$26,2,FALSE())</f>
        <v>Industrias manufactureras</v>
      </c>
      <c r="M99" s="60" t="str">
        <f aca="false">+VLOOKUP(K99,'Correl CIIU'!$A$1:$F$26,3,FALSE())</f>
        <v>Manufacturas</v>
      </c>
      <c r="N99" s="60" t="str">
        <f aca="false">+VLOOKUP(K99,'Correl CIIU'!$A$1:$F$26,4,FALSE())</f>
        <v>Manufacturing</v>
      </c>
      <c r="O99" s="61" t="n">
        <v>1</v>
      </c>
      <c r="P99" s="62" t="str">
        <f aca="false">VLOOKUP(O99,bio!$D$2:$E$4,2,FALSE())</f>
        <v>Bioeconomía</v>
      </c>
    </row>
    <row r="100" customFormat="false" ht="15" hidden="false" customHeight="false" outlineLevel="0" collapsed="false">
      <c r="A100" s="0" t="s">
        <v>593</v>
      </c>
      <c r="B100" s="2" t="s">
        <v>558</v>
      </c>
      <c r="C100" s="19" t="str">
        <f aca="false">+VLOOKUP(B100,transacciones!$A$1:$I$39,2,FALSE())</f>
        <v>ATC01</v>
      </c>
      <c r="D100" s="19" t="str">
        <f aca="false">+VLOOKUP(B100,transacciones!$A$1:$I$39,3,FALSE())</f>
        <v>Producción / Consumo intermedio</v>
      </c>
      <c r="E100" s="19" t="str">
        <f aca="false">+VLOOKUP($B100,transacciones!$A$1:$I$39,4,FALSE())</f>
        <v>Consumo</v>
      </c>
      <c r="F100" s="19" t="n">
        <f aca="false">+VLOOKUP(B100,transacciones!$A$2:$I$39,5,FALSE())</f>
        <v>2</v>
      </c>
      <c r="G100" s="19" t="str">
        <f aca="false">+VLOOKUP(B100,transacciones!$A$2:$I$39,6,FALSE())</f>
        <v>P2</v>
      </c>
      <c r="H100" s="37" t="str">
        <f aca="false">+VLOOKUP(B100,transacciones!$A$1:$I$39,7,FALSE())</f>
        <v>Consumo intermedio</v>
      </c>
      <c r="I100" s="37" t="s">
        <v>317</v>
      </c>
      <c r="J100" s="37" t="s">
        <v>594</v>
      </c>
      <c r="K100" s="2" t="s">
        <v>372</v>
      </c>
      <c r="L100" s="60" t="str">
        <f aca="false">+VLOOKUP(K100,'Correl CIIU'!$A$1:$F$26,2,FALSE())</f>
        <v>Industrias manufactureras</v>
      </c>
      <c r="M100" s="60" t="str">
        <f aca="false">+VLOOKUP(K100,'Correl CIIU'!$A$1:$F$26,3,FALSE())</f>
        <v>Manufacturas</v>
      </c>
      <c r="N100" s="60" t="str">
        <f aca="false">+VLOOKUP(K100,'Correl CIIU'!$A$1:$F$26,4,FALSE())</f>
        <v>Manufacturing</v>
      </c>
      <c r="O100" s="61" t="n">
        <v>1</v>
      </c>
      <c r="P100" s="62" t="str">
        <f aca="false">VLOOKUP(O100,bio!$D$2:$E$4,2,FALSE())</f>
        <v>Bioeconomía</v>
      </c>
    </row>
    <row r="101" customFormat="false" ht="15" hidden="false" customHeight="false" outlineLevel="0" collapsed="false">
      <c r="A101" s="0" t="s">
        <v>595</v>
      </c>
      <c r="B101" s="2" t="s">
        <v>558</v>
      </c>
      <c r="C101" s="19" t="str">
        <f aca="false">+VLOOKUP(B101,transacciones!$A$1:$I$39,2,FALSE())</f>
        <v>ATC01</v>
      </c>
      <c r="D101" s="19" t="str">
        <f aca="false">+VLOOKUP(B101,transacciones!$A$1:$I$39,3,FALSE())</f>
        <v>Producción / Consumo intermedio</v>
      </c>
      <c r="E101" s="19" t="str">
        <f aca="false">+VLOOKUP($B101,transacciones!$A$1:$I$39,4,FALSE())</f>
        <v>Consumo</v>
      </c>
      <c r="F101" s="19" t="n">
        <f aca="false">+VLOOKUP(B101,transacciones!$A$2:$I$39,5,FALSE())</f>
        <v>2</v>
      </c>
      <c r="G101" s="19" t="str">
        <f aca="false">+VLOOKUP(B101,transacciones!$A$2:$I$39,6,FALSE())</f>
        <v>P2</v>
      </c>
      <c r="H101" s="37" t="str">
        <f aca="false">+VLOOKUP(B101,transacciones!$A$1:$I$39,7,FALSE())</f>
        <v>Consumo intermedio</v>
      </c>
      <c r="I101" s="37" t="s">
        <v>317</v>
      </c>
      <c r="J101" s="37" t="s">
        <v>596</v>
      </c>
      <c r="K101" s="2" t="s">
        <v>372</v>
      </c>
      <c r="L101" s="60" t="str">
        <f aca="false">+VLOOKUP(K101,'Correl CIIU'!$A$1:$F$26,2,FALSE())</f>
        <v>Industrias manufactureras</v>
      </c>
      <c r="M101" s="60" t="str">
        <f aca="false">+VLOOKUP(K101,'Correl CIIU'!$A$1:$F$26,3,FALSE())</f>
        <v>Manufacturas</v>
      </c>
      <c r="N101" s="60" t="str">
        <f aca="false">+VLOOKUP(K101,'Correl CIIU'!$A$1:$F$26,4,FALSE())</f>
        <v>Manufacturing</v>
      </c>
      <c r="O101" s="61" t="n">
        <v>1</v>
      </c>
      <c r="P101" s="62" t="str">
        <f aca="false">VLOOKUP(O101,bio!$D$2:$E$4,2,FALSE())</f>
        <v>Bioeconomía</v>
      </c>
    </row>
    <row r="102" customFormat="false" ht="15" hidden="false" customHeight="false" outlineLevel="0" collapsed="false">
      <c r="A102" s="0" t="s">
        <v>597</v>
      </c>
      <c r="B102" s="2" t="s">
        <v>558</v>
      </c>
      <c r="C102" s="19" t="str">
        <f aca="false">+VLOOKUP(B102,transacciones!$A$1:$I$39,2,FALSE())</f>
        <v>ATC01</v>
      </c>
      <c r="D102" s="19" t="str">
        <f aca="false">+VLOOKUP(B102,transacciones!$A$1:$I$39,3,FALSE())</f>
        <v>Producción / Consumo intermedio</v>
      </c>
      <c r="E102" s="19" t="str">
        <f aca="false">+VLOOKUP($B102,transacciones!$A$1:$I$39,4,FALSE())</f>
        <v>Consumo</v>
      </c>
      <c r="F102" s="19" t="n">
        <f aca="false">+VLOOKUP(B102,transacciones!$A$2:$I$39,5,FALSE())</f>
        <v>2</v>
      </c>
      <c r="G102" s="19" t="str">
        <f aca="false">+VLOOKUP(B102,transacciones!$A$2:$I$39,6,FALSE())</f>
        <v>P2</v>
      </c>
      <c r="H102" s="37" t="str">
        <f aca="false">+VLOOKUP(B102,transacciones!$A$1:$I$39,7,FALSE())</f>
        <v>Consumo intermedio</v>
      </c>
      <c r="I102" s="37" t="s">
        <v>317</v>
      </c>
      <c r="J102" s="37" t="s">
        <v>598</v>
      </c>
      <c r="K102" s="2" t="s">
        <v>372</v>
      </c>
      <c r="L102" s="60" t="str">
        <f aca="false">+VLOOKUP(K102,'Correl CIIU'!$A$1:$F$26,2,FALSE())</f>
        <v>Industrias manufactureras</v>
      </c>
      <c r="M102" s="60" t="str">
        <f aca="false">+VLOOKUP(K102,'Correl CIIU'!$A$1:$F$26,3,FALSE())</f>
        <v>Manufacturas</v>
      </c>
      <c r="N102" s="60" t="str">
        <f aca="false">+VLOOKUP(K102,'Correl CIIU'!$A$1:$F$26,4,FALSE())</f>
        <v>Manufacturing</v>
      </c>
      <c r="O102" s="61" t="n">
        <v>2</v>
      </c>
      <c r="P102" s="62" t="str">
        <f aca="false">VLOOKUP(O102,bio!$D$2:$E$4,2,FALSE())</f>
        <v>Bioeconomía extendida</v>
      </c>
    </row>
    <row r="103" customFormat="false" ht="15" hidden="false" customHeight="false" outlineLevel="0" collapsed="false">
      <c r="A103" s="0" t="s">
        <v>599</v>
      </c>
      <c r="B103" s="2" t="s">
        <v>558</v>
      </c>
      <c r="C103" s="19" t="str">
        <f aca="false">+VLOOKUP(B103,transacciones!$A$1:$I$39,2,FALSE())</f>
        <v>ATC01</v>
      </c>
      <c r="D103" s="19" t="str">
        <f aca="false">+VLOOKUP(B103,transacciones!$A$1:$I$39,3,FALSE())</f>
        <v>Producción / Consumo intermedio</v>
      </c>
      <c r="E103" s="19" t="str">
        <f aca="false">+VLOOKUP($B103,transacciones!$A$1:$I$39,4,FALSE())</f>
        <v>Consumo</v>
      </c>
      <c r="F103" s="19" t="n">
        <f aca="false">+VLOOKUP(B103,transacciones!$A$2:$I$39,5,FALSE())</f>
        <v>2</v>
      </c>
      <c r="G103" s="19" t="str">
        <f aca="false">+VLOOKUP(B103,transacciones!$A$2:$I$39,6,FALSE())</f>
        <v>P2</v>
      </c>
      <c r="H103" s="37" t="str">
        <f aca="false">+VLOOKUP(B103,transacciones!$A$1:$I$39,7,FALSE())</f>
        <v>Consumo intermedio</v>
      </c>
      <c r="I103" s="37" t="s">
        <v>317</v>
      </c>
      <c r="J103" s="37" t="s">
        <v>600</v>
      </c>
      <c r="K103" s="2" t="s">
        <v>372</v>
      </c>
      <c r="L103" s="60" t="str">
        <f aca="false">+VLOOKUP(K103,'Correl CIIU'!$A$1:$F$26,2,FALSE())</f>
        <v>Industrias manufactureras</v>
      </c>
      <c r="M103" s="60" t="str">
        <f aca="false">+VLOOKUP(K103,'Correl CIIU'!$A$1:$F$26,3,FALSE())</f>
        <v>Manufacturas</v>
      </c>
      <c r="N103" s="60" t="str">
        <f aca="false">+VLOOKUP(K103,'Correl CIIU'!$A$1:$F$26,4,FALSE())</f>
        <v>Manufacturing</v>
      </c>
      <c r="O103" s="61" t="n">
        <v>2</v>
      </c>
      <c r="P103" s="62" t="str">
        <f aca="false">VLOOKUP(O103,bio!$D$2:$E$4,2,FALSE())</f>
        <v>Bioeconomía extendida</v>
      </c>
    </row>
    <row r="104" customFormat="false" ht="15" hidden="false" customHeight="false" outlineLevel="0" collapsed="false">
      <c r="A104" s="0" t="s">
        <v>601</v>
      </c>
      <c r="B104" s="2" t="s">
        <v>558</v>
      </c>
      <c r="C104" s="19" t="str">
        <f aca="false">+VLOOKUP(B104,transacciones!$A$1:$I$39,2,FALSE())</f>
        <v>ATC01</v>
      </c>
      <c r="D104" s="19" t="str">
        <f aca="false">+VLOOKUP(B104,transacciones!$A$1:$I$39,3,FALSE())</f>
        <v>Producción / Consumo intermedio</v>
      </c>
      <c r="E104" s="19" t="str">
        <f aca="false">+VLOOKUP($B104,transacciones!$A$1:$I$39,4,FALSE())</f>
        <v>Consumo</v>
      </c>
      <c r="F104" s="19" t="n">
        <f aca="false">+VLOOKUP(B104,transacciones!$A$2:$I$39,5,FALSE())</f>
        <v>2</v>
      </c>
      <c r="G104" s="19" t="str">
        <f aca="false">+VLOOKUP(B104,transacciones!$A$2:$I$39,6,FALSE())</f>
        <v>P2</v>
      </c>
      <c r="H104" s="37" t="str">
        <f aca="false">+VLOOKUP(B104,transacciones!$A$1:$I$39,7,FALSE())</f>
        <v>Consumo intermedio</v>
      </c>
      <c r="I104" s="37" t="s">
        <v>317</v>
      </c>
      <c r="J104" s="37" t="s">
        <v>602</v>
      </c>
      <c r="K104" s="2" t="s">
        <v>372</v>
      </c>
      <c r="L104" s="60" t="str">
        <f aca="false">+VLOOKUP(K104,'Correl CIIU'!$A$1:$F$26,2,FALSE())</f>
        <v>Industrias manufactureras</v>
      </c>
      <c r="M104" s="60" t="str">
        <f aca="false">+VLOOKUP(K104,'Correl CIIU'!$A$1:$F$26,3,FALSE())</f>
        <v>Manufacturas</v>
      </c>
      <c r="N104" s="60" t="str">
        <f aca="false">+VLOOKUP(K104,'Correl CIIU'!$A$1:$F$26,4,FALSE())</f>
        <v>Manufacturing</v>
      </c>
      <c r="O104" s="61" t="n">
        <v>2</v>
      </c>
      <c r="P104" s="62" t="str">
        <f aca="false">VLOOKUP(O104,bio!$D$2:$E$4,2,FALSE())</f>
        <v>Bioeconomía extendida</v>
      </c>
    </row>
    <row r="105" customFormat="false" ht="15" hidden="false" customHeight="false" outlineLevel="0" collapsed="false">
      <c r="A105" s="0" t="s">
        <v>603</v>
      </c>
      <c r="B105" s="2" t="s">
        <v>558</v>
      </c>
      <c r="C105" s="19" t="str">
        <f aca="false">+VLOOKUP(B105,transacciones!$A$1:$I$39,2,FALSE())</f>
        <v>ATC01</v>
      </c>
      <c r="D105" s="19" t="str">
        <f aca="false">+VLOOKUP(B105,transacciones!$A$1:$I$39,3,FALSE())</f>
        <v>Producción / Consumo intermedio</v>
      </c>
      <c r="E105" s="19" t="str">
        <f aca="false">+VLOOKUP($B105,transacciones!$A$1:$I$39,4,FALSE())</f>
        <v>Consumo</v>
      </c>
      <c r="F105" s="19" t="n">
        <f aca="false">+VLOOKUP(B105,transacciones!$A$2:$I$39,5,FALSE())</f>
        <v>2</v>
      </c>
      <c r="G105" s="19" t="str">
        <f aca="false">+VLOOKUP(B105,transacciones!$A$2:$I$39,6,FALSE())</f>
        <v>P2</v>
      </c>
      <c r="H105" s="37" t="str">
        <f aca="false">+VLOOKUP(B105,transacciones!$A$1:$I$39,7,FALSE())</f>
        <v>Consumo intermedio</v>
      </c>
      <c r="I105" s="37" t="s">
        <v>317</v>
      </c>
      <c r="J105" s="37" t="s">
        <v>604</v>
      </c>
      <c r="K105" s="2" t="s">
        <v>372</v>
      </c>
      <c r="L105" s="60" t="str">
        <f aca="false">+VLOOKUP(K105,'Correl CIIU'!$A$1:$F$26,2,FALSE())</f>
        <v>Industrias manufactureras</v>
      </c>
      <c r="M105" s="60" t="str">
        <f aca="false">+VLOOKUP(K105,'Correl CIIU'!$A$1:$F$26,3,FALSE())</f>
        <v>Manufacturas</v>
      </c>
      <c r="N105" s="60" t="str">
        <f aca="false">+VLOOKUP(K105,'Correl CIIU'!$A$1:$F$26,4,FALSE())</f>
        <v>Manufacturing</v>
      </c>
      <c r="O105" s="61" t="n">
        <v>2</v>
      </c>
      <c r="P105" s="62" t="str">
        <f aca="false">VLOOKUP(O105,bio!$D$2:$E$4,2,FALSE())</f>
        <v>Bioeconomía extendida</v>
      </c>
    </row>
    <row r="106" customFormat="false" ht="15" hidden="false" customHeight="false" outlineLevel="0" collapsed="false">
      <c r="A106" s="0" t="s">
        <v>605</v>
      </c>
      <c r="B106" s="2" t="s">
        <v>558</v>
      </c>
      <c r="C106" s="19" t="str">
        <f aca="false">+VLOOKUP(B106,transacciones!$A$1:$I$39,2,FALSE())</f>
        <v>ATC01</v>
      </c>
      <c r="D106" s="19" t="str">
        <f aca="false">+VLOOKUP(B106,transacciones!$A$1:$I$39,3,FALSE())</f>
        <v>Producción / Consumo intermedio</v>
      </c>
      <c r="E106" s="19" t="str">
        <f aca="false">+VLOOKUP($B106,transacciones!$A$1:$I$39,4,FALSE())</f>
        <v>Consumo</v>
      </c>
      <c r="F106" s="19" t="n">
        <f aca="false">+VLOOKUP(B106,transacciones!$A$2:$I$39,5,FALSE())</f>
        <v>2</v>
      </c>
      <c r="G106" s="19" t="str">
        <f aca="false">+VLOOKUP(B106,transacciones!$A$2:$I$39,6,FALSE())</f>
        <v>P2</v>
      </c>
      <c r="H106" s="37" t="str">
        <f aca="false">+VLOOKUP(B106,transacciones!$A$1:$I$39,7,FALSE())</f>
        <v>Consumo intermedio</v>
      </c>
      <c r="I106" s="37" t="s">
        <v>317</v>
      </c>
      <c r="J106" s="37" t="s">
        <v>606</v>
      </c>
      <c r="K106" s="2" t="s">
        <v>372</v>
      </c>
      <c r="L106" s="60" t="str">
        <f aca="false">+VLOOKUP(K106,'Correl CIIU'!$A$1:$F$26,2,FALSE())</f>
        <v>Industrias manufactureras</v>
      </c>
      <c r="M106" s="60" t="str">
        <f aca="false">+VLOOKUP(K106,'Correl CIIU'!$A$1:$F$26,3,FALSE())</f>
        <v>Manufacturas</v>
      </c>
      <c r="N106" s="60" t="str">
        <f aca="false">+VLOOKUP(K106,'Correl CIIU'!$A$1:$F$26,4,FALSE())</f>
        <v>Manufacturing</v>
      </c>
      <c r="O106" s="61" t="n">
        <v>3</v>
      </c>
      <c r="P106" s="62" t="str">
        <f aca="false">VLOOKUP(O106,bio!$D$2:$E$4,2,FALSE())</f>
        <v>No bioeconomía</v>
      </c>
    </row>
    <row r="107" customFormat="false" ht="15" hidden="false" customHeight="false" outlineLevel="0" collapsed="false">
      <c r="A107" s="0" t="s">
        <v>607</v>
      </c>
      <c r="B107" s="2" t="s">
        <v>558</v>
      </c>
      <c r="C107" s="19" t="str">
        <f aca="false">+VLOOKUP(B107,transacciones!$A$1:$I$39,2,FALSE())</f>
        <v>ATC01</v>
      </c>
      <c r="D107" s="19" t="str">
        <f aca="false">+VLOOKUP(B107,transacciones!$A$1:$I$39,3,FALSE())</f>
        <v>Producción / Consumo intermedio</v>
      </c>
      <c r="E107" s="19" t="str">
        <f aca="false">+VLOOKUP($B107,transacciones!$A$1:$I$39,4,FALSE())</f>
        <v>Consumo</v>
      </c>
      <c r="F107" s="19" t="n">
        <f aca="false">+VLOOKUP(B107,transacciones!$A$2:$I$39,5,FALSE())</f>
        <v>2</v>
      </c>
      <c r="G107" s="19" t="str">
        <f aca="false">+VLOOKUP(B107,transacciones!$A$2:$I$39,6,FALSE())</f>
        <v>P2</v>
      </c>
      <c r="H107" s="37" t="str">
        <f aca="false">+VLOOKUP(B107,transacciones!$A$1:$I$39,7,FALSE())</f>
        <v>Consumo intermedio</v>
      </c>
      <c r="I107" s="37" t="s">
        <v>317</v>
      </c>
      <c r="J107" s="37" t="s">
        <v>608</v>
      </c>
      <c r="K107" s="2" t="s">
        <v>372</v>
      </c>
      <c r="L107" s="60" t="str">
        <f aca="false">+VLOOKUP(K107,'Correl CIIU'!$A$1:$F$26,2,FALSE())</f>
        <v>Industrias manufactureras</v>
      </c>
      <c r="M107" s="60" t="str">
        <f aca="false">+VLOOKUP(K107,'Correl CIIU'!$A$1:$F$26,3,FALSE())</f>
        <v>Manufacturas</v>
      </c>
      <c r="N107" s="60" t="str">
        <f aca="false">+VLOOKUP(K107,'Correl CIIU'!$A$1:$F$26,4,FALSE())</f>
        <v>Manufacturing</v>
      </c>
      <c r="O107" s="61" t="n">
        <v>3</v>
      </c>
      <c r="P107" s="62" t="str">
        <f aca="false">VLOOKUP(O107,bio!$D$2:$E$4,2,FALSE())</f>
        <v>No bioeconomía</v>
      </c>
    </row>
    <row r="108" customFormat="false" ht="15" hidden="false" customHeight="false" outlineLevel="0" collapsed="false">
      <c r="A108" s="0" t="s">
        <v>609</v>
      </c>
      <c r="B108" s="2" t="s">
        <v>558</v>
      </c>
      <c r="C108" s="19" t="str">
        <f aca="false">+VLOOKUP(B108,transacciones!$A$1:$I$39,2,FALSE())</f>
        <v>ATC01</v>
      </c>
      <c r="D108" s="19" t="str">
        <f aca="false">+VLOOKUP(B108,transacciones!$A$1:$I$39,3,FALSE())</f>
        <v>Producción / Consumo intermedio</v>
      </c>
      <c r="E108" s="19" t="str">
        <f aca="false">+VLOOKUP($B108,transacciones!$A$1:$I$39,4,FALSE())</f>
        <v>Consumo</v>
      </c>
      <c r="F108" s="19" t="n">
        <f aca="false">+VLOOKUP(B108,transacciones!$A$2:$I$39,5,FALSE())</f>
        <v>2</v>
      </c>
      <c r="G108" s="19" t="str">
        <f aca="false">+VLOOKUP(B108,transacciones!$A$2:$I$39,6,FALSE())</f>
        <v>P2</v>
      </c>
      <c r="H108" s="37" t="str">
        <f aca="false">+VLOOKUP(B108,transacciones!$A$1:$I$39,7,FALSE())</f>
        <v>Consumo intermedio</v>
      </c>
      <c r="I108" s="37" t="s">
        <v>317</v>
      </c>
      <c r="J108" s="37" t="s">
        <v>610</v>
      </c>
      <c r="K108" s="2" t="s">
        <v>372</v>
      </c>
      <c r="L108" s="60" t="str">
        <f aca="false">+VLOOKUP(K108,'Correl CIIU'!$A$1:$F$26,2,FALSE())</f>
        <v>Industrias manufactureras</v>
      </c>
      <c r="M108" s="60" t="str">
        <f aca="false">+VLOOKUP(K108,'Correl CIIU'!$A$1:$F$26,3,FALSE())</f>
        <v>Manufacturas</v>
      </c>
      <c r="N108" s="60" t="str">
        <f aca="false">+VLOOKUP(K108,'Correl CIIU'!$A$1:$F$26,4,FALSE())</f>
        <v>Manufacturing</v>
      </c>
      <c r="O108" s="61" t="n">
        <v>2</v>
      </c>
      <c r="P108" s="62" t="str">
        <f aca="false">VLOOKUP(O108,bio!$D$2:$E$4,2,FALSE())</f>
        <v>Bioeconomía extendida</v>
      </c>
    </row>
    <row r="109" customFormat="false" ht="15" hidden="false" customHeight="false" outlineLevel="0" collapsed="false">
      <c r="A109" s="0" t="s">
        <v>611</v>
      </c>
      <c r="B109" s="2" t="s">
        <v>558</v>
      </c>
      <c r="C109" s="19" t="str">
        <f aca="false">+VLOOKUP(B109,transacciones!$A$1:$I$39,2,FALSE())</f>
        <v>ATC01</v>
      </c>
      <c r="D109" s="19" t="str">
        <f aca="false">+VLOOKUP(B109,transacciones!$A$1:$I$39,3,FALSE())</f>
        <v>Producción / Consumo intermedio</v>
      </c>
      <c r="E109" s="19" t="str">
        <f aca="false">+VLOOKUP($B109,transacciones!$A$1:$I$39,4,FALSE())</f>
        <v>Consumo</v>
      </c>
      <c r="F109" s="19" t="n">
        <f aca="false">+VLOOKUP(B109,transacciones!$A$2:$I$39,5,FALSE())</f>
        <v>2</v>
      </c>
      <c r="G109" s="19" t="str">
        <f aca="false">+VLOOKUP(B109,transacciones!$A$2:$I$39,6,FALSE())</f>
        <v>P2</v>
      </c>
      <c r="H109" s="37" t="str">
        <f aca="false">+VLOOKUP(B109,transacciones!$A$1:$I$39,7,FALSE())</f>
        <v>Consumo intermedio</v>
      </c>
      <c r="I109" s="37" t="s">
        <v>317</v>
      </c>
      <c r="J109" s="37" t="s">
        <v>612</v>
      </c>
      <c r="K109" s="2" t="s">
        <v>372</v>
      </c>
      <c r="L109" s="60" t="str">
        <f aca="false">+VLOOKUP(K109,'Correl CIIU'!$A$1:$F$26,2,FALSE())</f>
        <v>Industrias manufactureras</v>
      </c>
      <c r="M109" s="60" t="str">
        <f aca="false">+VLOOKUP(K109,'Correl CIIU'!$A$1:$F$26,3,FALSE())</f>
        <v>Manufacturas</v>
      </c>
      <c r="N109" s="60" t="str">
        <f aca="false">+VLOOKUP(K109,'Correl CIIU'!$A$1:$F$26,4,FALSE())</f>
        <v>Manufacturing</v>
      </c>
      <c r="O109" s="61" t="n">
        <v>3</v>
      </c>
      <c r="P109" s="62" t="str">
        <f aca="false">VLOOKUP(O109,bio!$D$2:$E$4,2,FALSE())</f>
        <v>No bioeconomía</v>
      </c>
    </row>
    <row r="110" customFormat="false" ht="15" hidden="false" customHeight="false" outlineLevel="0" collapsed="false">
      <c r="A110" s="0" t="s">
        <v>613</v>
      </c>
      <c r="B110" s="2" t="s">
        <v>558</v>
      </c>
      <c r="C110" s="19" t="str">
        <f aca="false">+VLOOKUP(B110,transacciones!$A$1:$I$39,2,FALSE())</f>
        <v>ATC01</v>
      </c>
      <c r="D110" s="19" t="str">
        <f aca="false">+VLOOKUP(B110,transacciones!$A$1:$I$39,3,FALSE())</f>
        <v>Producción / Consumo intermedio</v>
      </c>
      <c r="E110" s="19" t="str">
        <f aca="false">+VLOOKUP($B110,transacciones!$A$1:$I$39,4,FALSE())</f>
        <v>Consumo</v>
      </c>
      <c r="F110" s="19" t="n">
        <f aca="false">+VLOOKUP(B110,transacciones!$A$2:$I$39,5,FALSE())</f>
        <v>2</v>
      </c>
      <c r="G110" s="19" t="str">
        <f aca="false">+VLOOKUP(B110,transacciones!$A$2:$I$39,6,FALSE())</f>
        <v>P2</v>
      </c>
      <c r="H110" s="37" t="str">
        <f aca="false">+VLOOKUP(B110,transacciones!$A$1:$I$39,7,FALSE())</f>
        <v>Consumo intermedio</v>
      </c>
      <c r="I110" s="37" t="s">
        <v>317</v>
      </c>
      <c r="J110" s="37" t="s">
        <v>614</v>
      </c>
      <c r="K110" s="2" t="s">
        <v>372</v>
      </c>
      <c r="L110" s="60" t="str">
        <f aca="false">+VLOOKUP(K110,'Correl CIIU'!$A$1:$F$26,2,FALSE())</f>
        <v>Industrias manufactureras</v>
      </c>
      <c r="M110" s="60" t="str">
        <f aca="false">+VLOOKUP(K110,'Correl CIIU'!$A$1:$F$26,3,FALSE())</f>
        <v>Manufacturas</v>
      </c>
      <c r="N110" s="60" t="str">
        <f aca="false">+VLOOKUP(K110,'Correl CIIU'!$A$1:$F$26,4,FALSE())</f>
        <v>Manufacturing</v>
      </c>
      <c r="O110" s="61" t="n">
        <v>3</v>
      </c>
      <c r="P110" s="62" t="str">
        <f aca="false">VLOOKUP(O110,bio!$D$2:$E$4,2,FALSE())</f>
        <v>No bioeconomía</v>
      </c>
    </row>
    <row r="111" customFormat="false" ht="15" hidden="false" customHeight="false" outlineLevel="0" collapsed="false">
      <c r="A111" s="0" t="s">
        <v>615</v>
      </c>
      <c r="B111" s="2" t="s">
        <v>558</v>
      </c>
      <c r="C111" s="19" t="str">
        <f aca="false">+VLOOKUP(B111,transacciones!$A$1:$I$39,2,FALSE())</f>
        <v>ATC01</v>
      </c>
      <c r="D111" s="19" t="str">
        <f aca="false">+VLOOKUP(B111,transacciones!$A$1:$I$39,3,FALSE())</f>
        <v>Producción / Consumo intermedio</v>
      </c>
      <c r="E111" s="19" t="str">
        <f aca="false">+VLOOKUP($B111,transacciones!$A$1:$I$39,4,FALSE())</f>
        <v>Consumo</v>
      </c>
      <c r="F111" s="19" t="n">
        <f aca="false">+VLOOKUP(B111,transacciones!$A$2:$I$39,5,FALSE())</f>
        <v>2</v>
      </c>
      <c r="G111" s="19" t="str">
        <f aca="false">+VLOOKUP(B111,transacciones!$A$2:$I$39,6,FALSE())</f>
        <v>P2</v>
      </c>
      <c r="H111" s="37" t="str">
        <f aca="false">+VLOOKUP(B111,transacciones!$A$1:$I$39,7,FALSE())</f>
        <v>Consumo intermedio</v>
      </c>
      <c r="I111" s="37" t="s">
        <v>317</v>
      </c>
      <c r="J111" s="37" t="s">
        <v>616</v>
      </c>
      <c r="K111" s="2" t="s">
        <v>372</v>
      </c>
      <c r="L111" s="60" t="str">
        <f aca="false">+VLOOKUP(K111,'Correl CIIU'!$A$1:$F$26,2,FALSE())</f>
        <v>Industrias manufactureras</v>
      </c>
      <c r="M111" s="60" t="str">
        <f aca="false">+VLOOKUP(K111,'Correl CIIU'!$A$1:$F$26,3,FALSE())</f>
        <v>Manufacturas</v>
      </c>
      <c r="N111" s="60" t="str">
        <f aca="false">+VLOOKUP(K111,'Correl CIIU'!$A$1:$F$26,4,FALSE())</f>
        <v>Manufacturing</v>
      </c>
      <c r="O111" s="61" t="n">
        <v>3</v>
      </c>
      <c r="P111" s="62" t="str">
        <f aca="false">VLOOKUP(O111,bio!$D$2:$E$4,2,FALSE())</f>
        <v>No bioeconomía</v>
      </c>
    </row>
    <row r="112" customFormat="false" ht="15" hidden="false" customHeight="false" outlineLevel="0" collapsed="false">
      <c r="A112" s="0" t="s">
        <v>617</v>
      </c>
      <c r="B112" s="2" t="s">
        <v>558</v>
      </c>
      <c r="C112" s="19" t="str">
        <f aca="false">+VLOOKUP(B112,transacciones!$A$1:$I$39,2,FALSE())</f>
        <v>ATC01</v>
      </c>
      <c r="D112" s="19" t="str">
        <f aca="false">+VLOOKUP(B112,transacciones!$A$1:$I$39,3,FALSE())</f>
        <v>Producción / Consumo intermedio</v>
      </c>
      <c r="E112" s="19" t="str">
        <f aca="false">+VLOOKUP($B112,transacciones!$A$1:$I$39,4,FALSE())</f>
        <v>Consumo</v>
      </c>
      <c r="F112" s="19" t="n">
        <f aca="false">+VLOOKUP(B112,transacciones!$A$2:$I$39,5,FALSE())</f>
        <v>2</v>
      </c>
      <c r="G112" s="19" t="str">
        <f aca="false">+VLOOKUP(B112,transacciones!$A$2:$I$39,6,FALSE())</f>
        <v>P2</v>
      </c>
      <c r="H112" s="37" t="str">
        <f aca="false">+VLOOKUP(B112,transacciones!$A$1:$I$39,7,FALSE())</f>
        <v>Consumo intermedio</v>
      </c>
      <c r="I112" s="37" t="s">
        <v>317</v>
      </c>
      <c r="J112" s="37" t="s">
        <v>618</v>
      </c>
      <c r="K112" s="2" t="s">
        <v>372</v>
      </c>
      <c r="L112" s="60" t="str">
        <f aca="false">+VLOOKUP(K112,'Correl CIIU'!$A$1:$F$26,2,FALSE())</f>
        <v>Industrias manufactureras</v>
      </c>
      <c r="M112" s="60" t="str">
        <f aca="false">+VLOOKUP(K112,'Correl CIIU'!$A$1:$F$26,3,FALSE())</f>
        <v>Manufacturas</v>
      </c>
      <c r="N112" s="60" t="str">
        <f aca="false">+VLOOKUP(K112,'Correl CIIU'!$A$1:$F$26,4,FALSE())</f>
        <v>Manufacturing</v>
      </c>
      <c r="O112" s="61" t="n">
        <v>3</v>
      </c>
      <c r="P112" s="62" t="str">
        <f aca="false">VLOOKUP(O112,bio!$D$2:$E$4,2,FALSE())</f>
        <v>No bioeconomía</v>
      </c>
    </row>
    <row r="113" customFormat="false" ht="15" hidden="false" customHeight="false" outlineLevel="0" collapsed="false">
      <c r="A113" s="0" t="s">
        <v>619</v>
      </c>
      <c r="B113" s="2" t="s">
        <v>558</v>
      </c>
      <c r="C113" s="19" t="str">
        <f aca="false">+VLOOKUP(B113,transacciones!$A$1:$I$39,2,FALSE())</f>
        <v>ATC01</v>
      </c>
      <c r="D113" s="19" t="str">
        <f aca="false">+VLOOKUP(B113,transacciones!$A$1:$I$39,3,FALSE())</f>
        <v>Producción / Consumo intermedio</v>
      </c>
      <c r="E113" s="19" t="str">
        <f aca="false">+VLOOKUP($B113,transacciones!$A$1:$I$39,4,FALSE())</f>
        <v>Consumo</v>
      </c>
      <c r="F113" s="19" t="n">
        <f aca="false">+VLOOKUP(B113,transacciones!$A$2:$I$39,5,FALSE())</f>
        <v>2</v>
      </c>
      <c r="G113" s="19" t="str">
        <f aca="false">+VLOOKUP(B113,transacciones!$A$2:$I$39,6,FALSE())</f>
        <v>P2</v>
      </c>
      <c r="H113" s="37" t="str">
        <f aca="false">+VLOOKUP(B113,transacciones!$A$1:$I$39,7,FALSE())</f>
        <v>Consumo intermedio</v>
      </c>
      <c r="I113" s="37" t="s">
        <v>317</v>
      </c>
      <c r="J113" s="37" t="s">
        <v>620</v>
      </c>
      <c r="K113" s="2" t="s">
        <v>372</v>
      </c>
      <c r="L113" s="60" t="str">
        <f aca="false">+VLOOKUP(K113,'Correl CIIU'!$A$1:$F$26,2,FALSE())</f>
        <v>Industrias manufactureras</v>
      </c>
      <c r="M113" s="60" t="str">
        <f aca="false">+VLOOKUP(K113,'Correl CIIU'!$A$1:$F$26,3,FALSE())</f>
        <v>Manufacturas</v>
      </c>
      <c r="N113" s="60" t="str">
        <f aca="false">+VLOOKUP(K113,'Correl CIIU'!$A$1:$F$26,4,FALSE())</f>
        <v>Manufacturing</v>
      </c>
      <c r="O113" s="61" t="n">
        <v>3</v>
      </c>
      <c r="P113" s="62" t="str">
        <f aca="false">VLOOKUP(O113,bio!$D$2:$E$4,2,FALSE())</f>
        <v>No bioeconomía</v>
      </c>
    </row>
    <row r="114" customFormat="false" ht="15" hidden="false" customHeight="false" outlineLevel="0" collapsed="false">
      <c r="A114" s="0" t="s">
        <v>621</v>
      </c>
      <c r="B114" s="2" t="s">
        <v>558</v>
      </c>
      <c r="C114" s="19" t="str">
        <f aca="false">+VLOOKUP(B114,transacciones!$A$1:$I$39,2,FALSE())</f>
        <v>ATC01</v>
      </c>
      <c r="D114" s="19" t="str">
        <f aca="false">+VLOOKUP(B114,transacciones!$A$1:$I$39,3,FALSE())</f>
        <v>Producción / Consumo intermedio</v>
      </c>
      <c r="E114" s="19" t="str">
        <f aca="false">+VLOOKUP($B114,transacciones!$A$1:$I$39,4,FALSE())</f>
        <v>Consumo</v>
      </c>
      <c r="F114" s="19" t="n">
        <f aca="false">+VLOOKUP(B114,transacciones!$A$2:$I$39,5,FALSE())</f>
        <v>2</v>
      </c>
      <c r="G114" s="19" t="str">
        <f aca="false">+VLOOKUP(B114,transacciones!$A$2:$I$39,6,FALSE())</f>
        <v>P2</v>
      </c>
      <c r="H114" s="37" t="str">
        <f aca="false">+VLOOKUP(B114,transacciones!$A$1:$I$39,7,FALSE())</f>
        <v>Consumo intermedio</v>
      </c>
      <c r="I114" s="37" t="s">
        <v>317</v>
      </c>
      <c r="J114" s="37" t="s">
        <v>622</v>
      </c>
      <c r="K114" s="2" t="s">
        <v>372</v>
      </c>
      <c r="L114" s="60" t="str">
        <f aca="false">+VLOOKUP(K114,'Correl CIIU'!$A$1:$F$26,2,FALSE())</f>
        <v>Industrias manufactureras</v>
      </c>
      <c r="M114" s="60" t="str">
        <f aca="false">+VLOOKUP(K114,'Correl CIIU'!$A$1:$F$26,3,FALSE())</f>
        <v>Manufacturas</v>
      </c>
      <c r="N114" s="60" t="str">
        <f aca="false">+VLOOKUP(K114,'Correl CIIU'!$A$1:$F$26,4,FALSE())</f>
        <v>Manufacturing</v>
      </c>
      <c r="O114" s="61" t="n">
        <v>3</v>
      </c>
      <c r="P114" s="62" t="str">
        <f aca="false">VLOOKUP(O114,bio!$D$2:$E$4,2,FALSE())</f>
        <v>No bioeconomía</v>
      </c>
    </row>
    <row r="115" customFormat="false" ht="15" hidden="false" customHeight="false" outlineLevel="0" collapsed="false">
      <c r="A115" s="0" t="s">
        <v>623</v>
      </c>
      <c r="B115" s="2" t="s">
        <v>558</v>
      </c>
      <c r="C115" s="19" t="str">
        <f aca="false">+VLOOKUP(B115,transacciones!$A$1:$I$39,2,FALSE())</f>
        <v>ATC01</v>
      </c>
      <c r="D115" s="19" t="str">
        <f aca="false">+VLOOKUP(B115,transacciones!$A$1:$I$39,3,FALSE())</f>
        <v>Producción / Consumo intermedio</v>
      </c>
      <c r="E115" s="19" t="str">
        <f aca="false">+VLOOKUP($B115,transacciones!$A$1:$I$39,4,FALSE())</f>
        <v>Consumo</v>
      </c>
      <c r="F115" s="19" t="n">
        <f aca="false">+VLOOKUP(B115,transacciones!$A$2:$I$39,5,FALSE())</f>
        <v>2</v>
      </c>
      <c r="G115" s="19" t="str">
        <f aca="false">+VLOOKUP(B115,transacciones!$A$2:$I$39,6,FALSE())</f>
        <v>P2</v>
      </c>
      <c r="H115" s="37" t="str">
        <f aca="false">+VLOOKUP(B115,transacciones!$A$1:$I$39,7,FALSE())</f>
        <v>Consumo intermedio</v>
      </c>
      <c r="I115" s="37" t="s">
        <v>317</v>
      </c>
      <c r="J115" s="37" t="s">
        <v>624</v>
      </c>
      <c r="K115" s="2" t="s">
        <v>372</v>
      </c>
      <c r="L115" s="60" t="str">
        <f aca="false">+VLOOKUP(K115,'Correl CIIU'!$A$1:$F$26,2,FALSE())</f>
        <v>Industrias manufactureras</v>
      </c>
      <c r="M115" s="60" t="str">
        <f aca="false">+VLOOKUP(K115,'Correl CIIU'!$A$1:$F$26,3,FALSE())</f>
        <v>Manufacturas</v>
      </c>
      <c r="N115" s="60" t="str">
        <f aca="false">+VLOOKUP(K115,'Correl CIIU'!$A$1:$F$26,4,FALSE())</f>
        <v>Manufacturing</v>
      </c>
      <c r="O115" s="61" t="n">
        <v>3</v>
      </c>
      <c r="P115" s="62" t="str">
        <f aca="false">VLOOKUP(O115,bio!$D$2:$E$4,2,FALSE())</f>
        <v>No bioeconomía</v>
      </c>
    </row>
    <row r="116" customFormat="false" ht="15" hidden="false" customHeight="false" outlineLevel="0" collapsed="false">
      <c r="A116" s="0" t="s">
        <v>625</v>
      </c>
      <c r="B116" s="2" t="s">
        <v>558</v>
      </c>
      <c r="C116" s="19" t="str">
        <f aca="false">+VLOOKUP(B116,transacciones!$A$1:$I$39,2,FALSE())</f>
        <v>ATC01</v>
      </c>
      <c r="D116" s="19" t="str">
        <f aca="false">+VLOOKUP(B116,transacciones!$A$1:$I$39,3,FALSE())</f>
        <v>Producción / Consumo intermedio</v>
      </c>
      <c r="E116" s="19" t="str">
        <f aca="false">+VLOOKUP($B116,transacciones!$A$1:$I$39,4,FALSE())</f>
        <v>Consumo</v>
      </c>
      <c r="F116" s="19" t="n">
        <f aca="false">+VLOOKUP(B116,transacciones!$A$2:$I$39,5,FALSE())</f>
        <v>2</v>
      </c>
      <c r="G116" s="19" t="str">
        <f aca="false">+VLOOKUP(B116,transacciones!$A$2:$I$39,6,FALSE())</f>
        <v>P2</v>
      </c>
      <c r="H116" s="37" t="str">
        <f aca="false">+VLOOKUP(B116,transacciones!$A$1:$I$39,7,FALSE())</f>
        <v>Consumo intermedio</v>
      </c>
      <c r="I116" s="37" t="s">
        <v>317</v>
      </c>
      <c r="J116" s="37" t="s">
        <v>626</v>
      </c>
      <c r="K116" s="2" t="s">
        <v>372</v>
      </c>
      <c r="L116" s="60" t="str">
        <f aca="false">+VLOOKUP(K116,'Correl CIIU'!$A$1:$F$26,2,FALSE())</f>
        <v>Industrias manufactureras</v>
      </c>
      <c r="M116" s="60" t="str">
        <f aca="false">+VLOOKUP(K116,'Correl CIIU'!$A$1:$F$26,3,FALSE())</f>
        <v>Manufacturas</v>
      </c>
      <c r="N116" s="60" t="str">
        <f aca="false">+VLOOKUP(K116,'Correl CIIU'!$A$1:$F$26,4,FALSE())</f>
        <v>Manufacturing</v>
      </c>
      <c r="O116" s="61" t="n">
        <v>3</v>
      </c>
      <c r="P116" s="62" t="str">
        <f aca="false">VLOOKUP(O116,bio!$D$2:$E$4,2,FALSE())</f>
        <v>No bioeconomía</v>
      </c>
    </row>
    <row r="117" customFormat="false" ht="15" hidden="false" customHeight="false" outlineLevel="0" collapsed="false">
      <c r="A117" s="0" t="s">
        <v>627</v>
      </c>
      <c r="B117" s="2" t="s">
        <v>558</v>
      </c>
      <c r="C117" s="19" t="str">
        <f aca="false">+VLOOKUP(B117,transacciones!$A$1:$I$39,2,FALSE())</f>
        <v>ATC01</v>
      </c>
      <c r="D117" s="19" t="str">
        <f aca="false">+VLOOKUP(B117,transacciones!$A$1:$I$39,3,FALSE())</f>
        <v>Producción / Consumo intermedio</v>
      </c>
      <c r="E117" s="19" t="str">
        <f aca="false">+VLOOKUP($B117,transacciones!$A$1:$I$39,4,FALSE())</f>
        <v>Consumo</v>
      </c>
      <c r="F117" s="19" t="n">
        <f aca="false">+VLOOKUP(B117,transacciones!$A$2:$I$39,5,FALSE())</f>
        <v>2</v>
      </c>
      <c r="G117" s="19" t="str">
        <f aca="false">+VLOOKUP(B117,transacciones!$A$2:$I$39,6,FALSE())</f>
        <v>P2</v>
      </c>
      <c r="H117" s="37" t="str">
        <f aca="false">+VLOOKUP(B117,transacciones!$A$1:$I$39,7,FALSE())</f>
        <v>Consumo intermedio</v>
      </c>
      <c r="I117" s="37" t="s">
        <v>317</v>
      </c>
      <c r="J117" s="37" t="s">
        <v>628</v>
      </c>
      <c r="K117" s="2" t="s">
        <v>445</v>
      </c>
      <c r="L117" s="60" t="str">
        <f aca="false">+VLOOKUP(K117,'Correl CIIU'!$A$1:$F$26,2,FALSE())</f>
        <v>Suministro de electricidad, gas, vapor y aire acondicionado</v>
      </c>
      <c r="M117" s="60" t="str">
        <f aca="false">+VLOOKUP(K117,'Correl CIIU'!$A$1:$F$26,3,FALSE())</f>
        <v>Servicios básicos</v>
      </c>
      <c r="N117" s="60" t="str">
        <f aca="false">+VLOOKUP(K117,'Correl CIIU'!$A$1:$F$26,4,FALSE())</f>
        <v>Electricity, gas, steam and air conditioning supply</v>
      </c>
      <c r="O117" s="61" t="n">
        <v>3</v>
      </c>
      <c r="P117" s="62" t="str">
        <f aca="false">VLOOKUP(O117,bio!$D$2:$E$4,2,FALSE())</f>
        <v>No bioeconomía</v>
      </c>
    </row>
    <row r="118" customFormat="false" ht="15" hidden="false" customHeight="false" outlineLevel="0" collapsed="false">
      <c r="A118" s="0" t="s">
        <v>629</v>
      </c>
      <c r="B118" s="2" t="s">
        <v>558</v>
      </c>
      <c r="C118" s="19" t="str">
        <f aca="false">+VLOOKUP(B118,transacciones!$A$1:$I$39,2,FALSE())</f>
        <v>ATC01</v>
      </c>
      <c r="D118" s="19" t="str">
        <f aca="false">+VLOOKUP(B118,transacciones!$A$1:$I$39,3,FALSE())</f>
        <v>Producción / Consumo intermedio</v>
      </c>
      <c r="E118" s="19" t="str">
        <f aca="false">+VLOOKUP($B118,transacciones!$A$1:$I$39,4,FALSE())</f>
        <v>Consumo</v>
      </c>
      <c r="F118" s="19" t="n">
        <f aca="false">+VLOOKUP(B118,transacciones!$A$2:$I$39,5,FALSE())</f>
        <v>2</v>
      </c>
      <c r="G118" s="19" t="str">
        <f aca="false">+VLOOKUP(B118,transacciones!$A$2:$I$39,6,FALSE())</f>
        <v>P2</v>
      </c>
      <c r="H118" s="37" t="str">
        <f aca="false">+VLOOKUP(B118,transacciones!$A$1:$I$39,7,FALSE())</f>
        <v>Consumo intermedio</v>
      </c>
      <c r="I118" s="37" t="s">
        <v>317</v>
      </c>
      <c r="J118" s="37" t="s">
        <v>630</v>
      </c>
      <c r="K118" s="2" t="s">
        <v>445</v>
      </c>
      <c r="L118" s="60" t="str">
        <f aca="false">+VLOOKUP(K118,'Correl CIIU'!$A$1:$F$26,2,FALSE())</f>
        <v>Suministro de electricidad, gas, vapor y aire acondicionado</v>
      </c>
      <c r="M118" s="60" t="str">
        <f aca="false">+VLOOKUP(K118,'Correl CIIU'!$A$1:$F$26,3,FALSE())</f>
        <v>Servicios básicos</v>
      </c>
      <c r="N118" s="60" t="str">
        <f aca="false">+VLOOKUP(K118,'Correl CIIU'!$A$1:$F$26,4,FALSE())</f>
        <v>Electricity, gas, steam and air conditioning supply</v>
      </c>
      <c r="O118" s="61" t="n">
        <v>3</v>
      </c>
      <c r="P118" s="62" t="str">
        <f aca="false">VLOOKUP(O118,bio!$D$2:$E$4,2,FALSE())</f>
        <v>No bioeconomía</v>
      </c>
    </row>
    <row r="119" customFormat="false" ht="15" hidden="false" customHeight="false" outlineLevel="0" collapsed="false">
      <c r="A119" s="0" t="s">
        <v>631</v>
      </c>
      <c r="B119" s="2" t="s">
        <v>558</v>
      </c>
      <c r="C119" s="19" t="str">
        <f aca="false">+VLOOKUP(B119,transacciones!$A$1:$I$39,2,FALSE())</f>
        <v>ATC01</v>
      </c>
      <c r="D119" s="19" t="str">
        <f aca="false">+VLOOKUP(B119,transacciones!$A$1:$I$39,3,FALSE())</f>
        <v>Producción / Consumo intermedio</v>
      </c>
      <c r="E119" s="19" t="str">
        <f aca="false">+VLOOKUP($B119,transacciones!$A$1:$I$39,4,FALSE())</f>
        <v>Consumo</v>
      </c>
      <c r="F119" s="19" t="n">
        <f aca="false">+VLOOKUP(B119,transacciones!$A$2:$I$39,5,FALSE())</f>
        <v>2</v>
      </c>
      <c r="G119" s="19" t="str">
        <f aca="false">+VLOOKUP(B119,transacciones!$A$2:$I$39,6,FALSE())</f>
        <v>P2</v>
      </c>
      <c r="H119" s="37" t="str">
        <f aca="false">+VLOOKUP(B119,transacciones!$A$1:$I$39,7,FALSE())</f>
        <v>Consumo intermedio</v>
      </c>
      <c r="I119" s="37" t="s">
        <v>317</v>
      </c>
      <c r="J119" s="37" t="s">
        <v>632</v>
      </c>
      <c r="K119" s="2" t="s">
        <v>452</v>
      </c>
      <c r="L119" s="60" t="str">
        <f aca="false">+VLOOKUP(K119,'Correl CIIU'!$A$1:$F$26,2,FALSE())</f>
        <v>Suministro de agua; evacuación de aguas residuales, gestión de desechos y descontaminación</v>
      </c>
      <c r="M119" s="60" t="str">
        <f aca="false">+VLOOKUP(K119,'Correl CIIU'!$A$1:$F$26,3,FALSE())</f>
        <v>Suministro de agua</v>
      </c>
      <c r="N119" s="60" t="str">
        <f aca="false">+VLOOKUP(K119,'Correl CIIU'!$A$1:$F$26,4,FALSE())</f>
        <v>Water supply; sewerage, waste management and remediation activities</v>
      </c>
      <c r="O119" s="61" t="n">
        <v>3</v>
      </c>
      <c r="P119" s="62" t="str">
        <f aca="false">VLOOKUP(O119,bio!$D$2:$E$4,2,FALSE())</f>
        <v>No bioeconomía</v>
      </c>
    </row>
    <row r="120" customFormat="false" ht="15" hidden="false" customHeight="false" outlineLevel="0" collapsed="false">
      <c r="A120" s="0" t="s">
        <v>633</v>
      </c>
      <c r="B120" s="2" t="s">
        <v>558</v>
      </c>
      <c r="C120" s="19" t="str">
        <f aca="false">+VLOOKUP(B120,transacciones!$A$1:$I$39,2,FALSE())</f>
        <v>ATC01</v>
      </c>
      <c r="D120" s="19" t="str">
        <f aca="false">+VLOOKUP(B120,transacciones!$A$1:$I$39,3,FALSE())</f>
        <v>Producción / Consumo intermedio</v>
      </c>
      <c r="E120" s="19" t="str">
        <f aca="false">+VLOOKUP($B120,transacciones!$A$1:$I$39,4,FALSE())</f>
        <v>Consumo</v>
      </c>
      <c r="F120" s="19" t="n">
        <f aca="false">+VLOOKUP(B120,transacciones!$A$2:$I$39,5,FALSE())</f>
        <v>2</v>
      </c>
      <c r="G120" s="19" t="str">
        <f aca="false">+VLOOKUP(B120,transacciones!$A$2:$I$39,6,FALSE())</f>
        <v>P2</v>
      </c>
      <c r="H120" s="37" t="str">
        <f aca="false">+VLOOKUP(B120,transacciones!$A$1:$I$39,7,FALSE())</f>
        <v>Consumo intermedio</v>
      </c>
      <c r="I120" s="37" t="s">
        <v>317</v>
      </c>
      <c r="J120" s="37" t="s">
        <v>634</v>
      </c>
      <c r="K120" s="2" t="s">
        <v>452</v>
      </c>
      <c r="L120" s="60" t="str">
        <f aca="false">+VLOOKUP(K120,'Correl CIIU'!$A$1:$F$26,2,FALSE())</f>
        <v>Suministro de agua; evacuación de aguas residuales, gestión de desechos y descontaminación</v>
      </c>
      <c r="M120" s="60" t="str">
        <f aca="false">+VLOOKUP(K120,'Correl CIIU'!$A$1:$F$26,3,FALSE())</f>
        <v>Suministro de agua</v>
      </c>
      <c r="N120" s="60" t="str">
        <f aca="false">+VLOOKUP(K120,'Correl CIIU'!$A$1:$F$26,4,FALSE())</f>
        <v>Water supply; sewerage, waste management and remediation activities</v>
      </c>
      <c r="O120" s="61" t="n">
        <v>3</v>
      </c>
      <c r="P120" s="62" t="str">
        <f aca="false">VLOOKUP(O120,bio!$D$2:$E$4,2,FALSE())</f>
        <v>No bioeconomía</v>
      </c>
    </row>
    <row r="121" customFormat="false" ht="15" hidden="false" customHeight="false" outlineLevel="0" collapsed="false">
      <c r="A121" s="0" t="s">
        <v>635</v>
      </c>
      <c r="B121" s="2" t="s">
        <v>558</v>
      </c>
      <c r="C121" s="19" t="str">
        <f aca="false">+VLOOKUP(B121,transacciones!$A$1:$I$39,2,FALSE())</f>
        <v>ATC01</v>
      </c>
      <c r="D121" s="19" t="str">
        <f aca="false">+VLOOKUP(B121,transacciones!$A$1:$I$39,3,FALSE())</f>
        <v>Producción / Consumo intermedio</v>
      </c>
      <c r="E121" s="19" t="str">
        <f aca="false">+VLOOKUP($B121,transacciones!$A$1:$I$39,4,FALSE())</f>
        <v>Consumo</v>
      </c>
      <c r="F121" s="19" t="n">
        <f aca="false">+VLOOKUP(B121,transacciones!$A$2:$I$39,5,FALSE())</f>
        <v>2</v>
      </c>
      <c r="G121" s="19" t="str">
        <f aca="false">+VLOOKUP(B121,transacciones!$A$2:$I$39,6,FALSE())</f>
        <v>P2</v>
      </c>
      <c r="H121" s="37" t="str">
        <f aca="false">+VLOOKUP(B121,transacciones!$A$1:$I$39,7,FALSE())</f>
        <v>Consumo intermedio</v>
      </c>
      <c r="I121" s="37" t="s">
        <v>317</v>
      </c>
      <c r="J121" s="37" t="s">
        <v>636</v>
      </c>
      <c r="K121" s="2" t="s">
        <v>452</v>
      </c>
      <c r="L121" s="60" t="str">
        <f aca="false">+VLOOKUP(K121,'Correl CIIU'!$A$1:$F$26,2,FALSE())</f>
        <v>Suministro de agua; evacuación de aguas residuales, gestión de desechos y descontaminación</v>
      </c>
      <c r="M121" s="60" t="str">
        <f aca="false">+VLOOKUP(K121,'Correl CIIU'!$A$1:$F$26,3,FALSE())</f>
        <v>Suministro de agua</v>
      </c>
      <c r="N121" s="60" t="str">
        <f aca="false">+VLOOKUP(K121,'Correl CIIU'!$A$1:$F$26,4,FALSE())</f>
        <v>Water supply; sewerage, waste management and remediation activities</v>
      </c>
      <c r="O121" s="61" t="n">
        <v>3</v>
      </c>
      <c r="P121" s="62" t="str">
        <f aca="false">VLOOKUP(O121,bio!$D$2:$E$4,2,FALSE())</f>
        <v>No bioeconomía</v>
      </c>
    </row>
    <row r="122" customFormat="false" ht="15" hidden="false" customHeight="false" outlineLevel="0" collapsed="false">
      <c r="A122" s="0" t="s">
        <v>637</v>
      </c>
      <c r="B122" s="2" t="s">
        <v>558</v>
      </c>
      <c r="C122" s="19" t="str">
        <f aca="false">+VLOOKUP(B122,transacciones!$A$1:$I$39,2,FALSE())</f>
        <v>ATC01</v>
      </c>
      <c r="D122" s="19" t="str">
        <f aca="false">+VLOOKUP(B122,transacciones!$A$1:$I$39,3,FALSE())</f>
        <v>Producción / Consumo intermedio</v>
      </c>
      <c r="E122" s="19" t="str">
        <f aca="false">+VLOOKUP($B122,transacciones!$A$1:$I$39,4,FALSE())</f>
        <v>Consumo</v>
      </c>
      <c r="F122" s="19" t="n">
        <f aca="false">+VLOOKUP(B122,transacciones!$A$2:$I$39,5,FALSE())</f>
        <v>2</v>
      </c>
      <c r="G122" s="19" t="str">
        <f aca="false">+VLOOKUP(B122,transacciones!$A$2:$I$39,6,FALSE())</f>
        <v>P2</v>
      </c>
      <c r="H122" s="37" t="str">
        <f aca="false">+VLOOKUP(B122,transacciones!$A$1:$I$39,7,FALSE())</f>
        <v>Consumo intermedio</v>
      </c>
      <c r="I122" s="37" t="s">
        <v>317</v>
      </c>
      <c r="J122" s="37" t="s">
        <v>638</v>
      </c>
      <c r="K122" s="2" t="s">
        <v>462</v>
      </c>
      <c r="L122" s="60" t="str">
        <f aca="false">+VLOOKUP(K122,'Correl CIIU'!$A$1:$F$26,2,FALSE())</f>
        <v>Construcción</v>
      </c>
      <c r="M122" s="60" t="str">
        <f aca="false">+VLOOKUP(K122,'Correl CIIU'!$A$1:$F$26,3,FALSE())</f>
        <v>Construcción</v>
      </c>
      <c r="N122" s="60" t="str">
        <f aca="false">+VLOOKUP(K122,'Correl CIIU'!$A$1:$F$26,4,FALSE())</f>
        <v>Construction</v>
      </c>
      <c r="O122" s="61" t="n">
        <v>3</v>
      </c>
      <c r="P122" s="62" t="str">
        <f aca="false">VLOOKUP(O122,bio!$D$2:$E$4,2,FALSE())</f>
        <v>No bioeconomía</v>
      </c>
    </row>
    <row r="123" customFormat="false" ht="15" hidden="false" customHeight="false" outlineLevel="0" collapsed="false">
      <c r="A123" s="0" t="s">
        <v>639</v>
      </c>
      <c r="B123" s="2" t="s">
        <v>558</v>
      </c>
      <c r="C123" s="19" t="str">
        <f aca="false">+VLOOKUP(B123,transacciones!$A$1:$I$39,2,FALSE())</f>
        <v>ATC01</v>
      </c>
      <c r="D123" s="19" t="str">
        <f aca="false">+VLOOKUP(B123,transacciones!$A$1:$I$39,3,FALSE())</f>
        <v>Producción / Consumo intermedio</v>
      </c>
      <c r="E123" s="19" t="str">
        <f aca="false">+VLOOKUP($B123,transacciones!$A$1:$I$39,4,FALSE())</f>
        <v>Consumo</v>
      </c>
      <c r="F123" s="19" t="n">
        <f aca="false">+VLOOKUP(B123,transacciones!$A$2:$I$39,5,FALSE())</f>
        <v>2</v>
      </c>
      <c r="G123" s="19" t="str">
        <f aca="false">+VLOOKUP(B123,transacciones!$A$2:$I$39,6,FALSE())</f>
        <v>P2</v>
      </c>
      <c r="H123" s="37" t="str">
        <f aca="false">+VLOOKUP(B123,transacciones!$A$1:$I$39,7,FALSE())</f>
        <v>Consumo intermedio</v>
      </c>
      <c r="I123" s="37" t="s">
        <v>317</v>
      </c>
      <c r="J123" s="37" t="s">
        <v>640</v>
      </c>
      <c r="K123" s="2" t="s">
        <v>462</v>
      </c>
      <c r="L123" s="60" t="str">
        <f aca="false">+VLOOKUP(K123,'Correl CIIU'!$A$1:$F$26,2,FALSE())</f>
        <v>Construcción</v>
      </c>
      <c r="M123" s="60" t="str">
        <f aca="false">+VLOOKUP(K123,'Correl CIIU'!$A$1:$F$26,3,FALSE())</f>
        <v>Construcción</v>
      </c>
      <c r="N123" s="60" t="str">
        <f aca="false">+VLOOKUP(K123,'Correl CIIU'!$A$1:$F$26,4,FALSE())</f>
        <v>Construction</v>
      </c>
      <c r="O123" s="61" t="n">
        <v>3</v>
      </c>
      <c r="P123" s="62" t="str">
        <f aca="false">VLOOKUP(O123,bio!$D$2:$E$4,2,FALSE())</f>
        <v>No bioeconomía</v>
      </c>
    </row>
    <row r="124" customFormat="false" ht="15" hidden="false" customHeight="false" outlineLevel="0" collapsed="false">
      <c r="A124" s="0" t="s">
        <v>641</v>
      </c>
      <c r="B124" s="2" t="s">
        <v>558</v>
      </c>
      <c r="C124" s="19" t="str">
        <f aca="false">+VLOOKUP(B124,transacciones!$A$1:$I$39,2,FALSE())</f>
        <v>ATC01</v>
      </c>
      <c r="D124" s="19" t="str">
        <f aca="false">+VLOOKUP(B124,transacciones!$A$1:$I$39,3,FALSE())</f>
        <v>Producción / Consumo intermedio</v>
      </c>
      <c r="E124" s="19" t="str">
        <f aca="false">+VLOOKUP($B124,transacciones!$A$1:$I$39,4,FALSE())</f>
        <v>Consumo</v>
      </c>
      <c r="F124" s="19" t="n">
        <f aca="false">+VLOOKUP(B124,transacciones!$A$2:$I$39,5,FALSE())</f>
        <v>2</v>
      </c>
      <c r="G124" s="19" t="str">
        <f aca="false">+VLOOKUP(B124,transacciones!$A$2:$I$39,6,FALSE())</f>
        <v>P2</v>
      </c>
      <c r="H124" s="37" t="str">
        <f aca="false">+VLOOKUP(B124,transacciones!$A$1:$I$39,7,FALSE())</f>
        <v>Consumo intermedio</v>
      </c>
      <c r="I124" s="37" t="s">
        <v>317</v>
      </c>
      <c r="J124" s="37" t="s">
        <v>642</v>
      </c>
      <c r="K124" s="2" t="s">
        <v>462</v>
      </c>
      <c r="L124" s="60" t="str">
        <f aca="false">+VLOOKUP(K124,'Correl CIIU'!$A$1:$F$26,2,FALSE())</f>
        <v>Construcción</v>
      </c>
      <c r="M124" s="60" t="str">
        <f aca="false">+VLOOKUP(K124,'Correl CIIU'!$A$1:$F$26,3,FALSE())</f>
        <v>Construcción</v>
      </c>
      <c r="N124" s="60" t="str">
        <f aca="false">+VLOOKUP(K124,'Correl CIIU'!$A$1:$F$26,4,FALSE())</f>
        <v>Construction</v>
      </c>
      <c r="O124" s="61" t="n">
        <v>3</v>
      </c>
      <c r="P124" s="62" t="str">
        <f aca="false">VLOOKUP(O124,bio!$D$2:$E$4,2,FALSE())</f>
        <v>No bioeconomía</v>
      </c>
    </row>
    <row r="125" customFormat="false" ht="15" hidden="false" customHeight="false" outlineLevel="0" collapsed="false">
      <c r="A125" s="0" t="s">
        <v>643</v>
      </c>
      <c r="B125" s="2" t="s">
        <v>558</v>
      </c>
      <c r="C125" s="19" t="str">
        <f aca="false">+VLOOKUP(B125,transacciones!$A$1:$I$39,2,FALSE())</f>
        <v>ATC01</v>
      </c>
      <c r="D125" s="19" t="str">
        <f aca="false">+VLOOKUP(B125,transacciones!$A$1:$I$39,3,FALSE())</f>
        <v>Producción / Consumo intermedio</v>
      </c>
      <c r="E125" s="19" t="str">
        <f aca="false">+VLOOKUP($B125,transacciones!$A$1:$I$39,4,FALSE())</f>
        <v>Consumo</v>
      </c>
      <c r="F125" s="19" t="n">
        <f aca="false">+VLOOKUP(B125,transacciones!$A$2:$I$39,5,FALSE())</f>
        <v>2</v>
      </c>
      <c r="G125" s="19" t="str">
        <f aca="false">+VLOOKUP(B125,transacciones!$A$2:$I$39,6,FALSE())</f>
        <v>P2</v>
      </c>
      <c r="H125" s="37" t="str">
        <f aca="false">+VLOOKUP(B125,transacciones!$A$1:$I$39,7,FALSE())</f>
        <v>Consumo intermedio</v>
      </c>
      <c r="I125" s="37" t="s">
        <v>317</v>
      </c>
      <c r="J125" s="37" t="s">
        <v>644</v>
      </c>
      <c r="K125" s="2" t="s">
        <v>472</v>
      </c>
      <c r="L125" s="60" t="str">
        <f aca="false">+VLOOKUP(K125,'Correl CIIU'!$A$1:$F$26,2,FALSE())</f>
        <v>Comercio al por mayor y al por menor; reparación de vehículos automotores y motocicletas</v>
      </c>
      <c r="M125" s="60" t="str">
        <f aca="false">+VLOOKUP(K125,'Correl CIIU'!$A$1:$F$26,3,FALSE())</f>
        <v>Comercio</v>
      </c>
      <c r="N125" s="60" t="str">
        <f aca="false">+VLOOKUP(K125,'Correl CIIU'!$A$1:$F$26,4,FALSE())</f>
        <v>Wholesale and retail trade; repair of motor vehicles and motorcycles</v>
      </c>
      <c r="O125" s="61" t="n">
        <v>3</v>
      </c>
      <c r="P125" s="62" t="str">
        <f aca="false">VLOOKUP(O125,bio!$D$2:$E$4,2,FALSE())</f>
        <v>No bioeconomía</v>
      </c>
    </row>
    <row r="126" customFormat="false" ht="15" hidden="false" customHeight="false" outlineLevel="0" collapsed="false">
      <c r="A126" s="0" t="s">
        <v>645</v>
      </c>
      <c r="B126" s="2" t="s">
        <v>558</v>
      </c>
      <c r="C126" s="19" t="str">
        <f aca="false">+VLOOKUP(B126,transacciones!$A$1:$I$39,2,FALSE())</f>
        <v>ATC01</v>
      </c>
      <c r="D126" s="19" t="str">
        <f aca="false">+VLOOKUP(B126,transacciones!$A$1:$I$39,3,FALSE())</f>
        <v>Producción / Consumo intermedio</v>
      </c>
      <c r="E126" s="19" t="str">
        <f aca="false">+VLOOKUP($B126,transacciones!$A$1:$I$39,4,FALSE())</f>
        <v>Consumo</v>
      </c>
      <c r="F126" s="19" t="n">
        <f aca="false">+VLOOKUP(B126,transacciones!$A$2:$I$39,5,FALSE())</f>
        <v>2</v>
      </c>
      <c r="G126" s="19" t="str">
        <f aca="false">+VLOOKUP(B126,transacciones!$A$2:$I$39,6,FALSE())</f>
        <v>P2</v>
      </c>
      <c r="H126" s="37" t="str">
        <f aca="false">+VLOOKUP(B126,transacciones!$A$1:$I$39,7,FALSE())</f>
        <v>Consumo intermedio</v>
      </c>
      <c r="I126" s="37" t="s">
        <v>317</v>
      </c>
      <c r="J126" s="37" t="s">
        <v>646</v>
      </c>
      <c r="K126" s="2" t="s">
        <v>472</v>
      </c>
      <c r="L126" s="60" t="str">
        <f aca="false">+VLOOKUP(K126,'Correl CIIU'!$A$1:$F$26,2,FALSE())</f>
        <v>Comercio al por mayor y al por menor; reparación de vehículos automotores y motocicletas</v>
      </c>
      <c r="M126" s="60" t="str">
        <f aca="false">+VLOOKUP(K126,'Correl CIIU'!$A$1:$F$26,3,FALSE())</f>
        <v>Comercio</v>
      </c>
      <c r="N126" s="60" t="str">
        <f aca="false">+VLOOKUP(K126,'Correl CIIU'!$A$1:$F$26,4,FALSE())</f>
        <v>Wholesale and retail trade; repair of motor vehicles and motorcycles</v>
      </c>
      <c r="O126" s="61" t="n">
        <v>3</v>
      </c>
      <c r="P126" s="62" t="str">
        <f aca="false">VLOOKUP(O126,bio!$D$2:$E$4,2,FALSE())</f>
        <v>No bioeconomía</v>
      </c>
    </row>
    <row r="127" customFormat="false" ht="15" hidden="false" customHeight="false" outlineLevel="0" collapsed="false">
      <c r="A127" s="0" t="s">
        <v>647</v>
      </c>
      <c r="B127" s="2" t="s">
        <v>558</v>
      </c>
      <c r="C127" s="19" t="str">
        <f aca="false">+VLOOKUP(B127,transacciones!$A$1:$I$39,2,FALSE())</f>
        <v>ATC01</v>
      </c>
      <c r="D127" s="19" t="str">
        <f aca="false">+VLOOKUP(B127,transacciones!$A$1:$I$39,3,FALSE())</f>
        <v>Producción / Consumo intermedio</v>
      </c>
      <c r="E127" s="19" t="str">
        <f aca="false">+VLOOKUP($B127,transacciones!$A$1:$I$39,4,FALSE())</f>
        <v>Consumo</v>
      </c>
      <c r="F127" s="19" t="n">
        <f aca="false">+VLOOKUP(B127,transacciones!$A$2:$I$39,5,FALSE())</f>
        <v>2</v>
      </c>
      <c r="G127" s="19" t="str">
        <f aca="false">+VLOOKUP(B127,transacciones!$A$2:$I$39,6,FALSE())</f>
        <v>P2</v>
      </c>
      <c r="H127" s="37" t="str">
        <f aca="false">+VLOOKUP(B127,transacciones!$A$1:$I$39,7,FALSE())</f>
        <v>Consumo intermedio</v>
      </c>
      <c r="I127" s="37" t="s">
        <v>317</v>
      </c>
      <c r="J127" s="37" t="s">
        <v>648</v>
      </c>
      <c r="K127" s="2" t="s">
        <v>479</v>
      </c>
      <c r="L127" s="60" t="str">
        <f aca="false">+VLOOKUP(K127,'Correl CIIU'!$A$1:$F$26,2,FALSE())</f>
        <v>Transporte y almacenamiento</v>
      </c>
      <c r="M127" s="60" t="str">
        <f aca="false">+VLOOKUP(K127,'Correl CIIU'!$A$1:$F$26,3,FALSE())</f>
        <v>Transporte y almacenamiento</v>
      </c>
      <c r="N127" s="60" t="str">
        <f aca="false">+VLOOKUP(K127,'Correl CIIU'!$A$1:$F$26,4,FALSE())</f>
        <v>Transportation and storage</v>
      </c>
      <c r="O127" s="61" t="n">
        <v>3</v>
      </c>
      <c r="P127" s="62" t="str">
        <f aca="false">VLOOKUP(O127,bio!$D$2:$E$4,2,FALSE())</f>
        <v>No bioeconomía</v>
      </c>
    </row>
    <row r="128" customFormat="false" ht="15" hidden="false" customHeight="false" outlineLevel="0" collapsed="false">
      <c r="A128" s="0" t="s">
        <v>649</v>
      </c>
      <c r="B128" s="2" t="s">
        <v>558</v>
      </c>
      <c r="C128" s="19" t="str">
        <f aca="false">+VLOOKUP(B128,transacciones!$A$1:$I$39,2,FALSE())</f>
        <v>ATC01</v>
      </c>
      <c r="D128" s="19" t="str">
        <f aca="false">+VLOOKUP(B128,transacciones!$A$1:$I$39,3,FALSE())</f>
        <v>Producción / Consumo intermedio</v>
      </c>
      <c r="E128" s="19" t="str">
        <f aca="false">+VLOOKUP($B128,transacciones!$A$1:$I$39,4,FALSE())</f>
        <v>Consumo</v>
      </c>
      <c r="F128" s="19" t="n">
        <f aca="false">+VLOOKUP(B128,transacciones!$A$2:$I$39,5,FALSE())</f>
        <v>2</v>
      </c>
      <c r="G128" s="19" t="str">
        <f aca="false">+VLOOKUP(B128,transacciones!$A$2:$I$39,6,FALSE())</f>
        <v>P2</v>
      </c>
      <c r="H128" s="37" t="str">
        <f aca="false">+VLOOKUP(B128,transacciones!$A$1:$I$39,7,FALSE())</f>
        <v>Consumo intermedio</v>
      </c>
      <c r="I128" s="37" t="s">
        <v>317</v>
      </c>
      <c r="J128" s="37" t="s">
        <v>650</v>
      </c>
      <c r="K128" s="2" t="s">
        <v>479</v>
      </c>
      <c r="L128" s="60" t="str">
        <f aca="false">+VLOOKUP(K128,'Correl CIIU'!$A$1:$F$26,2,FALSE())</f>
        <v>Transporte y almacenamiento</v>
      </c>
      <c r="M128" s="60" t="str">
        <f aca="false">+VLOOKUP(K128,'Correl CIIU'!$A$1:$F$26,3,FALSE())</f>
        <v>Transporte y almacenamiento</v>
      </c>
      <c r="N128" s="60" t="str">
        <f aca="false">+VLOOKUP(K128,'Correl CIIU'!$A$1:$F$26,4,FALSE())</f>
        <v>Transportation and storage</v>
      </c>
      <c r="O128" s="61" t="n">
        <v>3</v>
      </c>
      <c r="P128" s="62" t="str">
        <f aca="false">VLOOKUP(O128,bio!$D$2:$E$4,2,FALSE())</f>
        <v>No bioeconomía</v>
      </c>
    </row>
    <row r="129" customFormat="false" ht="15" hidden="false" customHeight="false" outlineLevel="0" collapsed="false">
      <c r="A129" s="0" t="s">
        <v>651</v>
      </c>
      <c r="B129" s="2" t="s">
        <v>558</v>
      </c>
      <c r="C129" s="19" t="str">
        <f aca="false">+VLOOKUP(B129,transacciones!$A$1:$I$39,2,FALSE())</f>
        <v>ATC01</v>
      </c>
      <c r="D129" s="19" t="str">
        <f aca="false">+VLOOKUP(B129,transacciones!$A$1:$I$39,3,FALSE())</f>
        <v>Producción / Consumo intermedio</v>
      </c>
      <c r="E129" s="19" t="str">
        <f aca="false">+VLOOKUP($B129,transacciones!$A$1:$I$39,4,FALSE())</f>
        <v>Consumo</v>
      </c>
      <c r="F129" s="19" t="n">
        <f aca="false">+VLOOKUP(B129,transacciones!$A$2:$I$39,5,FALSE())</f>
        <v>2</v>
      </c>
      <c r="G129" s="19" t="str">
        <f aca="false">+VLOOKUP(B129,transacciones!$A$2:$I$39,6,FALSE())</f>
        <v>P2</v>
      </c>
      <c r="H129" s="37" t="str">
        <f aca="false">+VLOOKUP(B129,transacciones!$A$1:$I$39,7,FALSE())</f>
        <v>Consumo intermedio</v>
      </c>
      <c r="I129" s="37" t="s">
        <v>317</v>
      </c>
      <c r="J129" s="37" t="s">
        <v>652</v>
      </c>
      <c r="K129" s="2" t="s">
        <v>479</v>
      </c>
      <c r="L129" s="60" t="str">
        <f aca="false">+VLOOKUP(K129,'Correl CIIU'!$A$1:$F$26,2,FALSE())</f>
        <v>Transporte y almacenamiento</v>
      </c>
      <c r="M129" s="60" t="str">
        <f aca="false">+VLOOKUP(K129,'Correl CIIU'!$A$1:$F$26,3,FALSE())</f>
        <v>Transporte y almacenamiento</v>
      </c>
      <c r="N129" s="60" t="str">
        <f aca="false">+VLOOKUP(K129,'Correl CIIU'!$A$1:$F$26,4,FALSE())</f>
        <v>Transportation and storage</v>
      </c>
      <c r="O129" s="61" t="n">
        <v>3</v>
      </c>
      <c r="P129" s="62" t="str">
        <f aca="false">VLOOKUP(O129,bio!$D$2:$E$4,2,FALSE())</f>
        <v>No bioeconomía</v>
      </c>
    </row>
    <row r="130" customFormat="false" ht="15" hidden="false" customHeight="false" outlineLevel="0" collapsed="false">
      <c r="A130" s="0" t="s">
        <v>653</v>
      </c>
      <c r="B130" s="2" t="s">
        <v>558</v>
      </c>
      <c r="C130" s="19" t="str">
        <f aca="false">+VLOOKUP(B130,transacciones!$A$1:$I$39,2,FALSE())</f>
        <v>ATC01</v>
      </c>
      <c r="D130" s="19" t="str">
        <f aca="false">+VLOOKUP(B130,transacciones!$A$1:$I$39,3,FALSE())</f>
        <v>Producción / Consumo intermedio</v>
      </c>
      <c r="E130" s="19" t="str">
        <f aca="false">+VLOOKUP($B130,transacciones!$A$1:$I$39,4,FALSE())</f>
        <v>Consumo</v>
      </c>
      <c r="F130" s="19" t="n">
        <f aca="false">+VLOOKUP(B130,transacciones!$A$2:$I$39,5,FALSE())</f>
        <v>2</v>
      </c>
      <c r="G130" s="19" t="str">
        <f aca="false">+VLOOKUP(B130,transacciones!$A$2:$I$39,6,FALSE())</f>
        <v>P2</v>
      </c>
      <c r="H130" s="37" t="str">
        <f aca="false">+VLOOKUP(B130,transacciones!$A$1:$I$39,7,FALSE())</f>
        <v>Consumo intermedio</v>
      </c>
      <c r="I130" s="37" t="s">
        <v>317</v>
      </c>
      <c r="J130" s="37" t="s">
        <v>654</v>
      </c>
      <c r="K130" s="2" t="s">
        <v>479</v>
      </c>
      <c r="L130" s="60" t="str">
        <f aca="false">+VLOOKUP(K130,'Correl CIIU'!$A$1:$F$26,2,FALSE())</f>
        <v>Transporte y almacenamiento</v>
      </c>
      <c r="M130" s="60" t="str">
        <f aca="false">+VLOOKUP(K130,'Correl CIIU'!$A$1:$F$26,3,FALSE())</f>
        <v>Transporte y almacenamiento</v>
      </c>
      <c r="N130" s="60" t="str">
        <f aca="false">+VLOOKUP(K130,'Correl CIIU'!$A$1:$F$26,4,FALSE())</f>
        <v>Transportation and storage</v>
      </c>
      <c r="O130" s="61" t="n">
        <v>3</v>
      </c>
      <c r="P130" s="62" t="str">
        <f aca="false">VLOOKUP(O130,bio!$D$2:$E$4,2,FALSE())</f>
        <v>No bioeconomía</v>
      </c>
    </row>
    <row r="131" customFormat="false" ht="15" hidden="false" customHeight="false" outlineLevel="0" collapsed="false">
      <c r="A131" s="0" t="s">
        <v>655</v>
      </c>
      <c r="B131" s="2" t="s">
        <v>558</v>
      </c>
      <c r="C131" s="19" t="str">
        <f aca="false">+VLOOKUP(B131,transacciones!$A$1:$I$39,2,FALSE())</f>
        <v>ATC01</v>
      </c>
      <c r="D131" s="19" t="str">
        <f aca="false">+VLOOKUP(B131,transacciones!$A$1:$I$39,3,FALSE())</f>
        <v>Producción / Consumo intermedio</v>
      </c>
      <c r="E131" s="19" t="str">
        <f aca="false">+VLOOKUP($B131,transacciones!$A$1:$I$39,4,FALSE())</f>
        <v>Consumo</v>
      </c>
      <c r="F131" s="19" t="n">
        <f aca="false">+VLOOKUP(B131,transacciones!$A$2:$I$39,5,FALSE())</f>
        <v>2</v>
      </c>
      <c r="G131" s="19" t="str">
        <f aca="false">+VLOOKUP(B131,transacciones!$A$2:$I$39,6,FALSE())</f>
        <v>P2</v>
      </c>
      <c r="H131" s="37" t="str">
        <f aca="false">+VLOOKUP(B131,transacciones!$A$1:$I$39,7,FALSE())</f>
        <v>Consumo intermedio</v>
      </c>
      <c r="I131" s="37" t="s">
        <v>317</v>
      </c>
      <c r="J131" s="37" t="s">
        <v>656</v>
      </c>
      <c r="K131" s="2" t="s">
        <v>492</v>
      </c>
      <c r="L131" s="60" t="str">
        <f aca="false">+VLOOKUP(K131,'Correl CIIU'!$A$1:$F$26,2,FALSE())</f>
        <v>Información y comunicaciones</v>
      </c>
      <c r="M131" s="60" t="str">
        <f aca="false">+VLOOKUP(K131,'Correl CIIU'!$A$1:$F$26,3,FALSE())</f>
        <v>Información y comunicaciones</v>
      </c>
      <c r="N131" s="60" t="str">
        <f aca="false">+VLOOKUP(K131,'Correl CIIU'!$A$1:$F$26,4,FALSE())</f>
        <v>Information and communication</v>
      </c>
      <c r="O131" s="61" t="n">
        <v>3</v>
      </c>
      <c r="P131" s="62" t="str">
        <f aca="false">VLOOKUP(O131,bio!$D$2:$E$4,2,FALSE())</f>
        <v>No bioeconomía</v>
      </c>
    </row>
    <row r="132" customFormat="false" ht="15" hidden="false" customHeight="false" outlineLevel="0" collapsed="false">
      <c r="A132" s="0" t="s">
        <v>657</v>
      </c>
      <c r="B132" s="2" t="s">
        <v>558</v>
      </c>
      <c r="C132" s="19" t="str">
        <f aca="false">+VLOOKUP(B132,transacciones!$A$1:$I$39,2,FALSE())</f>
        <v>ATC01</v>
      </c>
      <c r="D132" s="19" t="str">
        <f aca="false">+VLOOKUP(B132,transacciones!$A$1:$I$39,3,FALSE())</f>
        <v>Producción / Consumo intermedio</v>
      </c>
      <c r="E132" s="19" t="str">
        <f aca="false">+VLOOKUP($B132,transacciones!$A$1:$I$39,4,FALSE())</f>
        <v>Consumo</v>
      </c>
      <c r="F132" s="19" t="n">
        <f aca="false">+VLOOKUP(B132,transacciones!$A$2:$I$39,5,FALSE())</f>
        <v>2</v>
      </c>
      <c r="G132" s="19" t="str">
        <f aca="false">+VLOOKUP(B132,transacciones!$A$2:$I$39,6,FALSE())</f>
        <v>P2</v>
      </c>
      <c r="H132" s="37" t="str">
        <f aca="false">+VLOOKUP(B132,transacciones!$A$1:$I$39,7,FALSE())</f>
        <v>Consumo intermedio</v>
      </c>
      <c r="I132" s="37" t="s">
        <v>317</v>
      </c>
      <c r="J132" s="37" t="s">
        <v>658</v>
      </c>
      <c r="K132" s="2" t="s">
        <v>494</v>
      </c>
      <c r="L132" s="60" t="str">
        <f aca="false">+VLOOKUP(K132,'Correl CIIU'!$A$1:$F$26,2,FALSE())</f>
        <v>Actividades de alojamiento y de servicio de comidas</v>
      </c>
      <c r="M132" s="60" t="str">
        <f aca="false">+VLOOKUP(K132,'Correl CIIU'!$A$1:$F$26,3,FALSE())</f>
        <v>Alojamiento y alimentación</v>
      </c>
      <c r="N132" s="60" t="str">
        <f aca="false">+VLOOKUP(K132,'Correl CIIU'!$A$1:$F$26,4,FALSE())</f>
        <v>Accommodation and food service activities</v>
      </c>
      <c r="O132" s="61" t="n">
        <v>3</v>
      </c>
      <c r="P132" s="62" t="str">
        <f aca="false">VLOOKUP(O132,bio!$D$2:$E$4,2,FALSE())</f>
        <v>No bioeconomía</v>
      </c>
    </row>
    <row r="133" customFormat="false" ht="15" hidden="false" customHeight="false" outlineLevel="0" collapsed="false">
      <c r="A133" s="0" t="s">
        <v>659</v>
      </c>
      <c r="B133" s="2" t="s">
        <v>558</v>
      </c>
      <c r="C133" s="19" t="str">
        <f aca="false">+VLOOKUP(B133,transacciones!$A$1:$I$39,2,FALSE())</f>
        <v>ATC01</v>
      </c>
      <c r="D133" s="19" t="str">
        <f aca="false">+VLOOKUP(B133,transacciones!$A$1:$I$39,3,FALSE())</f>
        <v>Producción / Consumo intermedio</v>
      </c>
      <c r="E133" s="19" t="str">
        <f aca="false">+VLOOKUP($B133,transacciones!$A$1:$I$39,4,FALSE())</f>
        <v>Consumo</v>
      </c>
      <c r="F133" s="19" t="n">
        <f aca="false">+VLOOKUP(B133,transacciones!$A$2:$I$39,5,FALSE())</f>
        <v>2</v>
      </c>
      <c r="G133" s="19" t="str">
        <f aca="false">+VLOOKUP(B133,transacciones!$A$2:$I$39,6,FALSE())</f>
        <v>P2</v>
      </c>
      <c r="H133" s="37" t="str">
        <f aca="false">+VLOOKUP(B133,transacciones!$A$1:$I$39,7,FALSE())</f>
        <v>Consumo intermedio</v>
      </c>
      <c r="I133" s="37" t="s">
        <v>317</v>
      </c>
      <c r="J133" s="37" t="s">
        <v>660</v>
      </c>
      <c r="K133" s="2" t="s">
        <v>492</v>
      </c>
      <c r="L133" s="60" t="str">
        <f aca="false">+VLOOKUP(K133,'Correl CIIU'!$A$1:$F$26,2,FALSE())</f>
        <v>Información y comunicaciones</v>
      </c>
      <c r="M133" s="60" t="str">
        <f aca="false">+VLOOKUP(K133,'Correl CIIU'!$A$1:$F$26,3,FALSE())</f>
        <v>Información y comunicaciones</v>
      </c>
      <c r="N133" s="60" t="str">
        <f aca="false">+VLOOKUP(K133,'Correl CIIU'!$A$1:$F$26,4,FALSE())</f>
        <v>Information and communication</v>
      </c>
      <c r="O133" s="61" t="n">
        <v>3</v>
      </c>
      <c r="P133" s="62" t="str">
        <f aca="false">VLOOKUP(O133,bio!$D$2:$E$4,2,FALSE())</f>
        <v>No bioeconomía</v>
      </c>
    </row>
    <row r="134" customFormat="false" ht="15" hidden="false" customHeight="false" outlineLevel="0" collapsed="false">
      <c r="A134" s="0" t="s">
        <v>661</v>
      </c>
      <c r="B134" s="2" t="s">
        <v>558</v>
      </c>
      <c r="C134" s="19" t="str">
        <f aca="false">+VLOOKUP(B134,transacciones!$A$1:$I$39,2,FALSE())</f>
        <v>ATC01</v>
      </c>
      <c r="D134" s="19" t="str">
        <f aca="false">+VLOOKUP(B134,transacciones!$A$1:$I$39,3,FALSE())</f>
        <v>Producción / Consumo intermedio</v>
      </c>
      <c r="E134" s="19" t="str">
        <f aca="false">+VLOOKUP($B134,transacciones!$A$1:$I$39,4,FALSE())</f>
        <v>Consumo</v>
      </c>
      <c r="F134" s="19" t="n">
        <f aca="false">+VLOOKUP(B134,transacciones!$A$2:$I$39,5,FALSE())</f>
        <v>2</v>
      </c>
      <c r="G134" s="19" t="str">
        <f aca="false">+VLOOKUP(B134,transacciones!$A$2:$I$39,6,FALSE())</f>
        <v>P2</v>
      </c>
      <c r="H134" s="37" t="str">
        <f aca="false">+VLOOKUP(B134,transacciones!$A$1:$I$39,7,FALSE())</f>
        <v>Consumo intermedio</v>
      </c>
      <c r="I134" s="37" t="s">
        <v>317</v>
      </c>
      <c r="J134" s="37" t="s">
        <v>662</v>
      </c>
      <c r="K134" s="2" t="s">
        <v>499</v>
      </c>
      <c r="L134" s="60" t="str">
        <f aca="false">+VLOOKUP(K134,'Correl CIIU'!$A$1:$F$26,2,FALSE())</f>
        <v>Actividades financieras y de seguros</v>
      </c>
      <c r="M134" s="60" t="str">
        <f aca="false">+VLOOKUP(K134,'Correl CIIU'!$A$1:$F$26,3,FALSE())</f>
        <v>Finanzas y seguros</v>
      </c>
      <c r="N134" s="60" t="str">
        <f aca="false">+VLOOKUP(K134,'Correl CIIU'!$A$1:$F$26,4,FALSE())</f>
        <v>Financial and insurance activities</v>
      </c>
      <c r="O134" s="61" t="n">
        <v>3</v>
      </c>
      <c r="P134" s="62" t="str">
        <f aca="false">VLOOKUP(O134,bio!$D$2:$E$4,2,FALSE())</f>
        <v>No bioeconomía</v>
      </c>
    </row>
    <row r="135" customFormat="false" ht="15" hidden="false" customHeight="false" outlineLevel="0" collapsed="false">
      <c r="A135" s="0" t="s">
        <v>663</v>
      </c>
      <c r="B135" s="2" t="s">
        <v>558</v>
      </c>
      <c r="C135" s="19" t="str">
        <f aca="false">+VLOOKUP(B135,transacciones!$A$1:$I$39,2,FALSE())</f>
        <v>ATC01</v>
      </c>
      <c r="D135" s="19" t="str">
        <f aca="false">+VLOOKUP(B135,transacciones!$A$1:$I$39,3,FALSE())</f>
        <v>Producción / Consumo intermedio</v>
      </c>
      <c r="E135" s="19" t="str">
        <f aca="false">+VLOOKUP($B135,transacciones!$A$1:$I$39,4,FALSE())</f>
        <v>Consumo</v>
      </c>
      <c r="F135" s="19" t="n">
        <f aca="false">+VLOOKUP(B135,transacciones!$A$2:$I$39,5,FALSE())</f>
        <v>2</v>
      </c>
      <c r="G135" s="19" t="str">
        <f aca="false">+VLOOKUP(B135,transacciones!$A$2:$I$39,6,FALSE())</f>
        <v>P2</v>
      </c>
      <c r="H135" s="37" t="str">
        <f aca="false">+VLOOKUP(B135,transacciones!$A$1:$I$39,7,FALSE())</f>
        <v>Consumo intermedio</v>
      </c>
      <c r="I135" s="37" t="s">
        <v>317</v>
      </c>
      <c r="J135" s="37" t="s">
        <v>664</v>
      </c>
      <c r="K135" s="2" t="s">
        <v>504</v>
      </c>
      <c r="L135" s="60" t="str">
        <f aca="false">+VLOOKUP(K135,'Correl CIIU'!$A$1:$F$26,2,FALSE())</f>
        <v>Actividades inmobiliarias</v>
      </c>
      <c r="M135" s="60" t="str">
        <f aca="false">+VLOOKUP(K135,'Correl CIIU'!$A$1:$F$26,3,FALSE())</f>
        <v>Inmobiliarios</v>
      </c>
      <c r="N135" s="60" t="str">
        <f aca="false">+VLOOKUP(K135,'Correl CIIU'!$A$1:$F$26,4,FALSE())</f>
        <v>Real estate activities</v>
      </c>
      <c r="O135" s="61" t="n">
        <v>3</v>
      </c>
      <c r="P135" s="62" t="str">
        <f aca="false">VLOOKUP(O135,bio!$D$2:$E$4,2,FALSE())</f>
        <v>No bioeconomía</v>
      </c>
    </row>
    <row r="136" customFormat="false" ht="15" hidden="false" customHeight="false" outlineLevel="0" collapsed="false">
      <c r="A136" s="0" t="s">
        <v>665</v>
      </c>
      <c r="B136" s="2" t="s">
        <v>558</v>
      </c>
      <c r="C136" s="19" t="str">
        <f aca="false">+VLOOKUP(B136,transacciones!$A$1:$I$39,2,FALSE())</f>
        <v>ATC01</v>
      </c>
      <c r="D136" s="19" t="str">
        <f aca="false">+VLOOKUP(B136,transacciones!$A$1:$I$39,3,FALSE())</f>
        <v>Producción / Consumo intermedio</v>
      </c>
      <c r="E136" s="19" t="str">
        <f aca="false">+VLOOKUP($B136,transacciones!$A$1:$I$39,4,FALSE())</f>
        <v>Consumo</v>
      </c>
      <c r="F136" s="19" t="n">
        <f aca="false">+VLOOKUP(B136,transacciones!$A$2:$I$39,5,FALSE())</f>
        <v>2</v>
      </c>
      <c r="G136" s="19" t="str">
        <f aca="false">+VLOOKUP(B136,transacciones!$A$2:$I$39,6,FALSE())</f>
        <v>P2</v>
      </c>
      <c r="H136" s="37" t="str">
        <f aca="false">+VLOOKUP(B136,transacciones!$A$1:$I$39,7,FALSE())</f>
        <v>Consumo intermedio</v>
      </c>
      <c r="I136" s="37" t="s">
        <v>317</v>
      </c>
      <c r="J136" s="37" t="s">
        <v>666</v>
      </c>
      <c r="K136" s="2" t="s">
        <v>506</v>
      </c>
      <c r="L136" s="60" t="str">
        <f aca="false">+VLOOKUP(K136,'Correl CIIU'!$A$1:$F$26,2,FALSE())</f>
        <v>Actividades profesionales, científicas y técnicas</v>
      </c>
      <c r="M136" s="60" t="str">
        <f aca="false">+VLOOKUP(K136,'Correl CIIU'!$A$1:$F$26,3,FALSE())</f>
        <v>Servicios profesionales</v>
      </c>
      <c r="N136" s="60" t="str">
        <f aca="false">+VLOOKUP(K136,'Correl CIIU'!$A$1:$F$26,4,FALSE())</f>
        <v>Professional, scientific and technical activities</v>
      </c>
      <c r="O136" s="61" t="n">
        <v>3</v>
      </c>
      <c r="P136" s="62" t="str">
        <f aca="false">VLOOKUP(O136,bio!$D$2:$E$4,2,FALSE())</f>
        <v>No bioeconomía</v>
      </c>
    </row>
    <row r="137" customFormat="false" ht="15" hidden="false" customHeight="false" outlineLevel="0" collapsed="false">
      <c r="A137" s="0" t="s">
        <v>667</v>
      </c>
      <c r="B137" s="2" t="s">
        <v>558</v>
      </c>
      <c r="C137" s="19" t="str">
        <f aca="false">+VLOOKUP(B137,transacciones!$A$1:$I$39,2,FALSE())</f>
        <v>ATC01</v>
      </c>
      <c r="D137" s="19" t="str">
        <f aca="false">+VLOOKUP(B137,transacciones!$A$1:$I$39,3,FALSE())</f>
        <v>Producción / Consumo intermedio</v>
      </c>
      <c r="E137" s="19" t="str">
        <f aca="false">+VLOOKUP($B137,transacciones!$A$1:$I$39,4,FALSE())</f>
        <v>Consumo</v>
      </c>
      <c r="F137" s="19" t="n">
        <f aca="false">+VLOOKUP(B137,transacciones!$A$2:$I$39,5,FALSE())</f>
        <v>2</v>
      </c>
      <c r="G137" s="19" t="str">
        <f aca="false">+VLOOKUP(B137,transacciones!$A$2:$I$39,6,FALSE())</f>
        <v>P2</v>
      </c>
      <c r="H137" s="37" t="str">
        <f aca="false">+VLOOKUP(B137,transacciones!$A$1:$I$39,7,FALSE())</f>
        <v>Consumo intermedio</v>
      </c>
      <c r="I137" s="37" t="s">
        <v>317</v>
      </c>
      <c r="J137" s="37" t="s">
        <v>668</v>
      </c>
      <c r="K137" s="2" t="s">
        <v>511</v>
      </c>
      <c r="L137" s="60" t="str">
        <f aca="false">+VLOOKUP(K137,'Correl CIIU'!$A$1:$F$26,2,FALSE())</f>
        <v>Actividades de servicios administrativos y de apoyo</v>
      </c>
      <c r="M137" s="60" t="str">
        <f aca="false">+VLOOKUP(K137,'Correl CIIU'!$A$1:$F$26,3,FALSE())</f>
        <v>Servicios administrativos</v>
      </c>
      <c r="N137" s="60" t="str">
        <f aca="false">+VLOOKUP(K137,'Correl CIIU'!$A$1:$F$26,4,FALSE())</f>
        <v>Administrative and support service activities</v>
      </c>
      <c r="O137" s="61" t="n">
        <v>3</v>
      </c>
      <c r="P137" s="62" t="str">
        <f aca="false">VLOOKUP(O137,bio!$D$2:$E$4,2,FALSE())</f>
        <v>No bioeconomía</v>
      </c>
    </row>
    <row r="138" customFormat="false" ht="15" hidden="false" customHeight="false" outlineLevel="0" collapsed="false">
      <c r="A138" s="0" t="s">
        <v>669</v>
      </c>
      <c r="B138" s="2" t="s">
        <v>558</v>
      </c>
      <c r="C138" s="19" t="str">
        <f aca="false">+VLOOKUP(B138,transacciones!$A$1:$I$39,2,FALSE())</f>
        <v>ATC01</v>
      </c>
      <c r="D138" s="19" t="str">
        <f aca="false">+VLOOKUP(B138,transacciones!$A$1:$I$39,3,FALSE())</f>
        <v>Producción / Consumo intermedio</v>
      </c>
      <c r="E138" s="19" t="str">
        <f aca="false">+VLOOKUP($B138,transacciones!$A$1:$I$39,4,FALSE())</f>
        <v>Consumo</v>
      </c>
      <c r="F138" s="19" t="n">
        <f aca="false">+VLOOKUP(B138,transacciones!$A$2:$I$39,5,FALSE())</f>
        <v>2</v>
      </c>
      <c r="G138" s="19" t="str">
        <f aca="false">+VLOOKUP(B138,transacciones!$A$2:$I$39,6,FALSE())</f>
        <v>P2</v>
      </c>
      <c r="H138" s="37" t="str">
        <f aca="false">+VLOOKUP(B138,transacciones!$A$1:$I$39,7,FALSE())</f>
        <v>Consumo intermedio</v>
      </c>
      <c r="I138" s="37" t="s">
        <v>317</v>
      </c>
      <c r="J138" s="37" t="s">
        <v>670</v>
      </c>
      <c r="K138" s="2" t="s">
        <v>513</v>
      </c>
      <c r="L138" s="60" t="str">
        <f aca="false">+VLOOKUP(K138,'Correl CIIU'!$A$1:$F$26,2,FALSE())</f>
        <v>Administración pública y defensa; planes de seguridad social de afiliación obligatoria</v>
      </c>
      <c r="M138" s="60" t="str">
        <f aca="false">+VLOOKUP(K138,'Correl CIIU'!$A$1:$F$26,3,FALSE())</f>
        <v>Administración pública</v>
      </c>
      <c r="N138" s="60" t="str">
        <f aca="false">+VLOOKUP(K138,'Correl CIIU'!$A$1:$F$26,4,FALSE())</f>
        <v>Public administration and defence; compulsory social security</v>
      </c>
      <c r="O138" s="61" t="n">
        <v>3</v>
      </c>
      <c r="P138" s="62" t="str">
        <f aca="false">VLOOKUP(O138,bio!$D$2:$E$4,2,FALSE())</f>
        <v>No bioeconomía</v>
      </c>
    </row>
    <row r="139" customFormat="false" ht="15" hidden="false" customHeight="false" outlineLevel="0" collapsed="false">
      <c r="A139" s="0" t="s">
        <v>671</v>
      </c>
      <c r="B139" s="2" t="s">
        <v>558</v>
      </c>
      <c r="C139" s="19" t="str">
        <f aca="false">+VLOOKUP(B139,transacciones!$A$1:$I$39,2,FALSE())</f>
        <v>ATC01</v>
      </c>
      <c r="D139" s="19" t="str">
        <f aca="false">+VLOOKUP(B139,transacciones!$A$1:$I$39,3,FALSE())</f>
        <v>Producción / Consumo intermedio</v>
      </c>
      <c r="E139" s="19" t="str">
        <f aca="false">+VLOOKUP($B139,transacciones!$A$1:$I$39,4,FALSE())</f>
        <v>Consumo</v>
      </c>
      <c r="F139" s="19" t="n">
        <f aca="false">+VLOOKUP(B139,transacciones!$A$2:$I$39,5,FALSE())</f>
        <v>2</v>
      </c>
      <c r="G139" s="19" t="str">
        <f aca="false">+VLOOKUP(B139,transacciones!$A$2:$I$39,6,FALSE())</f>
        <v>P2</v>
      </c>
      <c r="H139" s="37" t="str">
        <f aca="false">+VLOOKUP(B139,transacciones!$A$1:$I$39,7,FALSE())</f>
        <v>Consumo intermedio</v>
      </c>
      <c r="I139" s="37" t="s">
        <v>317</v>
      </c>
      <c r="J139" s="37" t="s">
        <v>672</v>
      </c>
      <c r="K139" s="2" t="s">
        <v>518</v>
      </c>
      <c r="L139" s="60" t="str">
        <f aca="false">+VLOOKUP(K139,'Correl CIIU'!$A$1:$F$26,2,FALSE())</f>
        <v>Enseñanza</v>
      </c>
      <c r="M139" s="60" t="str">
        <f aca="false">+VLOOKUP(K139,'Correl CIIU'!$A$1:$F$26,3,FALSE())</f>
        <v>Enseñanza</v>
      </c>
      <c r="N139" s="60" t="str">
        <f aca="false">+VLOOKUP(K139,'Correl CIIU'!$A$1:$F$26,4,FALSE())</f>
        <v>Education</v>
      </c>
      <c r="O139" s="61" t="n">
        <v>3</v>
      </c>
      <c r="P139" s="62" t="str">
        <f aca="false">VLOOKUP(O139,bio!$D$2:$E$4,2,FALSE())</f>
        <v>No bioeconomía</v>
      </c>
    </row>
    <row r="140" customFormat="false" ht="15" hidden="false" customHeight="false" outlineLevel="0" collapsed="false">
      <c r="A140" s="0" t="s">
        <v>673</v>
      </c>
      <c r="B140" s="2" t="s">
        <v>558</v>
      </c>
      <c r="C140" s="19" t="str">
        <f aca="false">+VLOOKUP(B140,transacciones!$A$1:$I$39,2,FALSE())</f>
        <v>ATC01</v>
      </c>
      <c r="D140" s="19" t="str">
        <f aca="false">+VLOOKUP(B140,transacciones!$A$1:$I$39,3,FALSE())</f>
        <v>Producción / Consumo intermedio</v>
      </c>
      <c r="E140" s="19" t="str">
        <f aca="false">+VLOOKUP($B140,transacciones!$A$1:$I$39,4,FALSE())</f>
        <v>Consumo</v>
      </c>
      <c r="F140" s="19" t="n">
        <f aca="false">+VLOOKUP(B140,transacciones!$A$2:$I$39,5,FALSE())</f>
        <v>2</v>
      </c>
      <c r="G140" s="19" t="str">
        <f aca="false">+VLOOKUP(B140,transacciones!$A$2:$I$39,6,FALSE())</f>
        <v>P2</v>
      </c>
      <c r="H140" s="37" t="str">
        <f aca="false">+VLOOKUP(B140,transacciones!$A$1:$I$39,7,FALSE())</f>
        <v>Consumo intermedio</v>
      </c>
      <c r="I140" s="37" t="s">
        <v>317</v>
      </c>
      <c r="J140" s="37" t="s">
        <v>674</v>
      </c>
      <c r="K140" s="2" t="s">
        <v>518</v>
      </c>
      <c r="L140" s="60" t="str">
        <f aca="false">+VLOOKUP(K140,'Correl CIIU'!$A$1:$F$26,2,FALSE())</f>
        <v>Enseñanza</v>
      </c>
      <c r="M140" s="60" t="str">
        <f aca="false">+VLOOKUP(K140,'Correl CIIU'!$A$1:$F$26,3,FALSE())</f>
        <v>Enseñanza</v>
      </c>
      <c r="N140" s="60" t="str">
        <f aca="false">+VLOOKUP(K140,'Correl CIIU'!$A$1:$F$26,4,FALSE())</f>
        <v>Education</v>
      </c>
      <c r="O140" s="61" t="n">
        <v>3</v>
      </c>
      <c r="P140" s="62" t="str">
        <f aca="false">VLOOKUP(O140,bio!$D$2:$E$4,2,FALSE())</f>
        <v>No bioeconomía</v>
      </c>
    </row>
    <row r="141" customFormat="false" ht="15" hidden="false" customHeight="false" outlineLevel="0" collapsed="false">
      <c r="A141" s="0" t="s">
        <v>675</v>
      </c>
      <c r="B141" s="2" t="s">
        <v>558</v>
      </c>
      <c r="C141" s="19" t="str">
        <f aca="false">+VLOOKUP(B141,transacciones!$A$1:$I$39,2,FALSE())</f>
        <v>ATC01</v>
      </c>
      <c r="D141" s="19" t="str">
        <f aca="false">+VLOOKUP(B141,transacciones!$A$1:$I$39,3,FALSE())</f>
        <v>Producción / Consumo intermedio</v>
      </c>
      <c r="E141" s="19" t="str">
        <f aca="false">+VLOOKUP($B141,transacciones!$A$1:$I$39,4,FALSE())</f>
        <v>Consumo</v>
      </c>
      <c r="F141" s="19" t="n">
        <f aca="false">+VLOOKUP(B141,transacciones!$A$2:$I$39,5,FALSE())</f>
        <v>2</v>
      </c>
      <c r="G141" s="19" t="str">
        <f aca="false">+VLOOKUP(B141,transacciones!$A$2:$I$39,6,FALSE())</f>
        <v>P2</v>
      </c>
      <c r="H141" s="37" t="str">
        <f aca="false">+VLOOKUP(B141,transacciones!$A$1:$I$39,7,FALSE())</f>
        <v>Consumo intermedio</v>
      </c>
      <c r="I141" s="37" t="s">
        <v>317</v>
      </c>
      <c r="J141" s="37" t="s">
        <v>676</v>
      </c>
      <c r="K141" s="2" t="s">
        <v>523</v>
      </c>
      <c r="L141" s="60" t="str">
        <f aca="false">+VLOOKUP(K141,'Correl CIIU'!$A$1:$F$26,2,FALSE())</f>
        <v>Actividades de atención de la salud humana y de asistencia social</v>
      </c>
      <c r="M141" s="60" t="str">
        <f aca="false">+VLOOKUP(K141,'Correl CIIU'!$A$1:$F$26,3,FALSE())</f>
        <v>Salud</v>
      </c>
      <c r="N141" s="60" t="str">
        <f aca="false">+VLOOKUP(K141,'Correl CIIU'!$A$1:$F$26,4,FALSE())</f>
        <v>Human health and social work activities</v>
      </c>
      <c r="O141" s="61" t="n">
        <v>3</v>
      </c>
      <c r="P141" s="62" t="str">
        <f aca="false">VLOOKUP(O141,bio!$D$2:$E$4,2,FALSE())</f>
        <v>No bioeconomía</v>
      </c>
    </row>
    <row r="142" customFormat="false" ht="15" hidden="false" customHeight="false" outlineLevel="0" collapsed="false">
      <c r="A142" s="0" t="s">
        <v>677</v>
      </c>
      <c r="B142" s="2" t="s">
        <v>558</v>
      </c>
      <c r="C142" s="19" t="str">
        <f aca="false">+VLOOKUP(B142,transacciones!$A$1:$I$39,2,FALSE())</f>
        <v>ATC01</v>
      </c>
      <c r="D142" s="19" t="str">
        <f aca="false">+VLOOKUP(B142,transacciones!$A$1:$I$39,3,FALSE())</f>
        <v>Producción / Consumo intermedio</v>
      </c>
      <c r="E142" s="19" t="str">
        <f aca="false">+VLOOKUP($B142,transacciones!$A$1:$I$39,4,FALSE())</f>
        <v>Consumo</v>
      </c>
      <c r="F142" s="19" t="n">
        <f aca="false">+VLOOKUP(B142,transacciones!$A$2:$I$39,5,FALSE())</f>
        <v>2</v>
      </c>
      <c r="G142" s="19" t="str">
        <f aca="false">+VLOOKUP(B142,transacciones!$A$2:$I$39,6,FALSE())</f>
        <v>P2</v>
      </c>
      <c r="H142" s="37" t="str">
        <f aca="false">+VLOOKUP(B142,transacciones!$A$1:$I$39,7,FALSE())</f>
        <v>Consumo intermedio</v>
      </c>
      <c r="I142" s="37" t="s">
        <v>317</v>
      </c>
      <c r="J142" s="37" t="s">
        <v>678</v>
      </c>
      <c r="K142" s="38" t="s">
        <v>528</v>
      </c>
      <c r="L142" s="60" t="str">
        <f aca="false">+VLOOKUP(K142,'Correl CIIU'!$A$1:$F$26,2,FALSE())</f>
        <v>Otras actividades de servicios</v>
      </c>
      <c r="M142" s="60" t="str">
        <f aca="false">+VLOOKUP(K142,'Correl CIIU'!$A$1:$F$26,3,FALSE())</f>
        <v>Otros servicios</v>
      </c>
      <c r="N142" s="60" t="str">
        <f aca="false">+VLOOKUP(K142,'Correl CIIU'!$A$1:$F$26,4,FALSE())</f>
        <v>Other service activities</v>
      </c>
      <c r="O142" s="61" t="n">
        <v>3</v>
      </c>
      <c r="P142" s="62" t="str">
        <f aca="false">VLOOKUP(O142,bio!$D$2:$E$4,2,FALSE())</f>
        <v>No bioeconomía</v>
      </c>
    </row>
    <row r="143" customFormat="false" ht="15" hidden="false" customHeight="false" outlineLevel="0" collapsed="false">
      <c r="A143" s="0" t="s">
        <v>679</v>
      </c>
      <c r="B143" s="2" t="s">
        <v>558</v>
      </c>
      <c r="C143" s="19" t="str">
        <f aca="false">+VLOOKUP(B143,transacciones!$A$1:$I$39,2,FALSE())</f>
        <v>ATC01</v>
      </c>
      <c r="D143" s="19" t="str">
        <f aca="false">+VLOOKUP(B143,transacciones!$A$1:$I$39,3,FALSE())</f>
        <v>Producción / Consumo intermedio</v>
      </c>
      <c r="E143" s="19" t="str">
        <f aca="false">+VLOOKUP($B143,transacciones!$A$1:$I$39,4,FALSE())</f>
        <v>Consumo</v>
      </c>
      <c r="F143" s="19" t="n">
        <f aca="false">+VLOOKUP(B143,transacciones!$A$2:$I$39,5,FALSE())</f>
        <v>2</v>
      </c>
      <c r="G143" s="19" t="str">
        <f aca="false">+VLOOKUP(B143,transacciones!$A$2:$I$39,6,FALSE())</f>
        <v>P2</v>
      </c>
      <c r="H143" s="37" t="str">
        <f aca="false">+VLOOKUP(B143,transacciones!$A$1:$I$39,7,FALSE())</f>
        <v>Consumo intermedio</v>
      </c>
      <c r="I143" s="37" t="s">
        <v>317</v>
      </c>
      <c r="J143" s="37" t="s">
        <v>680</v>
      </c>
      <c r="K143" s="2" t="s">
        <v>528</v>
      </c>
      <c r="L143" s="60" t="str">
        <f aca="false">+VLOOKUP(K143,'Correl CIIU'!$A$1:$F$26,2,FALSE())</f>
        <v>Otras actividades de servicios</v>
      </c>
      <c r="M143" s="60" t="str">
        <f aca="false">+VLOOKUP(K143,'Correl CIIU'!$A$1:$F$26,3,FALSE())</f>
        <v>Otros servicios</v>
      </c>
      <c r="N143" s="60" t="str">
        <f aca="false">+VLOOKUP(K143,'Correl CIIU'!$A$1:$F$26,4,FALSE())</f>
        <v>Other service activities</v>
      </c>
      <c r="O143" s="61" t="n">
        <v>3</v>
      </c>
      <c r="P143" s="62" t="str">
        <f aca="false">VLOOKUP(O143,bio!$D$2:$E$4,2,FALSE())</f>
        <v>No bioeconomía</v>
      </c>
    </row>
    <row r="144" customFormat="false" ht="15" hidden="false" customHeight="false" outlineLevel="0" collapsed="false">
      <c r="A144" s="50" t="s">
        <v>681</v>
      </c>
      <c r="B144" s="50"/>
      <c r="C144" s="42"/>
      <c r="D144" s="42"/>
      <c r="E144" s="42"/>
      <c r="F144" s="42"/>
      <c r="G144" s="42"/>
      <c r="H144" s="43"/>
      <c r="I144" s="63"/>
      <c r="J144" s="64" t="s">
        <v>535</v>
      </c>
      <c r="K144" s="50"/>
      <c r="L144" s="45"/>
      <c r="M144" s="45"/>
      <c r="N144" s="45"/>
      <c r="O144" s="65"/>
      <c r="P144" s="66"/>
    </row>
    <row r="145" customFormat="false" ht="15" hidden="false" customHeight="false" outlineLevel="0" collapsed="false">
      <c r="A145" s="50" t="s">
        <v>682</v>
      </c>
      <c r="B145" s="50"/>
      <c r="C145" s="42"/>
      <c r="D145" s="42"/>
      <c r="E145" s="42"/>
      <c r="F145" s="42"/>
      <c r="G145" s="42"/>
      <c r="H145" s="43"/>
      <c r="I145" s="63"/>
      <c r="J145" s="67"/>
      <c r="K145" s="50"/>
      <c r="L145" s="45"/>
      <c r="M145" s="45"/>
      <c r="N145" s="45"/>
      <c r="O145" s="65"/>
      <c r="P145" s="66"/>
    </row>
    <row r="146" customFormat="false" ht="15" hidden="false" customHeight="false" outlineLevel="0" collapsed="false">
      <c r="A146" s="50" t="s">
        <v>683</v>
      </c>
      <c r="B146" s="50"/>
      <c r="C146" s="42"/>
      <c r="D146" s="42"/>
      <c r="E146" s="42"/>
      <c r="F146" s="42"/>
      <c r="G146" s="42"/>
      <c r="H146" s="43"/>
      <c r="I146" s="68" t="s">
        <v>684</v>
      </c>
      <c r="J146" s="64" t="s">
        <v>685</v>
      </c>
      <c r="K146" s="50"/>
      <c r="L146" s="45"/>
      <c r="M146" s="45"/>
      <c r="N146" s="45"/>
      <c r="O146" s="65"/>
      <c r="P146" s="66"/>
    </row>
    <row r="147" customFormat="false" ht="15" hidden="false" customHeight="false" outlineLevel="0" collapsed="false">
      <c r="A147" s="50" t="s">
        <v>686</v>
      </c>
      <c r="B147" s="50"/>
      <c r="C147" s="42"/>
      <c r="D147" s="42"/>
      <c r="E147" s="42"/>
      <c r="F147" s="42"/>
      <c r="G147" s="42"/>
      <c r="H147" s="43"/>
      <c r="I147" s="63"/>
      <c r="J147" s="64" t="s">
        <v>687</v>
      </c>
      <c r="K147" s="50"/>
      <c r="L147" s="45"/>
      <c r="M147" s="45"/>
      <c r="N147" s="45"/>
      <c r="O147" s="65"/>
      <c r="P147" s="66"/>
    </row>
    <row r="148" customFormat="false" ht="15" hidden="false" customHeight="false" outlineLevel="0" collapsed="false">
      <c r="A148" s="50" t="s">
        <v>688</v>
      </c>
      <c r="B148" s="50"/>
      <c r="C148" s="42"/>
      <c r="D148" s="42"/>
      <c r="E148" s="42"/>
      <c r="F148" s="42"/>
      <c r="G148" s="42"/>
      <c r="H148" s="43"/>
      <c r="I148" s="63"/>
      <c r="J148" s="64" t="s">
        <v>689</v>
      </c>
      <c r="K148" s="50"/>
      <c r="L148" s="45"/>
      <c r="M148" s="45"/>
      <c r="N148" s="45"/>
      <c r="O148" s="65"/>
      <c r="P148" s="66"/>
    </row>
    <row r="149" customFormat="false" ht="15" hidden="false" customHeight="false" outlineLevel="0" collapsed="false">
      <c r="A149" s="50" t="s">
        <v>690</v>
      </c>
      <c r="B149" s="50"/>
      <c r="C149" s="42"/>
      <c r="D149" s="42"/>
      <c r="E149" s="42"/>
      <c r="F149" s="42"/>
      <c r="G149" s="42"/>
      <c r="H149" s="43"/>
      <c r="I149" s="63"/>
      <c r="J149" s="64" t="s">
        <v>333</v>
      </c>
      <c r="K149" s="45"/>
      <c r="L149" s="45"/>
      <c r="M149" s="45"/>
      <c r="N149" s="45"/>
      <c r="O149" s="46"/>
      <c r="P149" s="47"/>
    </row>
    <row r="150" customFormat="false" ht="15" hidden="false" customHeight="false" outlineLevel="0" collapsed="false">
      <c r="A150" s="50" t="s">
        <v>691</v>
      </c>
      <c r="B150" s="50"/>
      <c r="C150" s="42"/>
      <c r="D150" s="42"/>
      <c r="E150" s="42"/>
      <c r="F150" s="42"/>
      <c r="G150" s="42"/>
      <c r="H150" s="43"/>
      <c r="I150" s="63"/>
      <c r="J150" s="64" t="s">
        <v>318</v>
      </c>
      <c r="K150" s="45"/>
      <c r="L150" s="45"/>
      <c r="M150" s="45"/>
      <c r="N150" s="45"/>
      <c r="O150" s="46"/>
      <c r="P150" s="47"/>
    </row>
    <row r="151" customFormat="false" ht="15" hidden="false" customHeight="false" outlineLevel="0" collapsed="false">
      <c r="A151" s="50" t="s">
        <v>692</v>
      </c>
      <c r="B151" s="50"/>
      <c r="C151" s="42"/>
      <c r="D151" s="42"/>
      <c r="E151" s="42"/>
      <c r="F151" s="42"/>
      <c r="G151" s="42"/>
      <c r="H151" s="43"/>
      <c r="I151" s="63"/>
      <c r="J151" s="64" t="s">
        <v>321</v>
      </c>
      <c r="K151" s="45"/>
      <c r="L151" s="45"/>
      <c r="M151" s="45"/>
      <c r="N151" s="45"/>
      <c r="O151" s="46"/>
      <c r="P151" s="47"/>
    </row>
    <row r="152" customFormat="false" ht="15" hidden="false" customHeight="false" outlineLevel="0" collapsed="false">
      <c r="A152" s="50" t="s">
        <v>693</v>
      </c>
      <c r="B152" s="50"/>
      <c r="C152" s="42"/>
      <c r="D152" s="42"/>
      <c r="E152" s="42"/>
      <c r="F152" s="42"/>
      <c r="G152" s="42"/>
      <c r="H152" s="43"/>
      <c r="I152" s="63"/>
      <c r="J152" s="64" t="s">
        <v>327</v>
      </c>
      <c r="K152" s="45"/>
      <c r="L152" s="45"/>
      <c r="M152" s="45"/>
      <c r="N152" s="45"/>
      <c r="O152" s="46"/>
      <c r="P152" s="47"/>
    </row>
    <row r="153" customFormat="false" ht="15" hidden="false" customHeight="false" outlineLevel="0" collapsed="false">
      <c r="A153" s="50" t="s">
        <v>694</v>
      </c>
      <c r="B153" s="50"/>
      <c r="C153" s="42"/>
      <c r="D153" s="42"/>
      <c r="E153" s="42"/>
      <c r="F153" s="42"/>
      <c r="G153" s="42"/>
      <c r="H153" s="43"/>
      <c r="I153" s="63"/>
      <c r="J153" s="64"/>
      <c r="K153" s="45"/>
      <c r="L153" s="45"/>
      <c r="M153" s="45"/>
      <c r="N153" s="45"/>
      <c r="O153" s="46"/>
      <c r="P153" s="47"/>
    </row>
    <row r="154" customFormat="false" ht="15" hidden="false" customHeight="false" outlineLevel="0" collapsed="false">
      <c r="A154" s="50" t="s">
        <v>695</v>
      </c>
      <c r="B154" s="50"/>
      <c r="C154" s="42"/>
      <c r="D154" s="42"/>
      <c r="E154" s="42"/>
      <c r="F154" s="42"/>
      <c r="G154" s="42"/>
      <c r="H154" s="43"/>
      <c r="I154" s="68" t="s">
        <v>696</v>
      </c>
      <c r="J154" s="64" t="s">
        <v>697</v>
      </c>
      <c r="K154" s="45"/>
      <c r="L154" s="45"/>
      <c r="M154" s="45"/>
      <c r="N154" s="45"/>
      <c r="O154" s="46"/>
      <c r="P154" s="47"/>
    </row>
    <row r="155" customFormat="false" ht="15" hidden="false" customHeight="false" outlineLevel="0" collapsed="false">
      <c r="A155" s="50" t="s">
        <v>698</v>
      </c>
      <c r="B155" s="50"/>
      <c r="C155" s="42"/>
      <c r="D155" s="42"/>
      <c r="E155" s="42"/>
      <c r="F155" s="42"/>
      <c r="G155" s="42"/>
      <c r="H155" s="43"/>
      <c r="I155" s="63"/>
      <c r="J155" s="64"/>
      <c r="K155" s="45"/>
      <c r="L155" s="45"/>
      <c r="M155" s="45"/>
      <c r="N155" s="45"/>
      <c r="O155" s="46"/>
      <c r="P155" s="47"/>
    </row>
    <row r="156" customFormat="false" ht="15" hidden="false" customHeight="false" outlineLevel="0" collapsed="false">
      <c r="A156" s="0" t="s">
        <v>699</v>
      </c>
      <c r="B156" s="69" t="s">
        <v>700</v>
      </c>
      <c r="C156" s="19" t="str">
        <f aca="false">+VLOOKUP(B156,transacciones!$A$1:$I$39,2,FALSE())</f>
        <v>ATC06</v>
      </c>
      <c r="D156" s="19" t="str">
        <f aca="false">+VLOOKUP(B156,transacciones!$A$1:$I$39,3,FALSE())</f>
        <v>Gasto de consumo final</v>
      </c>
      <c r="E156" s="19" t="str">
        <f aca="false">+VLOOKUP($B156,transacciones!$A$1:$I$39,4,FALSE())</f>
        <v>Gasto de consumo final de los hogares</v>
      </c>
      <c r="F156" s="19" t="n">
        <f aca="false">+VLOOKUP(B156,transacciones!$A$2:$I$39,5,FALSE())</f>
        <v>3</v>
      </c>
      <c r="G156" s="19" t="str">
        <f aca="false">+VLOOKUP(B156,transacciones!$A$2:$I$39,6,FALSE())</f>
        <v>P3</v>
      </c>
      <c r="H156" s="37" t="str">
        <f aca="false">+VLOOKUP(B156,transacciones!$A$1:$I$39,7,FALSE())</f>
        <v>Gasto de consumo final</v>
      </c>
      <c r="I156" s="37" t="s">
        <v>701</v>
      </c>
      <c r="J156" s="37" t="s">
        <v>685</v>
      </c>
      <c r="K156" s="16" t="s">
        <v>181</v>
      </c>
      <c r="L156" s="16" t="s">
        <v>181</v>
      </c>
      <c r="M156" s="16" t="s">
        <v>181</v>
      </c>
      <c r="N156" s="16" t="s">
        <v>181</v>
      </c>
      <c r="O156" s="39" t="s">
        <v>181</v>
      </c>
      <c r="P156" s="40" t="s">
        <v>181</v>
      </c>
    </row>
    <row r="157" customFormat="false" ht="15" hidden="false" customHeight="false" outlineLevel="0" collapsed="false">
      <c r="A157" s="50" t="s">
        <v>702</v>
      </c>
      <c r="B157" s="50"/>
      <c r="C157" s="42"/>
      <c r="D157" s="42"/>
      <c r="E157" s="42"/>
      <c r="F157" s="42"/>
      <c r="G157" s="42"/>
      <c r="H157" s="43"/>
      <c r="I157" s="63"/>
      <c r="J157" s="64" t="s">
        <v>687</v>
      </c>
      <c r="K157" s="45"/>
      <c r="L157" s="45"/>
      <c r="M157" s="45"/>
      <c r="N157" s="45"/>
      <c r="O157" s="46"/>
      <c r="P157" s="47"/>
    </row>
    <row r="158" customFormat="false" ht="15" hidden="false" customHeight="false" outlineLevel="0" collapsed="false">
      <c r="A158" s="50" t="s">
        <v>703</v>
      </c>
      <c r="B158" s="50"/>
      <c r="C158" s="42"/>
      <c r="D158" s="42"/>
      <c r="E158" s="42"/>
      <c r="F158" s="42"/>
      <c r="G158" s="42"/>
      <c r="H158" s="43"/>
      <c r="I158" s="63"/>
      <c r="J158" s="64" t="s">
        <v>689</v>
      </c>
      <c r="K158" s="45"/>
      <c r="L158" s="45"/>
      <c r="M158" s="45"/>
      <c r="N158" s="45"/>
      <c r="O158" s="46"/>
      <c r="P158" s="47"/>
    </row>
    <row r="159" customFormat="false" ht="15" hidden="false" customHeight="false" outlineLevel="0" collapsed="false">
      <c r="A159" s="50" t="s">
        <v>704</v>
      </c>
      <c r="B159" s="50"/>
      <c r="C159" s="42"/>
      <c r="D159" s="42"/>
      <c r="E159" s="42"/>
      <c r="F159" s="42"/>
      <c r="G159" s="42"/>
      <c r="H159" s="43"/>
      <c r="I159" s="63"/>
      <c r="J159" s="64" t="s">
        <v>333</v>
      </c>
      <c r="K159" s="45"/>
      <c r="L159" s="45"/>
      <c r="M159" s="45"/>
      <c r="N159" s="45"/>
      <c r="O159" s="46"/>
      <c r="P159" s="47"/>
    </row>
    <row r="160" customFormat="false" ht="15" hidden="false" customHeight="false" outlineLevel="0" collapsed="false">
      <c r="A160" s="50" t="s">
        <v>705</v>
      </c>
      <c r="B160" s="50"/>
      <c r="C160" s="42"/>
      <c r="D160" s="42"/>
      <c r="E160" s="42"/>
      <c r="F160" s="42"/>
      <c r="G160" s="42"/>
      <c r="H160" s="43"/>
      <c r="I160" s="63"/>
      <c r="J160" s="64" t="s">
        <v>318</v>
      </c>
      <c r="K160" s="45"/>
      <c r="L160" s="45"/>
      <c r="M160" s="45"/>
      <c r="N160" s="45"/>
      <c r="O160" s="46"/>
      <c r="P160" s="47"/>
    </row>
    <row r="161" customFormat="false" ht="15" hidden="false" customHeight="false" outlineLevel="0" collapsed="false">
      <c r="A161" s="50" t="s">
        <v>706</v>
      </c>
      <c r="B161" s="50"/>
      <c r="C161" s="42"/>
      <c r="D161" s="42"/>
      <c r="E161" s="42"/>
      <c r="F161" s="42"/>
      <c r="G161" s="42"/>
      <c r="H161" s="43"/>
      <c r="I161" s="63"/>
      <c r="J161" s="64" t="s">
        <v>321</v>
      </c>
      <c r="K161" s="45"/>
      <c r="L161" s="45"/>
      <c r="M161" s="45"/>
      <c r="N161" s="45"/>
      <c r="O161" s="46"/>
      <c r="P161" s="47"/>
    </row>
    <row r="162" customFormat="false" ht="15" hidden="false" customHeight="false" outlineLevel="0" collapsed="false">
      <c r="A162" s="50" t="s">
        <v>707</v>
      </c>
      <c r="B162" s="50"/>
      <c r="C162" s="42"/>
      <c r="D162" s="42"/>
      <c r="E162" s="42"/>
      <c r="F162" s="42"/>
      <c r="G162" s="42"/>
      <c r="H162" s="43"/>
      <c r="I162" s="63"/>
      <c r="J162" s="64" t="s">
        <v>327</v>
      </c>
      <c r="K162" s="45"/>
      <c r="L162" s="45"/>
      <c r="M162" s="45"/>
      <c r="N162" s="45"/>
      <c r="O162" s="46"/>
      <c r="P162" s="47"/>
    </row>
    <row r="163" customFormat="false" ht="15" hidden="false" customHeight="false" outlineLevel="0" collapsed="false">
      <c r="A163" s="50" t="s">
        <v>708</v>
      </c>
      <c r="B163" s="50"/>
      <c r="C163" s="42"/>
      <c r="D163" s="42"/>
      <c r="E163" s="42"/>
      <c r="F163" s="42"/>
      <c r="G163" s="42"/>
      <c r="H163" s="43"/>
      <c r="I163" s="63"/>
      <c r="J163" s="64"/>
      <c r="K163" s="45"/>
      <c r="L163" s="45"/>
      <c r="M163" s="45"/>
      <c r="N163" s="45"/>
      <c r="O163" s="46"/>
      <c r="P163" s="47"/>
    </row>
    <row r="164" customFormat="false" ht="15" hidden="false" customHeight="false" outlineLevel="0" collapsed="false">
      <c r="A164" s="0" t="s">
        <v>709</v>
      </c>
      <c r="B164" s="69" t="s">
        <v>710</v>
      </c>
      <c r="C164" s="19" t="str">
        <f aca="false">+VLOOKUP(B164,transacciones!$A$1:$I$39,2,FALSE())</f>
        <v>ATC06</v>
      </c>
      <c r="D164" s="19" t="str">
        <f aca="false">+VLOOKUP(B164,transacciones!$A$1:$I$39,3,FALSE())</f>
        <v>Consumo final</v>
      </c>
      <c r="E164" s="19" t="str">
        <f aca="false">+VLOOKUP($B164,transacciones!$A$1:$I$39,4,FALSE())</f>
        <v>Gasto de consumo ISFLH</v>
      </c>
      <c r="F164" s="19" t="n">
        <f aca="false">+VLOOKUP(B164,transacciones!$A$2:$I$39,5,FALSE())</f>
        <v>3</v>
      </c>
      <c r="G164" s="19" t="str">
        <f aca="false">+VLOOKUP(B164,transacciones!$A$2:$I$39,6,FALSE())</f>
        <v>P3</v>
      </c>
      <c r="H164" s="37" t="str">
        <f aca="false">+VLOOKUP(B164,transacciones!$A$1:$I$39,7,FALSE())</f>
        <v>Gasto de consumo final</v>
      </c>
      <c r="I164" s="37" t="s">
        <v>711</v>
      </c>
      <c r="J164" s="70" t="s">
        <v>685</v>
      </c>
      <c r="K164" s="16" t="s">
        <v>181</v>
      </c>
      <c r="L164" s="16" t="s">
        <v>181</v>
      </c>
      <c r="M164" s="16" t="s">
        <v>181</v>
      </c>
      <c r="N164" s="16" t="s">
        <v>181</v>
      </c>
      <c r="O164" s="39" t="s">
        <v>181</v>
      </c>
      <c r="P164" s="40" t="s">
        <v>181</v>
      </c>
    </row>
    <row r="165" customFormat="false" ht="15" hidden="false" customHeight="false" outlineLevel="0" collapsed="false">
      <c r="A165" s="50" t="s">
        <v>712</v>
      </c>
      <c r="B165" s="50"/>
      <c r="C165" s="42"/>
      <c r="D165" s="42"/>
      <c r="E165" s="42"/>
      <c r="F165" s="42"/>
      <c r="G165" s="42"/>
      <c r="H165" s="43"/>
      <c r="I165" s="63"/>
      <c r="J165" s="71" t="s">
        <v>687</v>
      </c>
      <c r="K165" s="45"/>
      <c r="L165" s="45"/>
      <c r="M165" s="45"/>
      <c r="N165" s="45"/>
      <c r="O165" s="46"/>
      <c r="P165" s="47"/>
    </row>
    <row r="166" customFormat="false" ht="15" hidden="false" customHeight="false" outlineLevel="0" collapsed="false">
      <c r="A166" s="50" t="s">
        <v>713</v>
      </c>
      <c r="B166" s="50"/>
      <c r="C166" s="42"/>
      <c r="D166" s="42"/>
      <c r="E166" s="42"/>
      <c r="F166" s="42"/>
      <c r="G166" s="42"/>
      <c r="H166" s="43"/>
      <c r="I166" s="63"/>
      <c r="J166" s="71" t="s">
        <v>689</v>
      </c>
      <c r="K166" s="45"/>
      <c r="L166" s="45"/>
      <c r="M166" s="45"/>
      <c r="N166" s="45"/>
      <c r="O166" s="46"/>
      <c r="P166" s="47"/>
    </row>
    <row r="167" customFormat="false" ht="15" hidden="false" customHeight="false" outlineLevel="0" collapsed="false">
      <c r="A167" s="50" t="s">
        <v>714</v>
      </c>
      <c r="B167" s="50"/>
      <c r="C167" s="42"/>
      <c r="D167" s="42"/>
      <c r="E167" s="42"/>
      <c r="F167" s="42"/>
      <c r="G167" s="42"/>
      <c r="H167" s="43"/>
      <c r="I167" s="63"/>
      <c r="J167" s="71" t="s">
        <v>333</v>
      </c>
      <c r="K167" s="45"/>
      <c r="L167" s="45"/>
      <c r="M167" s="45"/>
      <c r="N167" s="45"/>
      <c r="O167" s="46"/>
      <c r="P167" s="47"/>
    </row>
    <row r="168" customFormat="false" ht="15" hidden="false" customHeight="false" outlineLevel="0" collapsed="false">
      <c r="A168" s="50" t="s">
        <v>715</v>
      </c>
      <c r="B168" s="50"/>
      <c r="C168" s="42"/>
      <c r="D168" s="42"/>
      <c r="E168" s="42"/>
      <c r="F168" s="42"/>
      <c r="G168" s="42"/>
      <c r="H168" s="43"/>
      <c r="I168" s="63"/>
      <c r="J168" s="71" t="s">
        <v>318</v>
      </c>
      <c r="K168" s="45"/>
      <c r="L168" s="45"/>
      <c r="M168" s="45"/>
      <c r="N168" s="45"/>
      <c r="O168" s="46"/>
      <c r="P168" s="47"/>
    </row>
    <row r="169" customFormat="false" ht="15" hidden="false" customHeight="false" outlineLevel="0" collapsed="false">
      <c r="A169" s="50" t="s">
        <v>716</v>
      </c>
      <c r="B169" s="50"/>
      <c r="C169" s="42"/>
      <c r="D169" s="42"/>
      <c r="E169" s="42"/>
      <c r="F169" s="42"/>
      <c r="G169" s="42"/>
      <c r="H169" s="43"/>
      <c r="I169" s="63"/>
      <c r="J169" s="71" t="s">
        <v>321</v>
      </c>
      <c r="K169" s="45"/>
      <c r="L169" s="45"/>
      <c r="M169" s="45"/>
      <c r="N169" s="45"/>
      <c r="O169" s="46"/>
      <c r="P169" s="47"/>
    </row>
    <row r="170" customFormat="false" ht="15" hidden="false" customHeight="false" outlineLevel="0" collapsed="false">
      <c r="A170" s="50" t="s">
        <v>717</v>
      </c>
      <c r="B170" s="50"/>
      <c r="C170" s="42"/>
      <c r="D170" s="42"/>
      <c r="E170" s="42"/>
      <c r="F170" s="42"/>
      <c r="G170" s="42"/>
      <c r="H170" s="43"/>
      <c r="I170" s="63"/>
      <c r="J170" s="71" t="s">
        <v>327</v>
      </c>
      <c r="K170" s="45"/>
      <c r="L170" s="45"/>
      <c r="M170" s="45"/>
      <c r="N170" s="45"/>
      <c r="O170" s="46"/>
      <c r="P170" s="47"/>
    </row>
    <row r="171" customFormat="false" ht="15" hidden="false" customHeight="false" outlineLevel="0" collapsed="false">
      <c r="A171" s="50" t="s">
        <v>718</v>
      </c>
      <c r="B171" s="50"/>
      <c r="C171" s="42"/>
      <c r="D171" s="42"/>
      <c r="E171" s="42"/>
      <c r="F171" s="42"/>
      <c r="G171" s="42"/>
      <c r="H171" s="42"/>
      <c r="I171" s="43"/>
      <c r="J171" s="42"/>
      <c r="K171" s="45"/>
      <c r="L171" s="45"/>
      <c r="M171" s="45"/>
      <c r="N171" s="45"/>
      <c r="O171" s="46"/>
      <c r="P171" s="47"/>
    </row>
    <row r="172" customFormat="false" ht="15" hidden="false" customHeight="false" outlineLevel="0" collapsed="false">
      <c r="A172" s="0" t="s">
        <v>719</v>
      </c>
      <c r="B172" s="19" t="s">
        <v>720</v>
      </c>
      <c r="C172" s="19" t="str">
        <f aca="false">+VLOOKUP(B172,transacciones!$A$1:$I$39,2,FALSE())</f>
        <v>ATC06</v>
      </c>
      <c r="D172" s="19" t="str">
        <f aca="false">+VLOOKUP(B172,transacciones!$A$1:$I$39,3,FALSE())</f>
        <v>Consumo final</v>
      </c>
      <c r="E172" s="19" t="str">
        <f aca="false">+VLOOKUP($B172,transacciones!$A$1:$I$39,4,FALSE())</f>
        <v>Gasto de consumo individual de gobierno</v>
      </c>
      <c r="F172" s="19" t="n">
        <f aca="false">+VLOOKUP(B172,transacciones!$A$2:$I$39,5,FALSE())</f>
        <v>3</v>
      </c>
      <c r="G172" s="19" t="str">
        <f aca="false">+VLOOKUP(B172,transacciones!$A$2:$I$39,6,FALSE())</f>
        <v>P3</v>
      </c>
      <c r="H172" s="37" t="str">
        <f aca="false">+VLOOKUP(B172,transacciones!$A$1:$I$39,7,FALSE())</f>
        <v>Gasto de consumo final</v>
      </c>
      <c r="I172" s="37" t="s">
        <v>721</v>
      </c>
      <c r="J172" s="37" t="s">
        <v>722</v>
      </c>
      <c r="K172" s="16" t="s">
        <v>181</v>
      </c>
      <c r="L172" s="16" t="s">
        <v>181</v>
      </c>
      <c r="M172" s="16" t="s">
        <v>181</v>
      </c>
      <c r="N172" s="16" t="s">
        <v>181</v>
      </c>
      <c r="O172" s="39" t="s">
        <v>181</v>
      </c>
      <c r="P172" s="40" t="s">
        <v>181</v>
      </c>
    </row>
    <row r="173" customFormat="false" ht="15" hidden="false" customHeight="false" outlineLevel="0" collapsed="false">
      <c r="A173" s="0" t="s">
        <v>723</v>
      </c>
      <c r="B173" s="19" t="s">
        <v>724</v>
      </c>
      <c r="C173" s="19" t="str">
        <f aca="false">+VLOOKUP(B173,transacciones!$A$1:$I$39,2,FALSE())</f>
        <v>ATC06</v>
      </c>
      <c r="D173" s="19" t="str">
        <f aca="false">+VLOOKUP(B173,transacciones!$A$1:$I$39,3,FALSE())</f>
        <v>Consumo final</v>
      </c>
      <c r="E173" s="19" t="str">
        <f aca="false">+VLOOKUP($B173,transacciones!$A$1:$I$39,4,FALSE())</f>
        <v>Gasto de consumo colectivo de gobierno</v>
      </c>
      <c r="F173" s="19" t="n">
        <f aca="false">+VLOOKUP(B173,transacciones!$A$2:$I$39,5,FALSE())</f>
        <v>3</v>
      </c>
      <c r="G173" s="19" t="str">
        <f aca="false">+VLOOKUP(B173,transacciones!$A$2:$I$39,6,FALSE())</f>
        <v>P3</v>
      </c>
      <c r="H173" s="37" t="str">
        <f aca="false">+VLOOKUP(B173,transacciones!$A$1:$I$39,7,FALSE())</f>
        <v>Gasto de consumo final</v>
      </c>
      <c r="I173" s="37" t="s">
        <v>317</v>
      </c>
      <c r="J173" s="37" t="s">
        <v>725</v>
      </c>
      <c r="K173" s="16" t="s">
        <v>181</v>
      </c>
      <c r="L173" s="16" t="s">
        <v>181</v>
      </c>
      <c r="M173" s="16" t="s">
        <v>181</v>
      </c>
      <c r="N173" s="16" t="s">
        <v>181</v>
      </c>
      <c r="O173" s="39" t="s">
        <v>181</v>
      </c>
      <c r="P173" s="40" t="s">
        <v>181</v>
      </c>
    </row>
    <row r="174" customFormat="false" ht="15" hidden="false" customHeight="false" outlineLevel="0" collapsed="false">
      <c r="A174" s="50" t="s">
        <v>726</v>
      </c>
      <c r="B174" s="50"/>
      <c r="C174" s="42"/>
      <c r="D174" s="42"/>
      <c r="E174" s="42"/>
      <c r="F174" s="42"/>
      <c r="G174" s="42"/>
      <c r="H174" s="43"/>
      <c r="I174" s="63"/>
      <c r="J174" s="72" t="s">
        <v>685</v>
      </c>
      <c r="K174" s="45"/>
      <c r="L174" s="45"/>
      <c r="M174" s="45"/>
      <c r="N174" s="45"/>
      <c r="O174" s="46"/>
      <c r="P174" s="47"/>
    </row>
    <row r="175" customFormat="false" ht="15" hidden="false" customHeight="false" outlineLevel="0" collapsed="false">
      <c r="A175" s="50" t="s">
        <v>727</v>
      </c>
      <c r="B175" s="50"/>
      <c r="C175" s="42"/>
      <c r="D175" s="42"/>
      <c r="E175" s="42"/>
      <c r="F175" s="42"/>
      <c r="G175" s="42"/>
      <c r="H175" s="43"/>
      <c r="I175" s="63"/>
      <c r="J175" s="44" t="s">
        <v>687</v>
      </c>
      <c r="K175" s="45"/>
      <c r="L175" s="45"/>
      <c r="M175" s="45"/>
      <c r="N175" s="45"/>
      <c r="O175" s="46"/>
      <c r="P175" s="47"/>
    </row>
    <row r="176" customFormat="false" ht="15" hidden="false" customHeight="false" outlineLevel="0" collapsed="false">
      <c r="A176" s="50" t="s">
        <v>728</v>
      </c>
      <c r="B176" s="50"/>
      <c r="C176" s="42"/>
      <c r="D176" s="42"/>
      <c r="E176" s="42"/>
      <c r="F176" s="42"/>
      <c r="G176" s="42"/>
      <c r="H176" s="43"/>
      <c r="I176" s="63"/>
      <c r="J176" s="44" t="s">
        <v>689</v>
      </c>
      <c r="K176" s="45"/>
      <c r="L176" s="45"/>
      <c r="M176" s="45"/>
      <c r="N176" s="45"/>
      <c r="O176" s="46"/>
      <c r="P176" s="47"/>
    </row>
    <row r="177" customFormat="false" ht="15" hidden="false" customHeight="false" outlineLevel="0" collapsed="false">
      <c r="A177" s="50" t="s">
        <v>729</v>
      </c>
      <c r="B177" s="50"/>
      <c r="C177" s="42"/>
      <c r="D177" s="42"/>
      <c r="E177" s="42"/>
      <c r="F177" s="42"/>
      <c r="G177" s="42"/>
      <c r="H177" s="43"/>
      <c r="I177" s="63"/>
      <c r="J177" s="71" t="s">
        <v>333</v>
      </c>
      <c r="K177" s="45"/>
      <c r="L177" s="45"/>
      <c r="M177" s="45"/>
      <c r="N177" s="45"/>
      <c r="O177" s="46"/>
      <c r="P177" s="47"/>
    </row>
    <row r="178" customFormat="false" ht="15" hidden="false" customHeight="false" outlineLevel="0" collapsed="false">
      <c r="A178" s="50" t="s">
        <v>730</v>
      </c>
      <c r="B178" s="50"/>
      <c r="C178" s="42"/>
      <c r="D178" s="42"/>
      <c r="E178" s="42"/>
      <c r="F178" s="42"/>
      <c r="G178" s="42"/>
      <c r="H178" s="43"/>
      <c r="I178" s="63"/>
      <c r="J178" s="71" t="s">
        <v>318</v>
      </c>
      <c r="K178" s="45"/>
      <c r="L178" s="45"/>
      <c r="M178" s="45"/>
      <c r="N178" s="45"/>
      <c r="O178" s="46"/>
      <c r="P178" s="47"/>
    </row>
    <row r="179" customFormat="false" ht="15" hidden="false" customHeight="false" outlineLevel="0" collapsed="false">
      <c r="A179" s="50" t="s">
        <v>731</v>
      </c>
      <c r="B179" s="50"/>
      <c r="C179" s="42"/>
      <c r="D179" s="42"/>
      <c r="E179" s="42"/>
      <c r="F179" s="42"/>
      <c r="G179" s="42"/>
      <c r="H179" s="43"/>
      <c r="I179" s="63"/>
      <c r="J179" s="71" t="s">
        <v>321</v>
      </c>
      <c r="K179" s="45"/>
      <c r="L179" s="45"/>
      <c r="M179" s="45"/>
      <c r="N179" s="45"/>
      <c r="O179" s="46"/>
      <c r="P179" s="47"/>
    </row>
    <row r="180" customFormat="false" ht="15" hidden="false" customHeight="false" outlineLevel="0" collapsed="false">
      <c r="A180" s="50" t="s">
        <v>732</v>
      </c>
      <c r="B180" s="50"/>
      <c r="C180" s="42"/>
      <c r="D180" s="42"/>
      <c r="E180" s="42"/>
      <c r="F180" s="42"/>
      <c r="G180" s="42"/>
      <c r="H180" s="43"/>
      <c r="I180" s="63"/>
      <c r="J180" s="71" t="s">
        <v>327</v>
      </c>
      <c r="K180" s="45"/>
      <c r="L180" s="45"/>
      <c r="M180" s="45"/>
      <c r="N180" s="45"/>
      <c r="O180" s="46"/>
      <c r="P180" s="47"/>
    </row>
    <row r="181" customFormat="false" ht="15" hidden="false" customHeight="false" outlineLevel="0" collapsed="false">
      <c r="A181" s="50" t="s">
        <v>733</v>
      </c>
      <c r="B181" s="50"/>
      <c r="C181" s="42"/>
      <c r="D181" s="42"/>
      <c r="E181" s="42"/>
      <c r="F181" s="42"/>
      <c r="G181" s="42"/>
      <c r="H181" s="42"/>
      <c r="I181" s="63"/>
      <c r="J181" s="71"/>
      <c r="K181" s="45"/>
      <c r="L181" s="45"/>
      <c r="M181" s="45"/>
      <c r="N181" s="45"/>
      <c r="O181" s="46"/>
      <c r="P181" s="47"/>
    </row>
    <row r="182" customFormat="false" ht="15" hidden="false" customHeight="false" outlineLevel="0" collapsed="false">
      <c r="A182" s="50" t="s">
        <v>734</v>
      </c>
      <c r="B182" s="50"/>
      <c r="C182" s="42"/>
      <c r="D182" s="42"/>
      <c r="E182" s="42"/>
      <c r="F182" s="42"/>
      <c r="G182" s="42"/>
      <c r="H182" s="42"/>
      <c r="I182" s="68" t="s">
        <v>735</v>
      </c>
      <c r="J182" s="64" t="s">
        <v>736</v>
      </c>
      <c r="K182" s="45"/>
      <c r="L182" s="45"/>
      <c r="M182" s="45"/>
      <c r="N182" s="45"/>
      <c r="O182" s="46"/>
      <c r="P182" s="47"/>
    </row>
    <row r="183" customFormat="false" ht="15" hidden="false" customHeight="false" outlineLevel="0" collapsed="false">
      <c r="A183" s="0" t="s">
        <v>737</v>
      </c>
      <c r="B183" s="2" t="s">
        <v>738</v>
      </c>
      <c r="C183" s="19" t="str">
        <f aca="false">+VLOOKUP(B183,transacciones!$A$1:$I$39,2,FALSE())</f>
        <v>ATC07</v>
      </c>
      <c r="D183" s="19" t="str">
        <f aca="false">+VLOOKUP(B183,transacciones!$A$1:$I$39,3,FALSE())</f>
        <v>Consumo final</v>
      </c>
      <c r="E183" s="19" t="str">
        <f aca="false">+VLOOKUP($B183,transacciones!$A$1:$I$39,4,FALSE())</f>
        <v>Formación bruta de capital fijo</v>
      </c>
      <c r="F183" s="19" t="n">
        <f aca="false">+VLOOKUP(B183,transacciones!$A$2:$I$39,5,FALSE())</f>
        <v>5</v>
      </c>
      <c r="G183" s="19" t="str">
        <f aca="false">+VLOOKUP(B183,transacciones!$A$2:$I$39,6,FALSE())</f>
        <v>P5</v>
      </c>
      <c r="H183" s="37" t="str">
        <f aca="false">+VLOOKUP(B183,transacciones!$A$1:$I$39,7,FALSE())</f>
        <v>Formación de capital</v>
      </c>
      <c r="I183" s="37" t="s">
        <v>739</v>
      </c>
      <c r="J183" s="37" t="s">
        <v>685</v>
      </c>
      <c r="K183" s="16" t="s">
        <v>181</v>
      </c>
      <c r="L183" s="16" t="s">
        <v>181</v>
      </c>
      <c r="M183" s="16" t="s">
        <v>181</v>
      </c>
      <c r="N183" s="16" t="s">
        <v>181</v>
      </c>
      <c r="O183" s="39" t="s">
        <v>181</v>
      </c>
      <c r="P183" s="40" t="s">
        <v>181</v>
      </c>
    </row>
    <row r="184" customFormat="false" ht="15" hidden="false" customHeight="false" outlineLevel="0" collapsed="false">
      <c r="A184" s="50" t="s">
        <v>740</v>
      </c>
      <c r="B184" s="50"/>
      <c r="C184" s="42"/>
      <c r="D184" s="42"/>
      <c r="E184" s="42"/>
      <c r="F184" s="42"/>
      <c r="G184" s="42"/>
      <c r="H184" s="43"/>
      <c r="I184" s="63"/>
      <c r="J184" s="68" t="s">
        <v>687</v>
      </c>
      <c r="K184" s="45"/>
      <c r="L184" s="45"/>
      <c r="M184" s="45"/>
      <c r="N184" s="45"/>
      <c r="O184" s="46"/>
      <c r="P184" s="47"/>
    </row>
    <row r="185" customFormat="false" ht="15" hidden="false" customHeight="false" outlineLevel="0" collapsed="false">
      <c r="A185" s="50" t="s">
        <v>741</v>
      </c>
      <c r="B185" s="50"/>
      <c r="C185" s="42"/>
      <c r="D185" s="42"/>
      <c r="E185" s="42"/>
      <c r="F185" s="42"/>
      <c r="G185" s="42"/>
      <c r="H185" s="43"/>
      <c r="I185" s="63"/>
      <c r="J185" s="68" t="s">
        <v>689</v>
      </c>
      <c r="K185" s="45"/>
      <c r="L185" s="45"/>
      <c r="M185" s="45"/>
      <c r="N185" s="45"/>
      <c r="O185" s="46"/>
      <c r="P185" s="47"/>
    </row>
    <row r="186" customFormat="false" ht="15" hidden="false" customHeight="false" outlineLevel="0" collapsed="false">
      <c r="A186" s="50" t="s">
        <v>742</v>
      </c>
      <c r="B186" s="50"/>
      <c r="C186" s="42"/>
      <c r="D186" s="42"/>
      <c r="E186" s="42"/>
      <c r="F186" s="42"/>
      <c r="G186" s="42"/>
      <c r="H186" s="43"/>
      <c r="I186" s="63"/>
      <c r="J186" s="68" t="s">
        <v>333</v>
      </c>
      <c r="K186" s="45"/>
      <c r="L186" s="45"/>
      <c r="M186" s="45"/>
      <c r="N186" s="45"/>
      <c r="O186" s="46"/>
      <c r="P186" s="47"/>
    </row>
    <row r="187" customFormat="false" ht="15" hidden="false" customHeight="false" outlineLevel="0" collapsed="false">
      <c r="A187" s="50" t="s">
        <v>743</v>
      </c>
      <c r="B187" s="50"/>
      <c r="C187" s="42"/>
      <c r="D187" s="42"/>
      <c r="E187" s="42"/>
      <c r="F187" s="42"/>
      <c r="G187" s="42"/>
      <c r="H187" s="43"/>
      <c r="I187" s="63"/>
      <c r="J187" s="68" t="s">
        <v>318</v>
      </c>
      <c r="K187" s="45"/>
      <c r="L187" s="45"/>
      <c r="M187" s="45"/>
      <c r="N187" s="45"/>
      <c r="O187" s="46"/>
      <c r="P187" s="47"/>
    </row>
    <row r="188" customFormat="false" ht="15" hidden="false" customHeight="false" outlineLevel="0" collapsed="false">
      <c r="A188" s="50" t="s">
        <v>744</v>
      </c>
      <c r="B188" s="50"/>
      <c r="C188" s="42"/>
      <c r="D188" s="42"/>
      <c r="E188" s="42"/>
      <c r="F188" s="42"/>
      <c r="G188" s="42"/>
      <c r="H188" s="43"/>
      <c r="I188" s="63"/>
      <c r="J188" s="68" t="s">
        <v>321</v>
      </c>
      <c r="K188" s="45"/>
      <c r="L188" s="45"/>
      <c r="M188" s="45"/>
      <c r="N188" s="45"/>
      <c r="O188" s="46"/>
      <c r="P188" s="47"/>
    </row>
    <row r="189" customFormat="false" ht="15" hidden="false" customHeight="false" outlineLevel="0" collapsed="false">
      <c r="A189" s="50" t="s">
        <v>745</v>
      </c>
      <c r="B189" s="50"/>
      <c r="C189" s="42"/>
      <c r="D189" s="42"/>
      <c r="E189" s="42"/>
      <c r="F189" s="42"/>
      <c r="G189" s="42"/>
      <c r="H189" s="43"/>
      <c r="I189" s="63"/>
      <c r="J189" s="68" t="s">
        <v>327</v>
      </c>
      <c r="K189" s="45"/>
      <c r="L189" s="45"/>
      <c r="M189" s="45"/>
      <c r="N189" s="45"/>
      <c r="O189" s="46"/>
      <c r="P189" s="47"/>
    </row>
    <row r="190" customFormat="false" ht="15" hidden="false" customHeight="false" outlineLevel="0" collapsed="false">
      <c r="A190" s="50" t="s">
        <v>746</v>
      </c>
      <c r="B190" s="50"/>
      <c r="C190" s="42"/>
      <c r="D190" s="42"/>
      <c r="E190" s="42"/>
      <c r="F190" s="42"/>
      <c r="G190" s="42"/>
      <c r="H190" s="43"/>
      <c r="I190" s="63"/>
      <c r="J190" s="71"/>
      <c r="K190" s="45"/>
      <c r="L190" s="45"/>
      <c r="M190" s="45"/>
      <c r="N190" s="45"/>
      <c r="O190" s="46"/>
      <c r="P190" s="47"/>
    </row>
    <row r="191" customFormat="false" ht="15" hidden="false" customHeight="false" outlineLevel="0" collapsed="false">
      <c r="A191" s="0" t="s">
        <v>747</v>
      </c>
      <c r="B191" s="2" t="s">
        <v>748</v>
      </c>
      <c r="C191" s="19" t="str">
        <f aca="false">+VLOOKUP(B191,transacciones!$A$1:$I$39,2,FALSE())</f>
        <v>ATC07</v>
      </c>
      <c r="D191" s="19" t="str">
        <f aca="false">+VLOOKUP(B191,transacciones!$A$1:$I$39,3,FALSE())</f>
        <v>Consumo final</v>
      </c>
      <c r="E191" s="19" t="str">
        <f aca="false">+VLOOKUP($B191,transacciones!$A$1:$I$39,4,FALSE())</f>
        <v>Variación de existencias</v>
      </c>
      <c r="F191" s="19" t="n">
        <f aca="false">+VLOOKUP(B191,transacciones!$A$2:$I$39,5,FALSE())</f>
        <v>5</v>
      </c>
      <c r="G191" s="19" t="str">
        <f aca="false">+VLOOKUP(B191,transacciones!$A$2:$I$39,6,FALSE())</f>
        <v>P5</v>
      </c>
      <c r="H191" s="37" t="str">
        <f aca="false">+VLOOKUP(B191,transacciones!$A$1:$I$39,7,FALSE())</f>
        <v>Formación de capital</v>
      </c>
      <c r="I191" s="37" t="s">
        <v>749</v>
      </c>
      <c r="J191" s="37" t="s">
        <v>685</v>
      </c>
      <c r="K191" s="16" t="s">
        <v>181</v>
      </c>
      <c r="L191" s="16" t="s">
        <v>181</v>
      </c>
      <c r="M191" s="16" t="s">
        <v>181</v>
      </c>
      <c r="N191" s="16" t="s">
        <v>181</v>
      </c>
      <c r="O191" s="39" t="s">
        <v>181</v>
      </c>
      <c r="P191" s="40" t="s">
        <v>181</v>
      </c>
    </row>
    <row r="192" customFormat="false" ht="15" hidden="false" customHeight="false" outlineLevel="0" collapsed="false">
      <c r="A192" s="50" t="s">
        <v>750</v>
      </c>
      <c r="B192" s="50"/>
      <c r="C192" s="42"/>
      <c r="D192" s="42"/>
      <c r="E192" s="42"/>
      <c r="F192" s="42"/>
      <c r="G192" s="42"/>
      <c r="H192" s="43"/>
      <c r="I192" s="63"/>
      <c r="J192" s="68" t="s">
        <v>687</v>
      </c>
      <c r="K192" s="45"/>
      <c r="L192" s="45"/>
      <c r="M192" s="45"/>
      <c r="N192" s="45"/>
      <c r="O192" s="46"/>
      <c r="P192" s="47"/>
    </row>
    <row r="193" customFormat="false" ht="15" hidden="false" customHeight="false" outlineLevel="0" collapsed="false">
      <c r="A193" s="50" t="s">
        <v>751</v>
      </c>
      <c r="B193" s="50"/>
      <c r="C193" s="42"/>
      <c r="D193" s="42"/>
      <c r="E193" s="42"/>
      <c r="F193" s="42"/>
      <c r="G193" s="42"/>
      <c r="H193" s="43"/>
      <c r="I193" s="63"/>
      <c r="J193" s="68" t="s">
        <v>689</v>
      </c>
      <c r="K193" s="45"/>
      <c r="L193" s="45"/>
      <c r="M193" s="45"/>
      <c r="N193" s="45"/>
      <c r="O193" s="46"/>
      <c r="P193" s="47"/>
    </row>
    <row r="194" customFormat="false" ht="15" hidden="false" customHeight="false" outlineLevel="0" collapsed="false">
      <c r="A194" s="50" t="s">
        <v>752</v>
      </c>
      <c r="B194" s="50"/>
      <c r="C194" s="42"/>
      <c r="D194" s="42"/>
      <c r="E194" s="42"/>
      <c r="F194" s="42"/>
      <c r="G194" s="42"/>
      <c r="H194" s="43"/>
      <c r="I194" s="63"/>
      <c r="J194" s="68" t="s">
        <v>333</v>
      </c>
      <c r="K194" s="45"/>
      <c r="L194" s="45"/>
      <c r="M194" s="45"/>
      <c r="N194" s="45"/>
      <c r="O194" s="46"/>
      <c r="P194" s="47"/>
    </row>
    <row r="195" customFormat="false" ht="15" hidden="false" customHeight="false" outlineLevel="0" collapsed="false">
      <c r="A195" s="50" t="s">
        <v>753</v>
      </c>
      <c r="B195" s="50"/>
      <c r="C195" s="42"/>
      <c r="D195" s="42"/>
      <c r="E195" s="42"/>
      <c r="F195" s="42"/>
      <c r="G195" s="42"/>
      <c r="H195" s="43"/>
      <c r="I195" s="63"/>
      <c r="J195" s="68" t="s">
        <v>318</v>
      </c>
      <c r="K195" s="45"/>
      <c r="L195" s="45"/>
      <c r="M195" s="45"/>
      <c r="N195" s="45"/>
      <c r="O195" s="46"/>
      <c r="P195" s="47"/>
    </row>
    <row r="196" customFormat="false" ht="15" hidden="false" customHeight="false" outlineLevel="0" collapsed="false">
      <c r="A196" s="50" t="s">
        <v>754</v>
      </c>
      <c r="B196" s="50"/>
      <c r="C196" s="42"/>
      <c r="D196" s="42"/>
      <c r="E196" s="42"/>
      <c r="F196" s="42"/>
      <c r="G196" s="42"/>
      <c r="H196" s="43"/>
      <c r="I196" s="63"/>
      <c r="J196" s="68" t="s">
        <v>321</v>
      </c>
      <c r="K196" s="45"/>
      <c r="L196" s="45"/>
      <c r="M196" s="45"/>
      <c r="N196" s="45"/>
      <c r="O196" s="46"/>
      <c r="P196" s="47"/>
    </row>
    <row r="197" customFormat="false" ht="15" hidden="false" customHeight="false" outlineLevel="0" collapsed="false">
      <c r="A197" s="50" t="s">
        <v>755</v>
      </c>
      <c r="B197" s="50"/>
      <c r="C197" s="42"/>
      <c r="D197" s="42"/>
      <c r="E197" s="42"/>
      <c r="F197" s="42"/>
      <c r="G197" s="42"/>
      <c r="H197" s="43"/>
      <c r="I197" s="63"/>
      <c r="J197" s="68" t="s">
        <v>327</v>
      </c>
      <c r="K197" s="45"/>
      <c r="L197" s="45"/>
      <c r="M197" s="45"/>
      <c r="N197" s="45"/>
      <c r="O197" s="46"/>
      <c r="P197" s="47"/>
    </row>
    <row r="198" customFormat="false" ht="15" hidden="false" customHeight="false" outlineLevel="0" collapsed="false">
      <c r="A198" s="50" t="s">
        <v>756</v>
      </c>
      <c r="B198" s="50"/>
      <c r="C198" s="42"/>
      <c r="D198" s="42"/>
      <c r="E198" s="42"/>
      <c r="F198" s="42"/>
      <c r="G198" s="42"/>
      <c r="H198" s="43"/>
      <c r="I198" s="63"/>
      <c r="J198" s="71"/>
      <c r="K198" s="45"/>
      <c r="L198" s="45"/>
      <c r="M198" s="45"/>
      <c r="N198" s="45"/>
      <c r="O198" s="46"/>
      <c r="P198" s="47"/>
    </row>
    <row r="199" customFormat="false" ht="15" hidden="false" customHeight="false" outlineLevel="0" collapsed="false">
      <c r="A199" s="0" t="s">
        <v>757</v>
      </c>
      <c r="B199" s="2" t="s">
        <v>758</v>
      </c>
      <c r="C199" s="19" t="str">
        <f aca="false">+VLOOKUP(B199,transacciones!$A$1:$I$39,2,FALSE())</f>
        <v>ATC07</v>
      </c>
      <c r="D199" s="19" t="str">
        <f aca="false">+VLOOKUP(B199,transacciones!$A$1:$I$39,3,FALSE())</f>
        <v>Consumo final</v>
      </c>
      <c r="E199" s="19" t="str">
        <f aca="false">+VLOOKUP($B199,transacciones!$A$1:$I$39,4,FALSE())</f>
        <v>Adquisiciones menos disposiciones de objetos valiosos</v>
      </c>
      <c r="F199" s="19" t="n">
        <f aca="false">+VLOOKUP(B199,transacciones!$A$2:$I$39,5,FALSE())</f>
        <v>5</v>
      </c>
      <c r="G199" s="19" t="str">
        <f aca="false">+VLOOKUP(B199,transacciones!$A$2:$I$39,6,FALSE())</f>
        <v>P5</v>
      </c>
      <c r="H199" s="37" t="str">
        <f aca="false">+VLOOKUP(B199,transacciones!$A$1:$I$39,7,FALSE())</f>
        <v>Formación de capital</v>
      </c>
      <c r="I199" s="37" t="s">
        <v>759</v>
      </c>
      <c r="J199" s="37" t="s">
        <v>685</v>
      </c>
      <c r="K199" s="16" t="s">
        <v>181</v>
      </c>
      <c r="L199" s="16" t="s">
        <v>181</v>
      </c>
      <c r="M199" s="16" t="s">
        <v>181</v>
      </c>
      <c r="N199" s="16" t="s">
        <v>181</v>
      </c>
      <c r="O199" s="39" t="s">
        <v>181</v>
      </c>
      <c r="P199" s="40" t="s">
        <v>181</v>
      </c>
    </row>
    <row r="200" customFormat="false" ht="15" hidden="false" customHeight="false" outlineLevel="0" collapsed="false">
      <c r="A200" s="50" t="s">
        <v>760</v>
      </c>
      <c r="B200" s="50"/>
      <c r="C200" s="42"/>
      <c r="D200" s="42"/>
      <c r="E200" s="42"/>
      <c r="F200" s="42"/>
      <c r="G200" s="42"/>
      <c r="H200" s="43"/>
      <c r="I200" s="63"/>
      <c r="J200" s="68" t="s">
        <v>687</v>
      </c>
      <c r="K200" s="45"/>
      <c r="L200" s="45"/>
      <c r="M200" s="45"/>
      <c r="N200" s="45"/>
      <c r="O200" s="46"/>
      <c r="P200" s="47"/>
    </row>
    <row r="201" customFormat="false" ht="15" hidden="false" customHeight="false" outlineLevel="0" collapsed="false">
      <c r="A201" s="50" t="s">
        <v>761</v>
      </c>
      <c r="B201" s="50"/>
      <c r="C201" s="42"/>
      <c r="D201" s="42"/>
      <c r="E201" s="42"/>
      <c r="F201" s="42"/>
      <c r="G201" s="42"/>
      <c r="H201" s="43"/>
      <c r="I201" s="63"/>
      <c r="J201" s="68" t="s">
        <v>689</v>
      </c>
      <c r="K201" s="45"/>
      <c r="L201" s="45"/>
      <c r="M201" s="45"/>
      <c r="N201" s="45"/>
      <c r="O201" s="46"/>
      <c r="P201" s="47"/>
    </row>
    <row r="202" customFormat="false" ht="15" hidden="false" customHeight="false" outlineLevel="0" collapsed="false">
      <c r="A202" s="50" t="s">
        <v>762</v>
      </c>
      <c r="B202" s="50"/>
      <c r="C202" s="42"/>
      <c r="D202" s="42"/>
      <c r="E202" s="42"/>
      <c r="F202" s="42"/>
      <c r="G202" s="42"/>
      <c r="H202" s="43"/>
      <c r="I202" s="63"/>
      <c r="J202" s="68" t="s">
        <v>333</v>
      </c>
      <c r="K202" s="45"/>
      <c r="L202" s="45"/>
      <c r="M202" s="45"/>
      <c r="N202" s="45"/>
      <c r="O202" s="46"/>
      <c r="P202" s="47"/>
    </row>
    <row r="203" customFormat="false" ht="15" hidden="false" customHeight="false" outlineLevel="0" collapsed="false">
      <c r="A203" s="50" t="s">
        <v>763</v>
      </c>
      <c r="B203" s="50"/>
      <c r="C203" s="42"/>
      <c r="D203" s="42"/>
      <c r="E203" s="42"/>
      <c r="F203" s="42"/>
      <c r="G203" s="42"/>
      <c r="H203" s="43"/>
      <c r="I203" s="63"/>
      <c r="J203" s="68" t="s">
        <v>318</v>
      </c>
      <c r="K203" s="45"/>
      <c r="L203" s="45"/>
      <c r="M203" s="45"/>
      <c r="N203" s="45"/>
      <c r="O203" s="46"/>
      <c r="P203" s="47"/>
    </row>
    <row r="204" customFormat="false" ht="15" hidden="false" customHeight="false" outlineLevel="0" collapsed="false">
      <c r="A204" s="50" t="s">
        <v>764</v>
      </c>
      <c r="B204" s="50"/>
      <c r="C204" s="42"/>
      <c r="D204" s="42"/>
      <c r="E204" s="42"/>
      <c r="F204" s="42"/>
      <c r="G204" s="42"/>
      <c r="H204" s="43"/>
      <c r="I204" s="63"/>
      <c r="J204" s="68" t="s">
        <v>321</v>
      </c>
      <c r="K204" s="45"/>
      <c r="L204" s="45"/>
      <c r="M204" s="45"/>
      <c r="N204" s="45"/>
      <c r="O204" s="46"/>
      <c r="P204" s="47"/>
    </row>
    <row r="205" customFormat="false" ht="15" hidden="false" customHeight="false" outlineLevel="0" collapsed="false">
      <c r="A205" s="50" t="s">
        <v>765</v>
      </c>
      <c r="B205" s="50"/>
      <c r="C205" s="42"/>
      <c r="D205" s="42"/>
      <c r="E205" s="42"/>
      <c r="F205" s="42"/>
      <c r="G205" s="42"/>
      <c r="H205" s="43"/>
      <c r="I205" s="63"/>
      <c r="J205" s="68" t="s">
        <v>327</v>
      </c>
      <c r="K205" s="45"/>
      <c r="L205" s="45"/>
      <c r="M205" s="45"/>
      <c r="N205" s="45"/>
      <c r="O205" s="46"/>
      <c r="P205" s="47"/>
    </row>
    <row r="206" customFormat="false" ht="15" hidden="false" customHeight="false" outlineLevel="0" collapsed="false">
      <c r="A206" s="50" t="s">
        <v>766</v>
      </c>
      <c r="B206" s="50"/>
      <c r="C206" s="42"/>
      <c r="D206" s="42"/>
      <c r="E206" s="42"/>
      <c r="F206" s="42"/>
      <c r="G206" s="42"/>
      <c r="H206" s="43"/>
      <c r="I206" s="63"/>
      <c r="J206" s="71"/>
      <c r="K206" s="45"/>
      <c r="L206" s="45"/>
      <c r="M206" s="45"/>
      <c r="N206" s="45"/>
      <c r="O206" s="46"/>
      <c r="P206" s="47"/>
    </row>
    <row r="207" customFormat="false" ht="15" hidden="false" customHeight="false" outlineLevel="0" collapsed="false">
      <c r="A207" s="0" t="s">
        <v>767</v>
      </c>
      <c r="B207" s="2" t="s">
        <v>768</v>
      </c>
      <c r="C207" s="19" t="str">
        <f aca="false">+VLOOKUP(B207,transacciones!$A$1:$I$39,2,FALSE())</f>
        <v>ATC02</v>
      </c>
      <c r="D207" s="19" t="str">
        <f aca="false">+VLOOKUP(B207,transacciones!$A$1:$I$39,3,FALSE())</f>
        <v>Exportaciones / Importaciones</v>
      </c>
      <c r="E207" s="19" t="str">
        <f aca="false">+VLOOKUP($B207,transacciones!$A$1:$I$39,4,FALSE())</f>
        <v>Exportaciones de bienes</v>
      </c>
      <c r="F207" s="19" t="n">
        <f aca="false">+VLOOKUP(B207,transacciones!$A$2:$I$39,5,FALSE())</f>
        <v>6</v>
      </c>
      <c r="G207" s="19" t="str">
        <f aca="false">+VLOOKUP(B207,transacciones!$A$2:$I$39,6,FALSE())</f>
        <v>P6</v>
      </c>
      <c r="H207" s="37" t="str">
        <f aca="false">+VLOOKUP(B207,transacciones!$A$1:$I$39,7,FALSE())</f>
        <v>Exportaciones de bienes y servicios</v>
      </c>
      <c r="I207" s="19" t="s">
        <v>769</v>
      </c>
      <c r="J207" s="19" t="s">
        <v>548</v>
      </c>
      <c r="K207" s="16" t="s">
        <v>181</v>
      </c>
      <c r="L207" s="16" t="s">
        <v>181</v>
      </c>
      <c r="M207" s="16" t="s">
        <v>181</v>
      </c>
      <c r="N207" s="16" t="s">
        <v>181</v>
      </c>
      <c r="O207" s="39" t="s">
        <v>181</v>
      </c>
      <c r="P207" s="40" t="s">
        <v>181</v>
      </c>
    </row>
    <row r="208" customFormat="false" ht="15" hidden="false" customHeight="false" outlineLevel="0" collapsed="false">
      <c r="A208" s="0" t="s">
        <v>770</v>
      </c>
      <c r="B208" s="2" t="s">
        <v>771</v>
      </c>
      <c r="C208" s="19" t="str">
        <f aca="false">+VLOOKUP(B208,transacciones!$A$1:$I$39,2,FALSE())</f>
        <v>ATC02</v>
      </c>
      <c r="D208" s="19" t="str">
        <f aca="false">+VLOOKUP(B208,transacciones!$A$1:$I$39,3,FALSE())</f>
        <v>Exportaciones / Importaciones</v>
      </c>
      <c r="E208" s="19" t="str">
        <f aca="false">+VLOOKUP($B208,transacciones!$A$1:$I$39,4,FALSE())</f>
        <v>Exportaciones de servicios</v>
      </c>
      <c r="F208" s="19" t="n">
        <f aca="false">+VLOOKUP(B208,transacciones!$A$2:$I$39,5,FALSE())</f>
        <v>6</v>
      </c>
      <c r="G208" s="19" t="str">
        <f aca="false">+VLOOKUP(B208,transacciones!$A$2:$I$39,6,FALSE())</f>
        <v>P6</v>
      </c>
      <c r="H208" s="37" t="str">
        <f aca="false">+VLOOKUP(B208,transacciones!$A$1:$I$39,7,FALSE())</f>
        <v>Exportaciones de bienes y servicios</v>
      </c>
      <c r="I208" s="37" t="s">
        <v>317</v>
      </c>
      <c r="J208" s="19" t="s">
        <v>551</v>
      </c>
      <c r="K208" s="16" t="s">
        <v>181</v>
      </c>
      <c r="L208" s="16" t="s">
        <v>181</v>
      </c>
      <c r="M208" s="16" t="s">
        <v>181</v>
      </c>
      <c r="N208" s="16" t="s">
        <v>181</v>
      </c>
      <c r="O208" s="39" t="s">
        <v>181</v>
      </c>
      <c r="P208" s="40" t="s">
        <v>181</v>
      </c>
    </row>
    <row r="209" customFormat="false" ht="15" hidden="false" customHeight="false" outlineLevel="0" collapsed="false">
      <c r="A209" s="50" t="s">
        <v>772</v>
      </c>
      <c r="B209" s="50"/>
      <c r="C209" s="42"/>
      <c r="D209" s="42"/>
      <c r="E209" s="42"/>
      <c r="F209" s="42"/>
      <c r="G209" s="42"/>
      <c r="H209" s="43"/>
      <c r="I209" s="64" t="s">
        <v>535</v>
      </c>
      <c r="J209" s="68" t="s">
        <v>685</v>
      </c>
      <c r="K209" s="45"/>
      <c r="L209" s="45"/>
      <c r="M209" s="45"/>
      <c r="N209" s="45"/>
      <c r="O209" s="46"/>
      <c r="P209" s="47"/>
    </row>
    <row r="210" customFormat="false" ht="15" hidden="false" customHeight="false" outlineLevel="0" collapsed="false">
      <c r="A210" s="50" t="s">
        <v>773</v>
      </c>
      <c r="B210" s="50"/>
      <c r="C210" s="42"/>
      <c r="D210" s="42"/>
      <c r="E210" s="42"/>
      <c r="F210" s="42"/>
      <c r="G210" s="42"/>
      <c r="H210" s="43"/>
      <c r="I210" s="63"/>
      <c r="J210" s="68" t="s">
        <v>687</v>
      </c>
      <c r="K210" s="45"/>
      <c r="L210" s="45"/>
      <c r="M210" s="45"/>
      <c r="N210" s="45"/>
      <c r="O210" s="46"/>
      <c r="P210" s="47"/>
    </row>
    <row r="211" customFormat="false" ht="15" hidden="false" customHeight="false" outlineLevel="0" collapsed="false">
      <c r="A211" s="50" t="s">
        <v>774</v>
      </c>
      <c r="B211" s="50"/>
      <c r="C211" s="42"/>
      <c r="D211" s="42"/>
      <c r="E211" s="42"/>
      <c r="F211" s="42"/>
      <c r="G211" s="42"/>
      <c r="H211" s="43"/>
      <c r="I211" s="63"/>
      <c r="J211" s="68" t="s">
        <v>689</v>
      </c>
      <c r="K211" s="45"/>
      <c r="L211" s="45"/>
      <c r="M211" s="45"/>
      <c r="N211" s="45"/>
      <c r="O211" s="46"/>
      <c r="P211" s="47"/>
    </row>
    <row r="212" customFormat="false" ht="15" hidden="false" customHeight="false" outlineLevel="0" collapsed="false">
      <c r="A212" s="50" t="s">
        <v>775</v>
      </c>
      <c r="B212" s="50"/>
      <c r="C212" s="42"/>
      <c r="D212" s="42"/>
      <c r="E212" s="42"/>
      <c r="F212" s="42"/>
      <c r="G212" s="42"/>
      <c r="H212" s="43"/>
      <c r="I212" s="63"/>
      <c r="J212" s="68" t="s">
        <v>333</v>
      </c>
      <c r="K212" s="45"/>
      <c r="L212" s="45"/>
      <c r="M212" s="45"/>
      <c r="N212" s="45"/>
      <c r="O212" s="46"/>
      <c r="P212" s="47"/>
    </row>
    <row r="213" customFormat="false" ht="15" hidden="false" customHeight="false" outlineLevel="0" collapsed="false">
      <c r="A213" s="50" t="s">
        <v>776</v>
      </c>
      <c r="B213" s="50"/>
      <c r="C213" s="42"/>
      <c r="D213" s="42"/>
      <c r="E213" s="42"/>
      <c r="F213" s="42"/>
      <c r="G213" s="42"/>
      <c r="H213" s="43"/>
      <c r="I213" s="63"/>
      <c r="J213" s="68" t="s">
        <v>318</v>
      </c>
      <c r="K213" s="45"/>
      <c r="L213" s="45"/>
      <c r="M213" s="45"/>
      <c r="N213" s="45"/>
      <c r="O213" s="46"/>
      <c r="P213" s="47"/>
    </row>
    <row r="214" customFormat="false" ht="15" hidden="false" customHeight="false" outlineLevel="0" collapsed="false">
      <c r="A214" s="50" t="s">
        <v>777</v>
      </c>
      <c r="B214" s="50"/>
      <c r="C214" s="42"/>
      <c r="D214" s="42"/>
      <c r="E214" s="42"/>
      <c r="F214" s="42"/>
      <c r="G214" s="42"/>
      <c r="H214" s="43"/>
      <c r="I214" s="63"/>
      <c r="J214" s="68" t="s">
        <v>321</v>
      </c>
      <c r="K214" s="45"/>
      <c r="L214" s="45"/>
      <c r="M214" s="45"/>
      <c r="N214" s="45"/>
      <c r="O214" s="46"/>
      <c r="P214" s="47"/>
    </row>
    <row r="215" customFormat="false" ht="15" hidden="false" customHeight="false" outlineLevel="0" collapsed="false">
      <c r="A215" s="73" t="s">
        <v>778</v>
      </c>
      <c r="B215" s="74"/>
      <c r="C215" s="75"/>
      <c r="D215" s="75"/>
      <c r="E215" s="75"/>
      <c r="F215" s="75"/>
      <c r="G215" s="75"/>
      <c r="H215" s="76"/>
      <c r="I215" s="77"/>
      <c r="J215" s="78" t="s">
        <v>327</v>
      </c>
      <c r="K215" s="79"/>
      <c r="L215" s="79"/>
      <c r="M215" s="79"/>
      <c r="N215" s="79"/>
      <c r="O215" s="80"/>
      <c r="P215" s="81"/>
    </row>
    <row r="216" customFormat="false" ht="15" hidden="false" customHeight="false" outlineLevel="0" collapsed="false">
      <c r="A216" s="50" t="s">
        <v>779</v>
      </c>
      <c r="B216" s="50"/>
      <c r="C216" s="42"/>
      <c r="D216" s="42"/>
      <c r="E216" s="42"/>
      <c r="F216" s="42"/>
      <c r="G216" s="42"/>
      <c r="H216" s="43"/>
      <c r="I216" s="68" t="s">
        <v>314</v>
      </c>
      <c r="J216" s="71"/>
      <c r="K216" s="50"/>
      <c r="L216" s="50"/>
      <c r="M216" s="50"/>
      <c r="N216" s="50"/>
      <c r="O216" s="51"/>
      <c r="P216" s="52"/>
    </row>
    <row r="217" customFormat="false" ht="15" hidden="false" customHeight="true" outlineLevel="0" collapsed="false">
      <c r="A217" s="50" t="s">
        <v>780</v>
      </c>
      <c r="B217" s="50"/>
      <c r="C217" s="50"/>
      <c r="D217" s="50"/>
      <c r="E217" s="50"/>
      <c r="F217" s="51"/>
      <c r="G217" s="51"/>
      <c r="H217" s="50"/>
      <c r="I217" s="50" t="s">
        <v>554</v>
      </c>
      <c r="J217" s="71"/>
      <c r="K217" s="50"/>
      <c r="L217" s="50"/>
      <c r="M217" s="50"/>
      <c r="N217" s="50"/>
      <c r="O217" s="51"/>
      <c r="P217" s="52"/>
    </row>
    <row r="218" customFormat="false" ht="15" hidden="false" customHeight="true" outlineLevel="0" collapsed="false">
      <c r="A218" s="50" t="s">
        <v>781</v>
      </c>
      <c r="B218" s="50"/>
      <c r="C218" s="50"/>
      <c r="D218" s="50"/>
      <c r="E218" s="50"/>
      <c r="F218" s="51"/>
      <c r="G218" s="51"/>
      <c r="H218" s="50"/>
      <c r="I218" s="50" t="s">
        <v>333</v>
      </c>
      <c r="J218" s="71"/>
      <c r="K218" s="50"/>
      <c r="L218" s="50"/>
      <c r="M218" s="50"/>
      <c r="N218" s="50"/>
      <c r="O218" s="51"/>
      <c r="P218" s="52"/>
    </row>
    <row r="219" customFormat="false" ht="15" hidden="false" customHeight="true" outlineLevel="0" collapsed="false">
      <c r="A219" s="0" t="s">
        <v>782</v>
      </c>
      <c r="B219" s="2" t="s">
        <v>337</v>
      </c>
      <c r="C219" s="19" t="str">
        <f aca="false">+VLOOKUP(B219,transacciones!$A$1:$I$39,2,FALSE())</f>
        <v>ATC01</v>
      </c>
      <c r="D219" s="19" t="str">
        <f aca="false">+VLOOKUP(B219,transacciones!$A$1:$I$39,3,FALSE())</f>
        <v>Producción / Consumo intermedio</v>
      </c>
      <c r="E219" s="19" t="str">
        <f aca="false">+VLOOKUP($B219,transacciones!$A$1:$I$39,4,FALSE())</f>
        <v>Producción</v>
      </c>
      <c r="F219" s="19" t="n">
        <f aca="false">+VLOOKUP(B219,transacciones!$A$2:$I$39,5,FALSE())</f>
        <v>1</v>
      </c>
      <c r="G219" s="19" t="str">
        <f aca="false">+VLOOKUP(B219,transacciones!$A$2:$I$39,6,FALSE())</f>
        <v>P1</v>
      </c>
      <c r="H219" s="37" t="str">
        <f aca="false">+VLOOKUP(B219,transacciones!$A$1:$I$39,7,FALSE())</f>
        <v>Producción</v>
      </c>
      <c r="I219" s="2" t="s">
        <v>559</v>
      </c>
      <c r="J219" s="25" t="s">
        <v>783</v>
      </c>
      <c r="K219" s="37" t="s">
        <v>340</v>
      </c>
      <c r="L219" s="37" t="str">
        <f aca="false">+VLOOKUP(K219,'Correl CIIU'!$A$1:$F$26,2,FALSE())</f>
        <v>Agricultura, ganadería, silvicultura y pesca</v>
      </c>
      <c r="M219" s="37" t="str">
        <f aca="false">+VLOOKUP(K219,'Correl CIIU'!$A$1:$F$26,3,FALSE())</f>
        <v>Agricultura</v>
      </c>
      <c r="N219" s="37" t="str">
        <f aca="false">+VLOOKUP(K219,'Correl CIIU'!$A$1:$F$26,4,FALSE())</f>
        <v>Agriculture, forestry and fishing</v>
      </c>
      <c r="O219" s="37" t="n">
        <v>1</v>
      </c>
      <c r="P219" s="49" t="str">
        <f aca="false">+VLOOKUP(O219,bio!$A$2:$B$4,2,FALSE())</f>
        <v>Bioeconomía</v>
      </c>
    </row>
    <row r="220" customFormat="false" ht="15" hidden="false" customHeight="true" outlineLevel="0" collapsed="false">
      <c r="A220" s="0" t="s">
        <v>784</v>
      </c>
      <c r="B220" s="2" t="s">
        <v>337</v>
      </c>
      <c r="C220" s="19" t="str">
        <f aca="false">+VLOOKUP(B220,transacciones!$A$1:$I$39,2,FALSE())</f>
        <v>ATC01</v>
      </c>
      <c r="D220" s="19" t="str">
        <f aca="false">+VLOOKUP(B220,transacciones!$A$1:$I$39,3,FALSE())</f>
        <v>Producción / Consumo intermedio</v>
      </c>
      <c r="E220" s="19" t="str">
        <f aca="false">+VLOOKUP($B220,transacciones!$A$1:$I$39,4,FALSE())</f>
        <v>Producción</v>
      </c>
      <c r="F220" s="19" t="n">
        <f aca="false">+VLOOKUP(B220,transacciones!$A$2:$I$39,5,FALSE())</f>
        <v>1</v>
      </c>
      <c r="G220" s="19" t="str">
        <f aca="false">+VLOOKUP(B220,transacciones!$A$2:$I$39,6,FALSE())</f>
        <v>P1</v>
      </c>
      <c r="H220" s="37" t="str">
        <f aca="false">+VLOOKUP(B220,transacciones!$A$1:$I$39,7,FALSE())</f>
        <v>Producción</v>
      </c>
      <c r="I220" s="2" t="s">
        <v>559</v>
      </c>
      <c r="J220" s="25" t="s">
        <v>785</v>
      </c>
      <c r="K220" s="37" t="s">
        <v>340</v>
      </c>
      <c r="L220" s="37" t="str">
        <f aca="false">+VLOOKUP(K220,'Correl CIIU'!$A$1:$F$26,2,FALSE())</f>
        <v>Agricultura, ganadería, silvicultura y pesca</v>
      </c>
      <c r="M220" s="37" t="str">
        <f aca="false">+VLOOKUP(K220,'Correl CIIU'!$A$1:$F$26,3,FALSE())</f>
        <v>Agricultura</v>
      </c>
      <c r="N220" s="37" t="str">
        <f aca="false">+VLOOKUP(K220,'Correl CIIU'!$A$1:$F$26,4,FALSE())</f>
        <v>Agriculture, forestry and fishing</v>
      </c>
      <c r="O220" s="37" t="n">
        <v>1</v>
      </c>
      <c r="P220" s="49" t="str">
        <f aca="false">+VLOOKUP(O220,bio!$A$2:$B$4,2,FALSE())</f>
        <v>Bioeconomía</v>
      </c>
    </row>
    <row r="221" customFormat="false" ht="15" hidden="false" customHeight="true" outlineLevel="0" collapsed="false">
      <c r="A221" s="0" t="s">
        <v>786</v>
      </c>
      <c r="B221" s="2" t="s">
        <v>337</v>
      </c>
      <c r="C221" s="19" t="str">
        <f aca="false">+VLOOKUP(B221,transacciones!$A$1:$I$39,2,FALSE())</f>
        <v>ATC01</v>
      </c>
      <c r="D221" s="19" t="str">
        <f aca="false">+VLOOKUP(B221,transacciones!$A$1:$I$39,3,FALSE())</f>
        <v>Producción / Consumo intermedio</v>
      </c>
      <c r="E221" s="19" t="str">
        <f aca="false">+VLOOKUP($B221,transacciones!$A$1:$I$39,4,FALSE())</f>
        <v>Producción</v>
      </c>
      <c r="F221" s="19" t="n">
        <f aca="false">+VLOOKUP(B221,transacciones!$A$2:$I$39,5,FALSE())</f>
        <v>1</v>
      </c>
      <c r="G221" s="19" t="str">
        <f aca="false">+VLOOKUP(B221,transacciones!$A$2:$I$39,6,FALSE())</f>
        <v>P1</v>
      </c>
      <c r="H221" s="37" t="str">
        <f aca="false">+VLOOKUP(B221,transacciones!$A$1:$I$39,7,FALSE())</f>
        <v>Producción</v>
      </c>
      <c r="I221" s="2" t="s">
        <v>559</v>
      </c>
      <c r="J221" s="25" t="s">
        <v>787</v>
      </c>
      <c r="K221" s="37" t="s">
        <v>340</v>
      </c>
      <c r="L221" s="37" t="str">
        <f aca="false">+VLOOKUP(K221,'Correl CIIU'!$A$1:$F$26,2,FALSE())</f>
        <v>Agricultura, ganadería, silvicultura y pesca</v>
      </c>
      <c r="M221" s="37" t="str">
        <f aca="false">+VLOOKUP(K221,'Correl CIIU'!$A$1:$F$26,3,FALSE())</f>
        <v>Agricultura</v>
      </c>
      <c r="N221" s="37" t="str">
        <f aca="false">+VLOOKUP(K221,'Correl CIIU'!$A$1:$F$26,4,FALSE())</f>
        <v>Agriculture, forestry and fishing</v>
      </c>
      <c r="O221" s="37" t="n">
        <v>1</v>
      </c>
      <c r="P221" s="49" t="str">
        <f aca="false">+VLOOKUP(O221,bio!$A$2:$B$4,2,FALSE())</f>
        <v>Bioeconomía</v>
      </c>
    </row>
    <row r="222" customFormat="false" ht="15" hidden="false" customHeight="true" outlineLevel="0" collapsed="false">
      <c r="A222" s="0" t="s">
        <v>788</v>
      </c>
      <c r="B222" s="2" t="s">
        <v>337</v>
      </c>
      <c r="C222" s="19" t="str">
        <f aca="false">+VLOOKUP(B222,transacciones!$A$1:$I$39,2,FALSE())</f>
        <v>ATC01</v>
      </c>
      <c r="D222" s="19" t="str">
        <f aca="false">+VLOOKUP(B222,transacciones!$A$1:$I$39,3,FALSE())</f>
        <v>Producción / Consumo intermedio</v>
      </c>
      <c r="E222" s="19" t="str">
        <f aca="false">+VLOOKUP($B222,transacciones!$A$1:$I$39,4,FALSE())</f>
        <v>Producción</v>
      </c>
      <c r="F222" s="19" t="n">
        <f aca="false">+VLOOKUP(B222,transacciones!$A$2:$I$39,5,FALSE())</f>
        <v>1</v>
      </c>
      <c r="G222" s="19" t="str">
        <f aca="false">+VLOOKUP(B222,transacciones!$A$2:$I$39,6,FALSE())</f>
        <v>P1</v>
      </c>
      <c r="H222" s="37" t="str">
        <f aca="false">+VLOOKUP(B222,transacciones!$A$1:$I$39,7,FALSE())</f>
        <v>Producción</v>
      </c>
      <c r="I222" s="2" t="s">
        <v>559</v>
      </c>
      <c r="J222" s="25" t="s">
        <v>789</v>
      </c>
      <c r="K222" s="37" t="s">
        <v>340</v>
      </c>
      <c r="L222" s="37" t="str">
        <f aca="false">+VLOOKUP(K222,'Correl CIIU'!$A$1:$F$26,2,FALSE())</f>
        <v>Agricultura, ganadería, silvicultura y pesca</v>
      </c>
      <c r="M222" s="37" t="str">
        <f aca="false">+VLOOKUP(K222,'Correl CIIU'!$A$1:$F$26,3,FALSE())</f>
        <v>Agricultura</v>
      </c>
      <c r="N222" s="37" t="str">
        <f aca="false">+VLOOKUP(K222,'Correl CIIU'!$A$1:$F$26,4,FALSE())</f>
        <v>Agriculture, forestry and fishing</v>
      </c>
      <c r="O222" s="37" t="n">
        <v>1</v>
      </c>
      <c r="P222" s="49" t="str">
        <f aca="false">+VLOOKUP(O222,bio!$A$2:$B$4,2,FALSE())</f>
        <v>Bioeconomía</v>
      </c>
    </row>
    <row r="223" customFormat="false" ht="15" hidden="false" customHeight="true" outlineLevel="0" collapsed="false">
      <c r="A223" s="0" t="s">
        <v>790</v>
      </c>
      <c r="B223" s="2" t="s">
        <v>337</v>
      </c>
      <c r="C223" s="19" t="str">
        <f aca="false">+VLOOKUP(B223,transacciones!$A$1:$I$39,2,FALSE())</f>
        <v>ATC01</v>
      </c>
      <c r="D223" s="19" t="str">
        <f aca="false">+VLOOKUP(B223,transacciones!$A$1:$I$39,3,FALSE())</f>
        <v>Producción / Consumo intermedio</v>
      </c>
      <c r="E223" s="19" t="str">
        <f aca="false">+VLOOKUP($B223,transacciones!$A$1:$I$39,4,FALSE())</f>
        <v>Producción</v>
      </c>
      <c r="F223" s="19" t="n">
        <f aca="false">+VLOOKUP(B223,transacciones!$A$2:$I$39,5,FALSE())</f>
        <v>1</v>
      </c>
      <c r="G223" s="19" t="str">
        <f aca="false">+VLOOKUP(B223,transacciones!$A$2:$I$39,6,FALSE())</f>
        <v>P1</v>
      </c>
      <c r="H223" s="37" t="str">
        <f aca="false">+VLOOKUP(B223,transacciones!$A$1:$I$39,7,FALSE())</f>
        <v>Producción</v>
      </c>
      <c r="I223" s="2" t="s">
        <v>559</v>
      </c>
      <c r="J223" s="25" t="s">
        <v>791</v>
      </c>
      <c r="K223" s="37" t="s">
        <v>340</v>
      </c>
      <c r="L223" s="37" t="str">
        <f aca="false">+VLOOKUP(K223,'Correl CIIU'!$A$1:$F$26,2,FALSE())</f>
        <v>Agricultura, ganadería, silvicultura y pesca</v>
      </c>
      <c r="M223" s="37" t="str">
        <f aca="false">+VLOOKUP(K223,'Correl CIIU'!$A$1:$F$26,3,FALSE())</f>
        <v>Agricultura</v>
      </c>
      <c r="N223" s="37" t="str">
        <f aca="false">+VLOOKUP(K223,'Correl CIIU'!$A$1:$F$26,4,FALSE())</f>
        <v>Agriculture, forestry and fishing</v>
      </c>
      <c r="O223" s="37" t="n">
        <v>1</v>
      </c>
      <c r="P223" s="49" t="str">
        <f aca="false">+VLOOKUP(O223,bio!$A$2:$B$4,2,FALSE())</f>
        <v>Bioeconomía</v>
      </c>
    </row>
    <row r="224" customFormat="false" ht="15" hidden="false" customHeight="true" outlineLevel="0" collapsed="false">
      <c r="A224" s="0" t="s">
        <v>792</v>
      </c>
      <c r="B224" s="2" t="s">
        <v>337</v>
      </c>
      <c r="C224" s="19" t="str">
        <f aca="false">+VLOOKUP(B224,transacciones!$A$1:$I$39,2,FALSE())</f>
        <v>ATC01</v>
      </c>
      <c r="D224" s="19" t="str">
        <f aca="false">+VLOOKUP(B224,transacciones!$A$1:$I$39,3,FALSE())</f>
        <v>Producción / Consumo intermedio</v>
      </c>
      <c r="E224" s="19" t="str">
        <f aca="false">+VLOOKUP($B224,transacciones!$A$1:$I$39,4,FALSE())</f>
        <v>Producción</v>
      </c>
      <c r="F224" s="19" t="n">
        <f aca="false">+VLOOKUP(B224,transacciones!$A$2:$I$39,5,FALSE())</f>
        <v>1</v>
      </c>
      <c r="G224" s="19" t="str">
        <f aca="false">+VLOOKUP(B224,transacciones!$A$2:$I$39,6,FALSE())</f>
        <v>P1</v>
      </c>
      <c r="H224" s="37" t="str">
        <f aca="false">+VLOOKUP(B224,transacciones!$A$1:$I$39,7,FALSE())</f>
        <v>Producción</v>
      </c>
      <c r="I224" s="2" t="s">
        <v>559</v>
      </c>
      <c r="J224" s="25" t="s">
        <v>793</v>
      </c>
      <c r="K224" s="37" t="s">
        <v>340</v>
      </c>
      <c r="L224" s="37" t="str">
        <f aca="false">+VLOOKUP(K224,'Correl CIIU'!$A$1:$F$26,2,FALSE())</f>
        <v>Agricultura, ganadería, silvicultura y pesca</v>
      </c>
      <c r="M224" s="37" t="str">
        <f aca="false">+VLOOKUP(K224,'Correl CIIU'!$A$1:$F$26,3,FALSE())</f>
        <v>Agricultura</v>
      </c>
      <c r="N224" s="37" t="str">
        <f aca="false">+VLOOKUP(K224,'Correl CIIU'!$A$1:$F$26,4,FALSE())</f>
        <v>Agriculture, forestry and fishing</v>
      </c>
      <c r="O224" s="37" t="n">
        <v>3</v>
      </c>
      <c r="P224" s="49" t="str">
        <f aca="false">+VLOOKUP(O224,bio!$A$2:$B$4,2,FALSE())</f>
        <v>No bioeconomía</v>
      </c>
    </row>
    <row r="225" customFormat="false" ht="15" hidden="false" customHeight="true" outlineLevel="0" collapsed="false">
      <c r="A225" s="0" t="s">
        <v>794</v>
      </c>
      <c r="B225" s="2" t="s">
        <v>337</v>
      </c>
      <c r="C225" s="19" t="str">
        <f aca="false">+VLOOKUP(B225,transacciones!$A$1:$I$39,2,FALSE())</f>
        <v>ATC01</v>
      </c>
      <c r="D225" s="19" t="str">
        <f aca="false">+VLOOKUP(B225,transacciones!$A$1:$I$39,3,FALSE())</f>
        <v>Producción / Consumo intermedio</v>
      </c>
      <c r="E225" s="19" t="str">
        <f aca="false">+VLOOKUP($B225,transacciones!$A$1:$I$39,4,FALSE())</f>
        <v>Producción</v>
      </c>
      <c r="F225" s="19" t="n">
        <f aca="false">+VLOOKUP(B225,transacciones!$A$2:$I$39,5,FALSE())</f>
        <v>1</v>
      </c>
      <c r="G225" s="19" t="str">
        <f aca="false">+VLOOKUP(B225,transacciones!$A$2:$I$39,6,FALSE())</f>
        <v>P1</v>
      </c>
      <c r="H225" s="37" t="str">
        <f aca="false">+VLOOKUP(B225,transacciones!$A$1:$I$39,7,FALSE())</f>
        <v>Producción</v>
      </c>
      <c r="I225" s="2" t="s">
        <v>559</v>
      </c>
      <c r="J225" s="25" t="s">
        <v>795</v>
      </c>
      <c r="K225" s="37" t="s">
        <v>359</v>
      </c>
      <c r="L225" s="37" t="str">
        <f aca="false">+VLOOKUP(K225,'Correl CIIU'!$A$1:$F$26,2,FALSE())</f>
        <v>Explotación de minas y canteras</v>
      </c>
      <c r="M225" s="37" t="str">
        <f aca="false">+VLOOKUP(K225,'Correl CIIU'!$A$1:$F$26,3,FALSE())</f>
        <v>Minería</v>
      </c>
      <c r="N225" s="37" t="str">
        <f aca="false">+VLOOKUP(K225,'Correl CIIU'!$A$1:$F$26,4,FALSE())</f>
        <v>Mining and quarrying</v>
      </c>
      <c r="O225" s="37" t="n">
        <v>3</v>
      </c>
      <c r="P225" s="49" t="str">
        <f aca="false">+VLOOKUP(O225,bio!$A$2:$B$4,2,FALSE())</f>
        <v>No bioeconomía</v>
      </c>
    </row>
    <row r="226" customFormat="false" ht="15" hidden="false" customHeight="true" outlineLevel="0" collapsed="false">
      <c r="A226" s="0" t="s">
        <v>796</v>
      </c>
      <c r="B226" s="2" t="s">
        <v>337</v>
      </c>
      <c r="C226" s="19" t="str">
        <f aca="false">+VLOOKUP(B226,transacciones!$A$1:$I$39,2,FALSE())</f>
        <v>ATC01</v>
      </c>
      <c r="D226" s="19" t="str">
        <f aca="false">+VLOOKUP(B226,transacciones!$A$1:$I$39,3,FALSE())</f>
        <v>Producción / Consumo intermedio</v>
      </c>
      <c r="E226" s="19" t="str">
        <f aca="false">+VLOOKUP($B226,transacciones!$A$1:$I$39,4,FALSE())</f>
        <v>Producción</v>
      </c>
      <c r="F226" s="19" t="n">
        <f aca="false">+VLOOKUP(B226,transacciones!$A$2:$I$39,5,FALSE())</f>
        <v>1</v>
      </c>
      <c r="G226" s="19" t="str">
        <f aca="false">+VLOOKUP(B226,transacciones!$A$2:$I$39,6,FALSE())</f>
        <v>P1</v>
      </c>
      <c r="H226" s="37" t="str">
        <f aca="false">+VLOOKUP(B226,transacciones!$A$1:$I$39,7,FALSE())</f>
        <v>Producción</v>
      </c>
      <c r="I226" s="2" t="s">
        <v>559</v>
      </c>
      <c r="J226" s="25" t="s">
        <v>797</v>
      </c>
      <c r="K226" s="37" t="s">
        <v>359</v>
      </c>
      <c r="L226" s="37" t="str">
        <f aca="false">+VLOOKUP(K226,'Correl CIIU'!$A$1:$F$26,2,FALSE())</f>
        <v>Explotación de minas y canteras</v>
      </c>
      <c r="M226" s="37" t="str">
        <f aca="false">+VLOOKUP(K226,'Correl CIIU'!$A$1:$F$26,3,FALSE())</f>
        <v>Minería</v>
      </c>
      <c r="N226" s="37" t="str">
        <f aca="false">+VLOOKUP(K226,'Correl CIIU'!$A$1:$F$26,4,FALSE())</f>
        <v>Mining and quarrying</v>
      </c>
      <c r="O226" s="37" t="n">
        <v>3</v>
      </c>
      <c r="P226" s="49" t="str">
        <f aca="false">+VLOOKUP(O226,bio!$A$2:$B$4,2,FALSE())</f>
        <v>No bioeconomía</v>
      </c>
    </row>
    <row r="227" customFormat="false" ht="15" hidden="false" customHeight="true" outlineLevel="0" collapsed="false">
      <c r="A227" s="0" t="s">
        <v>798</v>
      </c>
      <c r="B227" s="2" t="s">
        <v>337</v>
      </c>
      <c r="C227" s="19" t="str">
        <f aca="false">+VLOOKUP(B227,transacciones!$A$1:$I$39,2,FALSE())</f>
        <v>ATC01</v>
      </c>
      <c r="D227" s="19" t="str">
        <f aca="false">+VLOOKUP(B227,transacciones!$A$1:$I$39,3,FALSE())</f>
        <v>Producción / Consumo intermedio</v>
      </c>
      <c r="E227" s="19" t="str">
        <f aca="false">+VLOOKUP($B227,transacciones!$A$1:$I$39,4,FALSE())</f>
        <v>Producción</v>
      </c>
      <c r="F227" s="19" t="n">
        <f aca="false">+VLOOKUP(B227,transacciones!$A$2:$I$39,5,FALSE())</f>
        <v>1</v>
      </c>
      <c r="G227" s="19" t="str">
        <f aca="false">+VLOOKUP(B227,transacciones!$A$2:$I$39,6,FALSE())</f>
        <v>P1</v>
      </c>
      <c r="H227" s="37" t="str">
        <f aca="false">+VLOOKUP(B227,transacciones!$A$1:$I$39,7,FALSE())</f>
        <v>Producción</v>
      </c>
      <c r="I227" s="2" t="s">
        <v>559</v>
      </c>
      <c r="J227" s="25" t="s">
        <v>799</v>
      </c>
      <c r="K227" s="37" t="s">
        <v>359</v>
      </c>
      <c r="L227" s="37" t="str">
        <f aca="false">+VLOOKUP(K227,'Correl CIIU'!$A$1:$F$26,2,FALSE())</f>
        <v>Explotación de minas y canteras</v>
      </c>
      <c r="M227" s="37" t="str">
        <f aca="false">+VLOOKUP(K227,'Correl CIIU'!$A$1:$F$26,3,FALSE())</f>
        <v>Minería</v>
      </c>
      <c r="N227" s="37" t="str">
        <f aca="false">+VLOOKUP(K227,'Correl CIIU'!$A$1:$F$26,4,FALSE())</f>
        <v>Mining and quarrying</v>
      </c>
      <c r="O227" s="37" t="n">
        <v>3</v>
      </c>
      <c r="P227" s="49" t="str">
        <f aca="false">+VLOOKUP(O227,bio!$A$2:$B$4,2,FALSE())</f>
        <v>No bioeconomía</v>
      </c>
    </row>
    <row r="228" customFormat="false" ht="15" hidden="false" customHeight="true" outlineLevel="0" collapsed="false">
      <c r="A228" s="0" t="s">
        <v>800</v>
      </c>
      <c r="B228" s="2" t="s">
        <v>337</v>
      </c>
      <c r="C228" s="19" t="str">
        <f aca="false">+VLOOKUP(B228,transacciones!$A$1:$I$39,2,FALSE())</f>
        <v>ATC01</v>
      </c>
      <c r="D228" s="19" t="str">
        <f aca="false">+VLOOKUP(B228,transacciones!$A$1:$I$39,3,FALSE())</f>
        <v>Producción / Consumo intermedio</v>
      </c>
      <c r="E228" s="19" t="str">
        <f aca="false">+VLOOKUP($B228,transacciones!$A$1:$I$39,4,FALSE())</f>
        <v>Producción</v>
      </c>
      <c r="F228" s="19" t="n">
        <f aca="false">+VLOOKUP(B228,transacciones!$A$2:$I$39,5,FALSE())</f>
        <v>1</v>
      </c>
      <c r="G228" s="19" t="str">
        <f aca="false">+VLOOKUP(B228,transacciones!$A$2:$I$39,6,FALSE())</f>
        <v>P1</v>
      </c>
      <c r="H228" s="37" t="str">
        <f aca="false">+VLOOKUP(B228,transacciones!$A$1:$I$39,7,FALSE())</f>
        <v>Producción</v>
      </c>
      <c r="I228" s="2" t="s">
        <v>559</v>
      </c>
      <c r="J228" s="25" t="s">
        <v>801</v>
      </c>
      <c r="K228" s="37" t="s">
        <v>359</v>
      </c>
      <c r="L228" s="37" t="str">
        <f aca="false">+VLOOKUP(K228,'Correl CIIU'!$A$1:$F$26,2,FALSE())</f>
        <v>Explotación de minas y canteras</v>
      </c>
      <c r="M228" s="37" t="str">
        <f aca="false">+VLOOKUP(K228,'Correl CIIU'!$A$1:$F$26,3,FALSE())</f>
        <v>Minería</v>
      </c>
      <c r="N228" s="37" t="str">
        <f aca="false">+VLOOKUP(K228,'Correl CIIU'!$A$1:$F$26,4,FALSE())</f>
        <v>Mining and quarrying</v>
      </c>
      <c r="O228" s="37" t="n">
        <v>3</v>
      </c>
      <c r="P228" s="49" t="str">
        <f aca="false">+VLOOKUP(O228,bio!$A$2:$B$4,2,FALSE())</f>
        <v>No bioeconomía</v>
      </c>
    </row>
    <row r="229" customFormat="false" ht="15" hidden="false" customHeight="true" outlineLevel="0" collapsed="false">
      <c r="A229" s="0" t="s">
        <v>802</v>
      </c>
      <c r="B229" s="2" t="s">
        <v>337</v>
      </c>
      <c r="C229" s="19" t="str">
        <f aca="false">+VLOOKUP(B229,transacciones!$A$1:$I$39,2,FALSE())</f>
        <v>ATC01</v>
      </c>
      <c r="D229" s="19" t="str">
        <f aca="false">+VLOOKUP(B229,transacciones!$A$1:$I$39,3,FALSE())</f>
        <v>Producción / Consumo intermedio</v>
      </c>
      <c r="E229" s="19" t="str">
        <f aca="false">+VLOOKUP($B229,transacciones!$A$1:$I$39,4,FALSE())</f>
        <v>Producción</v>
      </c>
      <c r="F229" s="19" t="n">
        <f aca="false">+VLOOKUP(B229,transacciones!$A$2:$I$39,5,FALSE())</f>
        <v>1</v>
      </c>
      <c r="G229" s="19" t="str">
        <f aca="false">+VLOOKUP(B229,transacciones!$A$2:$I$39,6,FALSE())</f>
        <v>P1</v>
      </c>
      <c r="H229" s="37" t="str">
        <f aca="false">+VLOOKUP(B229,transacciones!$A$1:$I$39,7,FALSE())</f>
        <v>Producción</v>
      </c>
      <c r="I229" s="2" t="s">
        <v>559</v>
      </c>
      <c r="J229" s="25" t="s">
        <v>803</v>
      </c>
      <c r="K229" s="37" t="s">
        <v>372</v>
      </c>
      <c r="L229" s="37" t="str">
        <f aca="false">+VLOOKUP(K229,'Correl CIIU'!$A$1:$F$26,2,FALSE())</f>
        <v>Industrias manufactureras</v>
      </c>
      <c r="M229" s="37" t="str">
        <f aca="false">+VLOOKUP(K229,'Correl CIIU'!$A$1:$F$26,3,FALSE())</f>
        <v>Manufacturas</v>
      </c>
      <c r="N229" s="37" t="str">
        <f aca="false">+VLOOKUP(K229,'Correl CIIU'!$A$1:$F$26,4,FALSE())</f>
        <v>Manufacturing</v>
      </c>
      <c r="O229" s="37" t="n">
        <v>1</v>
      </c>
      <c r="P229" s="49" t="str">
        <f aca="false">+VLOOKUP(O229,bio!$A$2:$B$4,2,FALSE())</f>
        <v>Bioeconomía</v>
      </c>
    </row>
    <row r="230" customFormat="false" ht="15" hidden="false" customHeight="true" outlineLevel="0" collapsed="false">
      <c r="A230" s="0" t="s">
        <v>804</v>
      </c>
      <c r="B230" s="2" t="s">
        <v>337</v>
      </c>
      <c r="C230" s="19" t="str">
        <f aca="false">+VLOOKUP(B230,transacciones!$A$1:$I$39,2,FALSE())</f>
        <v>ATC01</v>
      </c>
      <c r="D230" s="19" t="str">
        <f aca="false">+VLOOKUP(B230,transacciones!$A$1:$I$39,3,FALSE())</f>
        <v>Producción / Consumo intermedio</v>
      </c>
      <c r="E230" s="19" t="str">
        <f aca="false">+VLOOKUP($B230,transacciones!$A$1:$I$39,4,FALSE())</f>
        <v>Producción</v>
      </c>
      <c r="F230" s="19" t="n">
        <f aca="false">+VLOOKUP(B230,transacciones!$A$2:$I$39,5,FALSE())</f>
        <v>1</v>
      </c>
      <c r="G230" s="19" t="str">
        <f aca="false">+VLOOKUP(B230,transacciones!$A$2:$I$39,6,FALSE())</f>
        <v>P1</v>
      </c>
      <c r="H230" s="37" t="str">
        <f aca="false">+VLOOKUP(B230,transacciones!$A$1:$I$39,7,FALSE())</f>
        <v>Producción</v>
      </c>
      <c r="I230" s="2" t="s">
        <v>559</v>
      </c>
      <c r="J230" s="25" t="s">
        <v>805</v>
      </c>
      <c r="K230" s="37" t="s">
        <v>372</v>
      </c>
      <c r="L230" s="37" t="str">
        <f aca="false">+VLOOKUP(K230,'Correl CIIU'!$A$1:$F$26,2,FALSE())</f>
        <v>Industrias manufactureras</v>
      </c>
      <c r="M230" s="37" t="str">
        <f aca="false">+VLOOKUP(K230,'Correl CIIU'!$A$1:$F$26,3,FALSE())</f>
        <v>Manufacturas</v>
      </c>
      <c r="N230" s="37" t="str">
        <f aca="false">+VLOOKUP(K230,'Correl CIIU'!$A$1:$F$26,4,FALSE())</f>
        <v>Manufacturing</v>
      </c>
      <c r="O230" s="37" t="n">
        <v>1</v>
      </c>
      <c r="P230" s="49" t="str">
        <f aca="false">+VLOOKUP(O230,bio!$A$2:$B$4,2,FALSE())</f>
        <v>Bioeconomía</v>
      </c>
    </row>
    <row r="231" customFormat="false" ht="15" hidden="false" customHeight="true" outlineLevel="0" collapsed="false">
      <c r="A231" s="0" t="s">
        <v>806</v>
      </c>
      <c r="B231" s="2" t="s">
        <v>337</v>
      </c>
      <c r="C231" s="19" t="str">
        <f aca="false">+VLOOKUP(B231,transacciones!$A$1:$I$39,2,FALSE())</f>
        <v>ATC01</v>
      </c>
      <c r="D231" s="19" t="str">
        <f aca="false">+VLOOKUP(B231,transacciones!$A$1:$I$39,3,FALSE())</f>
        <v>Producción / Consumo intermedio</v>
      </c>
      <c r="E231" s="19" t="str">
        <f aca="false">+VLOOKUP($B231,transacciones!$A$1:$I$39,4,FALSE())</f>
        <v>Producción</v>
      </c>
      <c r="F231" s="19" t="n">
        <f aca="false">+VLOOKUP(B231,transacciones!$A$2:$I$39,5,FALSE())</f>
        <v>1</v>
      </c>
      <c r="G231" s="19" t="str">
        <f aca="false">+VLOOKUP(B231,transacciones!$A$2:$I$39,6,FALSE())</f>
        <v>P1</v>
      </c>
      <c r="H231" s="37" t="str">
        <f aca="false">+VLOOKUP(B231,transacciones!$A$1:$I$39,7,FALSE())</f>
        <v>Producción</v>
      </c>
      <c r="I231" s="2" t="s">
        <v>559</v>
      </c>
      <c r="J231" s="25" t="s">
        <v>807</v>
      </c>
      <c r="K231" s="37" t="s">
        <v>372</v>
      </c>
      <c r="L231" s="37" t="str">
        <f aca="false">+VLOOKUP(K231,'Correl CIIU'!$A$1:$F$26,2,FALSE())</f>
        <v>Industrias manufactureras</v>
      </c>
      <c r="M231" s="37" t="str">
        <f aca="false">+VLOOKUP(K231,'Correl CIIU'!$A$1:$F$26,3,FALSE())</f>
        <v>Manufacturas</v>
      </c>
      <c r="N231" s="37" t="str">
        <f aca="false">+VLOOKUP(K231,'Correl CIIU'!$A$1:$F$26,4,FALSE())</f>
        <v>Manufacturing</v>
      </c>
      <c r="O231" s="37" t="n">
        <v>1</v>
      </c>
      <c r="P231" s="49" t="str">
        <f aca="false">+VLOOKUP(O231,bio!$A$2:$B$4,2,FALSE())</f>
        <v>Bioeconomía</v>
      </c>
    </row>
    <row r="232" customFormat="false" ht="15" hidden="false" customHeight="true" outlineLevel="0" collapsed="false">
      <c r="A232" s="0" t="s">
        <v>808</v>
      </c>
      <c r="B232" s="2" t="s">
        <v>337</v>
      </c>
      <c r="C232" s="19" t="str">
        <f aca="false">+VLOOKUP(B232,transacciones!$A$1:$I$39,2,FALSE())</f>
        <v>ATC01</v>
      </c>
      <c r="D232" s="19" t="str">
        <f aca="false">+VLOOKUP(B232,transacciones!$A$1:$I$39,3,FALSE())</f>
        <v>Producción / Consumo intermedio</v>
      </c>
      <c r="E232" s="19" t="str">
        <f aca="false">+VLOOKUP($B232,transacciones!$A$1:$I$39,4,FALSE())</f>
        <v>Producción</v>
      </c>
      <c r="F232" s="19" t="n">
        <f aca="false">+VLOOKUP(B232,transacciones!$A$2:$I$39,5,FALSE())</f>
        <v>1</v>
      </c>
      <c r="G232" s="19" t="str">
        <f aca="false">+VLOOKUP(B232,transacciones!$A$2:$I$39,6,FALSE())</f>
        <v>P1</v>
      </c>
      <c r="H232" s="37" t="str">
        <f aca="false">+VLOOKUP(B232,transacciones!$A$1:$I$39,7,FALSE())</f>
        <v>Producción</v>
      </c>
      <c r="I232" s="2" t="s">
        <v>559</v>
      </c>
      <c r="J232" s="25" t="s">
        <v>809</v>
      </c>
      <c r="K232" s="37" t="s">
        <v>372</v>
      </c>
      <c r="L232" s="37" t="str">
        <f aca="false">+VLOOKUP(K232,'Correl CIIU'!$A$1:$F$26,2,FALSE())</f>
        <v>Industrias manufactureras</v>
      </c>
      <c r="M232" s="37" t="str">
        <f aca="false">+VLOOKUP(K232,'Correl CIIU'!$A$1:$F$26,3,FALSE())</f>
        <v>Manufacturas</v>
      </c>
      <c r="N232" s="37" t="str">
        <f aca="false">+VLOOKUP(K232,'Correl CIIU'!$A$1:$F$26,4,FALSE())</f>
        <v>Manufacturing</v>
      </c>
      <c r="O232" s="37" t="n">
        <v>1</v>
      </c>
      <c r="P232" s="49" t="str">
        <f aca="false">+VLOOKUP(O232,bio!$A$2:$B$4,2,FALSE())</f>
        <v>Bioeconomía</v>
      </c>
    </row>
    <row r="233" customFormat="false" ht="15" hidden="false" customHeight="true" outlineLevel="0" collapsed="false">
      <c r="A233" s="0" t="s">
        <v>810</v>
      </c>
      <c r="B233" s="2" t="s">
        <v>337</v>
      </c>
      <c r="C233" s="19" t="str">
        <f aca="false">+VLOOKUP(B233,transacciones!$A$1:$I$39,2,FALSE())</f>
        <v>ATC01</v>
      </c>
      <c r="D233" s="19" t="str">
        <f aca="false">+VLOOKUP(B233,transacciones!$A$1:$I$39,3,FALSE())</f>
        <v>Producción / Consumo intermedio</v>
      </c>
      <c r="E233" s="19" t="str">
        <f aca="false">+VLOOKUP($B233,transacciones!$A$1:$I$39,4,FALSE())</f>
        <v>Producción</v>
      </c>
      <c r="F233" s="19" t="n">
        <f aca="false">+VLOOKUP(B233,transacciones!$A$2:$I$39,5,FALSE())</f>
        <v>1</v>
      </c>
      <c r="G233" s="19" t="str">
        <f aca="false">+VLOOKUP(B233,transacciones!$A$2:$I$39,6,FALSE())</f>
        <v>P1</v>
      </c>
      <c r="H233" s="37" t="str">
        <f aca="false">+VLOOKUP(B233,transacciones!$A$1:$I$39,7,FALSE())</f>
        <v>Producción</v>
      </c>
      <c r="I233" s="2" t="s">
        <v>559</v>
      </c>
      <c r="J233" s="25" t="s">
        <v>811</v>
      </c>
      <c r="K233" s="37" t="s">
        <v>372</v>
      </c>
      <c r="L233" s="37" t="str">
        <f aca="false">+VLOOKUP(K233,'Correl CIIU'!$A$1:$F$26,2,FALSE())</f>
        <v>Industrias manufactureras</v>
      </c>
      <c r="M233" s="37" t="str">
        <f aca="false">+VLOOKUP(K233,'Correl CIIU'!$A$1:$F$26,3,FALSE())</f>
        <v>Manufacturas</v>
      </c>
      <c r="N233" s="37" t="str">
        <f aca="false">+VLOOKUP(K233,'Correl CIIU'!$A$1:$F$26,4,FALSE())</f>
        <v>Manufacturing</v>
      </c>
      <c r="O233" s="37" t="n">
        <v>1</v>
      </c>
      <c r="P233" s="49" t="str">
        <f aca="false">+VLOOKUP(O233,bio!$A$2:$B$4,2,FALSE())</f>
        <v>Bioeconomía</v>
      </c>
    </row>
    <row r="234" customFormat="false" ht="15" hidden="false" customHeight="true" outlineLevel="0" collapsed="false">
      <c r="A234" s="0" t="s">
        <v>812</v>
      </c>
      <c r="B234" s="2" t="s">
        <v>337</v>
      </c>
      <c r="C234" s="19" t="str">
        <f aca="false">+VLOOKUP(B234,transacciones!$A$1:$I$39,2,FALSE())</f>
        <v>ATC01</v>
      </c>
      <c r="D234" s="19" t="str">
        <f aca="false">+VLOOKUP(B234,transacciones!$A$1:$I$39,3,FALSE())</f>
        <v>Producción / Consumo intermedio</v>
      </c>
      <c r="E234" s="19" t="str">
        <f aca="false">+VLOOKUP($B234,transacciones!$A$1:$I$39,4,FALSE())</f>
        <v>Producción</v>
      </c>
      <c r="F234" s="19" t="n">
        <f aca="false">+VLOOKUP(B234,transacciones!$A$2:$I$39,5,FALSE())</f>
        <v>1</v>
      </c>
      <c r="G234" s="19" t="str">
        <f aca="false">+VLOOKUP(B234,transacciones!$A$2:$I$39,6,FALSE())</f>
        <v>P1</v>
      </c>
      <c r="H234" s="37" t="str">
        <f aca="false">+VLOOKUP(B234,transacciones!$A$1:$I$39,7,FALSE())</f>
        <v>Producción</v>
      </c>
      <c r="I234" s="2" t="s">
        <v>559</v>
      </c>
      <c r="J234" s="25" t="s">
        <v>813</v>
      </c>
      <c r="K234" s="37" t="s">
        <v>372</v>
      </c>
      <c r="L234" s="37" t="str">
        <f aca="false">+VLOOKUP(K234,'Correl CIIU'!$A$1:$F$26,2,FALSE())</f>
        <v>Industrias manufactureras</v>
      </c>
      <c r="M234" s="37" t="str">
        <f aca="false">+VLOOKUP(K234,'Correl CIIU'!$A$1:$F$26,3,FALSE())</f>
        <v>Manufacturas</v>
      </c>
      <c r="N234" s="37" t="str">
        <f aca="false">+VLOOKUP(K234,'Correl CIIU'!$A$1:$F$26,4,FALSE())</f>
        <v>Manufacturing</v>
      </c>
      <c r="O234" s="37" t="n">
        <v>1</v>
      </c>
      <c r="P234" s="49" t="str">
        <f aca="false">+VLOOKUP(O234,bio!$A$2:$B$4,2,FALSE())</f>
        <v>Bioeconomía</v>
      </c>
    </row>
    <row r="235" customFormat="false" ht="15" hidden="false" customHeight="true" outlineLevel="0" collapsed="false">
      <c r="A235" s="0" t="s">
        <v>814</v>
      </c>
      <c r="B235" s="2" t="s">
        <v>337</v>
      </c>
      <c r="C235" s="19" t="str">
        <f aca="false">+VLOOKUP(B235,transacciones!$A$1:$I$39,2,FALSE())</f>
        <v>ATC01</v>
      </c>
      <c r="D235" s="19" t="str">
        <f aca="false">+VLOOKUP(B235,transacciones!$A$1:$I$39,3,FALSE())</f>
        <v>Producción / Consumo intermedio</v>
      </c>
      <c r="E235" s="19" t="str">
        <f aca="false">+VLOOKUP($B235,transacciones!$A$1:$I$39,4,FALSE())</f>
        <v>Producción</v>
      </c>
      <c r="F235" s="19" t="n">
        <f aca="false">+VLOOKUP(B235,transacciones!$A$2:$I$39,5,FALSE())</f>
        <v>1</v>
      </c>
      <c r="G235" s="19" t="str">
        <f aca="false">+VLOOKUP(B235,transacciones!$A$2:$I$39,6,FALSE())</f>
        <v>P1</v>
      </c>
      <c r="H235" s="37" t="str">
        <f aca="false">+VLOOKUP(B235,transacciones!$A$1:$I$39,7,FALSE())</f>
        <v>Producción</v>
      </c>
      <c r="I235" s="2" t="s">
        <v>559</v>
      </c>
      <c r="J235" s="25" t="s">
        <v>815</v>
      </c>
      <c r="K235" s="37" t="s">
        <v>372</v>
      </c>
      <c r="L235" s="37" t="str">
        <f aca="false">+VLOOKUP(K235,'Correl CIIU'!$A$1:$F$26,2,FALSE())</f>
        <v>Industrias manufactureras</v>
      </c>
      <c r="M235" s="37" t="str">
        <f aca="false">+VLOOKUP(K235,'Correl CIIU'!$A$1:$F$26,3,FALSE())</f>
        <v>Manufacturas</v>
      </c>
      <c r="N235" s="37" t="str">
        <f aca="false">+VLOOKUP(K235,'Correl CIIU'!$A$1:$F$26,4,FALSE())</f>
        <v>Manufacturing</v>
      </c>
      <c r="O235" s="37" t="n">
        <v>1</v>
      </c>
      <c r="P235" s="49" t="str">
        <f aca="false">+VLOOKUP(O235,bio!$A$2:$B$4,2,FALSE())</f>
        <v>Bioeconomía</v>
      </c>
    </row>
    <row r="236" customFormat="false" ht="15" hidden="false" customHeight="true" outlineLevel="0" collapsed="false">
      <c r="A236" s="0" t="s">
        <v>816</v>
      </c>
      <c r="B236" s="2" t="s">
        <v>337</v>
      </c>
      <c r="C236" s="19" t="str">
        <f aca="false">+VLOOKUP(B236,transacciones!$A$1:$I$39,2,FALSE())</f>
        <v>ATC01</v>
      </c>
      <c r="D236" s="19" t="str">
        <f aca="false">+VLOOKUP(B236,transacciones!$A$1:$I$39,3,FALSE())</f>
        <v>Producción / Consumo intermedio</v>
      </c>
      <c r="E236" s="19" t="str">
        <f aca="false">+VLOOKUP($B236,transacciones!$A$1:$I$39,4,FALSE())</f>
        <v>Producción</v>
      </c>
      <c r="F236" s="19" t="n">
        <f aca="false">+VLOOKUP(B236,transacciones!$A$2:$I$39,5,FALSE())</f>
        <v>1</v>
      </c>
      <c r="G236" s="19" t="str">
        <f aca="false">+VLOOKUP(B236,transacciones!$A$2:$I$39,6,FALSE())</f>
        <v>P1</v>
      </c>
      <c r="H236" s="37" t="str">
        <f aca="false">+VLOOKUP(B236,transacciones!$A$1:$I$39,7,FALSE())</f>
        <v>Producción</v>
      </c>
      <c r="I236" s="2" t="s">
        <v>559</v>
      </c>
      <c r="J236" s="25" t="s">
        <v>817</v>
      </c>
      <c r="K236" s="37" t="s">
        <v>372</v>
      </c>
      <c r="L236" s="37" t="str">
        <f aca="false">+VLOOKUP(K236,'Correl CIIU'!$A$1:$F$26,2,FALSE())</f>
        <v>Industrias manufactureras</v>
      </c>
      <c r="M236" s="37" t="str">
        <f aca="false">+VLOOKUP(K236,'Correl CIIU'!$A$1:$F$26,3,FALSE())</f>
        <v>Manufacturas</v>
      </c>
      <c r="N236" s="37" t="str">
        <f aca="false">+VLOOKUP(K236,'Correl CIIU'!$A$1:$F$26,4,FALSE())</f>
        <v>Manufacturing</v>
      </c>
      <c r="O236" s="37" t="n">
        <v>1</v>
      </c>
      <c r="P236" s="49" t="str">
        <f aca="false">+VLOOKUP(O236,bio!$A$2:$B$4,2,FALSE())</f>
        <v>Bioeconomía</v>
      </c>
    </row>
    <row r="237" customFormat="false" ht="15" hidden="false" customHeight="true" outlineLevel="0" collapsed="false">
      <c r="A237" s="0" t="s">
        <v>818</v>
      </c>
      <c r="B237" s="2" t="s">
        <v>337</v>
      </c>
      <c r="C237" s="19" t="str">
        <f aca="false">+VLOOKUP(B237,transacciones!$A$1:$I$39,2,FALSE())</f>
        <v>ATC01</v>
      </c>
      <c r="D237" s="19" t="str">
        <f aca="false">+VLOOKUP(B237,transacciones!$A$1:$I$39,3,FALSE())</f>
        <v>Producción / Consumo intermedio</v>
      </c>
      <c r="E237" s="19" t="str">
        <f aca="false">+VLOOKUP($B237,transacciones!$A$1:$I$39,4,FALSE())</f>
        <v>Producción</v>
      </c>
      <c r="F237" s="19" t="n">
        <f aca="false">+VLOOKUP(B237,transacciones!$A$2:$I$39,5,FALSE())</f>
        <v>1</v>
      </c>
      <c r="G237" s="19" t="str">
        <f aca="false">+VLOOKUP(B237,transacciones!$A$2:$I$39,6,FALSE())</f>
        <v>P1</v>
      </c>
      <c r="H237" s="37" t="str">
        <f aca="false">+VLOOKUP(B237,transacciones!$A$1:$I$39,7,FALSE())</f>
        <v>Producción</v>
      </c>
      <c r="I237" s="2" t="s">
        <v>559</v>
      </c>
      <c r="J237" s="25" t="s">
        <v>819</v>
      </c>
      <c r="K237" s="37" t="s">
        <v>372</v>
      </c>
      <c r="L237" s="37" t="str">
        <f aca="false">+VLOOKUP(K237,'Correl CIIU'!$A$1:$F$26,2,FALSE())</f>
        <v>Industrias manufactureras</v>
      </c>
      <c r="M237" s="37" t="str">
        <f aca="false">+VLOOKUP(K237,'Correl CIIU'!$A$1:$F$26,3,FALSE())</f>
        <v>Manufacturas</v>
      </c>
      <c r="N237" s="37" t="str">
        <f aca="false">+VLOOKUP(K237,'Correl CIIU'!$A$1:$F$26,4,FALSE())</f>
        <v>Manufacturing</v>
      </c>
      <c r="O237" s="37" t="n">
        <v>1</v>
      </c>
      <c r="P237" s="49" t="str">
        <f aca="false">+VLOOKUP(O237,bio!$A$2:$B$4,2,FALSE())</f>
        <v>Bioeconomía</v>
      </c>
    </row>
    <row r="238" customFormat="false" ht="15" hidden="false" customHeight="true" outlineLevel="0" collapsed="false">
      <c r="A238" s="0" t="s">
        <v>820</v>
      </c>
      <c r="B238" s="2" t="s">
        <v>337</v>
      </c>
      <c r="C238" s="19" t="str">
        <f aca="false">+VLOOKUP(B238,transacciones!$A$1:$I$39,2,FALSE())</f>
        <v>ATC01</v>
      </c>
      <c r="D238" s="19" t="str">
        <f aca="false">+VLOOKUP(B238,transacciones!$A$1:$I$39,3,FALSE())</f>
        <v>Producción / Consumo intermedio</v>
      </c>
      <c r="E238" s="19" t="str">
        <f aca="false">+VLOOKUP($B238,transacciones!$A$1:$I$39,4,FALSE())</f>
        <v>Producción</v>
      </c>
      <c r="F238" s="19" t="n">
        <f aca="false">+VLOOKUP(B238,transacciones!$A$2:$I$39,5,FALSE())</f>
        <v>1</v>
      </c>
      <c r="G238" s="19" t="str">
        <f aca="false">+VLOOKUP(B238,transacciones!$A$2:$I$39,6,FALSE())</f>
        <v>P1</v>
      </c>
      <c r="H238" s="37" t="str">
        <f aca="false">+VLOOKUP(B238,transacciones!$A$1:$I$39,7,FALSE())</f>
        <v>Producción</v>
      </c>
      <c r="I238" s="2" t="s">
        <v>559</v>
      </c>
      <c r="J238" s="25" t="s">
        <v>821</v>
      </c>
      <c r="K238" s="37" t="s">
        <v>372</v>
      </c>
      <c r="L238" s="37" t="str">
        <f aca="false">+VLOOKUP(K238,'Correl CIIU'!$A$1:$F$26,2,FALSE())</f>
        <v>Industrias manufactureras</v>
      </c>
      <c r="M238" s="37" t="str">
        <f aca="false">+VLOOKUP(K238,'Correl CIIU'!$A$1:$F$26,3,FALSE())</f>
        <v>Manufacturas</v>
      </c>
      <c r="N238" s="37" t="str">
        <f aca="false">+VLOOKUP(K238,'Correl CIIU'!$A$1:$F$26,4,FALSE())</f>
        <v>Manufacturing</v>
      </c>
      <c r="O238" s="37" t="n">
        <v>2</v>
      </c>
      <c r="P238" s="49" t="str">
        <f aca="false">+VLOOKUP(O238,bio!$A$2:$B$4,2,FALSE())</f>
        <v>Bioeconomía extendida</v>
      </c>
    </row>
    <row r="239" customFormat="false" ht="15" hidden="false" customHeight="true" outlineLevel="0" collapsed="false">
      <c r="A239" s="0" t="s">
        <v>822</v>
      </c>
      <c r="B239" s="2" t="s">
        <v>337</v>
      </c>
      <c r="C239" s="19" t="str">
        <f aca="false">+VLOOKUP(B239,transacciones!$A$1:$I$39,2,FALSE())</f>
        <v>ATC01</v>
      </c>
      <c r="D239" s="19" t="str">
        <f aca="false">+VLOOKUP(B239,transacciones!$A$1:$I$39,3,FALSE())</f>
        <v>Producción / Consumo intermedio</v>
      </c>
      <c r="E239" s="19" t="str">
        <f aca="false">+VLOOKUP($B239,transacciones!$A$1:$I$39,4,FALSE())</f>
        <v>Producción</v>
      </c>
      <c r="F239" s="19" t="n">
        <f aca="false">+VLOOKUP(B239,transacciones!$A$2:$I$39,5,FALSE())</f>
        <v>1</v>
      </c>
      <c r="G239" s="19" t="str">
        <f aca="false">+VLOOKUP(B239,transacciones!$A$2:$I$39,6,FALSE())</f>
        <v>P1</v>
      </c>
      <c r="H239" s="37" t="str">
        <f aca="false">+VLOOKUP(B239,transacciones!$A$1:$I$39,7,FALSE())</f>
        <v>Producción</v>
      </c>
      <c r="I239" s="2" t="s">
        <v>559</v>
      </c>
      <c r="J239" s="25" t="s">
        <v>823</v>
      </c>
      <c r="K239" s="37" t="s">
        <v>372</v>
      </c>
      <c r="L239" s="37" t="str">
        <f aca="false">+VLOOKUP(K239,'Correl CIIU'!$A$1:$F$26,2,FALSE())</f>
        <v>Industrias manufactureras</v>
      </c>
      <c r="M239" s="37" t="str">
        <f aca="false">+VLOOKUP(K239,'Correl CIIU'!$A$1:$F$26,3,FALSE())</f>
        <v>Manufacturas</v>
      </c>
      <c r="N239" s="37" t="str">
        <f aca="false">+VLOOKUP(K239,'Correl CIIU'!$A$1:$F$26,4,FALSE())</f>
        <v>Manufacturing</v>
      </c>
      <c r="O239" s="37" t="n">
        <v>2</v>
      </c>
      <c r="P239" s="49" t="str">
        <f aca="false">+VLOOKUP(O239,bio!$A$2:$B$4,2,FALSE())</f>
        <v>Bioeconomía extendida</v>
      </c>
    </row>
    <row r="240" customFormat="false" ht="15" hidden="false" customHeight="true" outlineLevel="0" collapsed="false">
      <c r="A240" s="0" t="s">
        <v>824</v>
      </c>
      <c r="B240" s="2" t="s">
        <v>337</v>
      </c>
      <c r="C240" s="19" t="str">
        <f aca="false">+VLOOKUP(B240,transacciones!$A$1:$I$39,2,FALSE())</f>
        <v>ATC01</v>
      </c>
      <c r="D240" s="19" t="str">
        <f aca="false">+VLOOKUP(B240,transacciones!$A$1:$I$39,3,FALSE())</f>
        <v>Producción / Consumo intermedio</v>
      </c>
      <c r="E240" s="19" t="str">
        <f aca="false">+VLOOKUP($B240,transacciones!$A$1:$I$39,4,FALSE())</f>
        <v>Producción</v>
      </c>
      <c r="F240" s="19" t="n">
        <f aca="false">+VLOOKUP(B240,transacciones!$A$2:$I$39,5,FALSE())</f>
        <v>1</v>
      </c>
      <c r="G240" s="19" t="str">
        <f aca="false">+VLOOKUP(B240,transacciones!$A$2:$I$39,6,FALSE())</f>
        <v>P1</v>
      </c>
      <c r="H240" s="37" t="str">
        <f aca="false">+VLOOKUP(B240,transacciones!$A$1:$I$39,7,FALSE())</f>
        <v>Producción</v>
      </c>
      <c r="I240" s="2" t="s">
        <v>559</v>
      </c>
      <c r="J240" s="25" t="s">
        <v>825</v>
      </c>
      <c r="K240" s="37" t="s">
        <v>372</v>
      </c>
      <c r="L240" s="37" t="str">
        <f aca="false">+VLOOKUP(K240,'Correl CIIU'!$A$1:$F$26,2,FALSE())</f>
        <v>Industrias manufactureras</v>
      </c>
      <c r="M240" s="37" t="str">
        <f aca="false">+VLOOKUP(K240,'Correl CIIU'!$A$1:$F$26,3,FALSE())</f>
        <v>Manufacturas</v>
      </c>
      <c r="N240" s="37" t="str">
        <f aca="false">+VLOOKUP(K240,'Correl CIIU'!$A$1:$F$26,4,FALSE())</f>
        <v>Manufacturing</v>
      </c>
      <c r="O240" s="37" t="n">
        <v>2</v>
      </c>
      <c r="P240" s="49" t="str">
        <f aca="false">+VLOOKUP(O240,bio!$A$2:$B$4,2,FALSE())</f>
        <v>Bioeconomía extendida</v>
      </c>
    </row>
    <row r="241" customFormat="false" ht="15" hidden="false" customHeight="true" outlineLevel="0" collapsed="false">
      <c r="A241" s="0" t="s">
        <v>826</v>
      </c>
      <c r="B241" s="2" t="s">
        <v>337</v>
      </c>
      <c r="C241" s="19" t="str">
        <f aca="false">+VLOOKUP(B241,transacciones!$A$1:$I$39,2,FALSE())</f>
        <v>ATC01</v>
      </c>
      <c r="D241" s="19" t="str">
        <f aca="false">+VLOOKUP(B241,transacciones!$A$1:$I$39,3,FALSE())</f>
        <v>Producción / Consumo intermedio</v>
      </c>
      <c r="E241" s="19" t="str">
        <f aca="false">+VLOOKUP($B241,transacciones!$A$1:$I$39,4,FALSE())</f>
        <v>Producción</v>
      </c>
      <c r="F241" s="19" t="n">
        <f aca="false">+VLOOKUP(B241,transacciones!$A$2:$I$39,5,FALSE())</f>
        <v>1</v>
      </c>
      <c r="G241" s="19" t="str">
        <f aca="false">+VLOOKUP(B241,transacciones!$A$2:$I$39,6,FALSE())</f>
        <v>P1</v>
      </c>
      <c r="H241" s="37" t="str">
        <f aca="false">+VLOOKUP(B241,transacciones!$A$1:$I$39,7,FALSE())</f>
        <v>Producción</v>
      </c>
      <c r="I241" s="2" t="s">
        <v>559</v>
      </c>
      <c r="J241" s="25" t="s">
        <v>827</v>
      </c>
      <c r="K241" s="37" t="s">
        <v>372</v>
      </c>
      <c r="L241" s="37" t="str">
        <f aca="false">+VLOOKUP(K241,'Correl CIIU'!$A$1:$F$26,2,FALSE())</f>
        <v>Industrias manufactureras</v>
      </c>
      <c r="M241" s="37" t="str">
        <f aca="false">+VLOOKUP(K241,'Correl CIIU'!$A$1:$F$26,3,FALSE())</f>
        <v>Manufacturas</v>
      </c>
      <c r="N241" s="37" t="str">
        <f aca="false">+VLOOKUP(K241,'Correl CIIU'!$A$1:$F$26,4,FALSE())</f>
        <v>Manufacturing</v>
      </c>
      <c r="O241" s="37" t="n">
        <v>2</v>
      </c>
      <c r="P241" s="49" t="str">
        <f aca="false">+VLOOKUP(O241,bio!$A$2:$B$4,2,FALSE())</f>
        <v>Bioeconomía extendida</v>
      </c>
    </row>
    <row r="242" customFormat="false" ht="15" hidden="false" customHeight="true" outlineLevel="0" collapsed="false">
      <c r="A242" s="0" t="s">
        <v>828</v>
      </c>
      <c r="B242" s="2" t="s">
        <v>337</v>
      </c>
      <c r="C242" s="19" t="str">
        <f aca="false">+VLOOKUP(B242,transacciones!$A$1:$I$39,2,FALSE())</f>
        <v>ATC01</v>
      </c>
      <c r="D242" s="19" t="str">
        <f aca="false">+VLOOKUP(B242,transacciones!$A$1:$I$39,3,FALSE())</f>
        <v>Producción / Consumo intermedio</v>
      </c>
      <c r="E242" s="19" t="str">
        <f aca="false">+VLOOKUP($B242,transacciones!$A$1:$I$39,4,FALSE())</f>
        <v>Producción</v>
      </c>
      <c r="F242" s="19" t="n">
        <f aca="false">+VLOOKUP(B242,transacciones!$A$2:$I$39,5,FALSE())</f>
        <v>1</v>
      </c>
      <c r="G242" s="19" t="str">
        <f aca="false">+VLOOKUP(B242,transacciones!$A$2:$I$39,6,FALSE())</f>
        <v>P1</v>
      </c>
      <c r="H242" s="37" t="str">
        <f aca="false">+VLOOKUP(B242,transacciones!$A$1:$I$39,7,FALSE())</f>
        <v>Producción</v>
      </c>
      <c r="I242" s="2" t="s">
        <v>559</v>
      </c>
      <c r="J242" s="25" t="s">
        <v>829</v>
      </c>
      <c r="K242" s="37" t="s">
        <v>372</v>
      </c>
      <c r="L242" s="37" t="str">
        <f aca="false">+VLOOKUP(K242,'Correl CIIU'!$A$1:$F$26,2,FALSE())</f>
        <v>Industrias manufactureras</v>
      </c>
      <c r="M242" s="37" t="str">
        <f aca="false">+VLOOKUP(K242,'Correl CIIU'!$A$1:$F$26,3,FALSE())</f>
        <v>Manufacturas</v>
      </c>
      <c r="N242" s="37" t="str">
        <f aca="false">+VLOOKUP(K242,'Correl CIIU'!$A$1:$F$26,4,FALSE())</f>
        <v>Manufacturing</v>
      </c>
      <c r="O242" s="37" t="n">
        <v>3</v>
      </c>
      <c r="P242" s="49" t="str">
        <f aca="false">+VLOOKUP(O242,bio!$A$2:$B$4,2,FALSE())</f>
        <v>No bioeconomía</v>
      </c>
    </row>
    <row r="243" customFormat="false" ht="15" hidden="false" customHeight="true" outlineLevel="0" collapsed="false">
      <c r="A243" s="0" t="s">
        <v>830</v>
      </c>
      <c r="B243" s="2" t="s">
        <v>337</v>
      </c>
      <c r="C243" s="19" t="str">
        <f aca="false">+VLOOKUP(B243,transacciones!$A$1:$I$39,2,FALSE())</f>
        <v>ATC01</v>
      </c>
      <c r="D243" s="19" t="str">
        <f aca="false">+VLOOKUP(B243,transacciones!$A$1:$I$39,3,FALSE())</f>
        <v>Producción / Consumo intermedio</v>
      </c>
      <c r="E243" s="19" t="str">
        <f aca="false">+VLOOKUP($B243,transacciones!$A$1:$I$39,4,FALSE())</f>
        <v>Producción</v>
      </c>
      <c r="F243" s="19" t="n">
        <f aca="false">+VLOOKUP(B243,transacciones!$A$2:$I$39,5,FALSE())</f>
        <v>1</v>
      </c>
      <c r="G243" s="19" t="str">
        <f aca="false">+VLOOKUP(B243,transacciones!$A$2:$I$39,6,FALSE())</f>
        <v>P1</v>
      </c>
      <c r="H243" s="37" t="str">
        <f aca="false">+VLOOKUP(B243,transacciones!$A$1:$I$39,7,FALSE())</f>
        <v>Producción</v>
      </c>
      <c r="I243" s="2" t="s">
        <v>559</v>
      </c>
      <c r="J243" s="25" t="s">
        <v>831</v>
      </c>
      <c r="K243" s="37" t="s">
        <v>372</v>
      </c>
      <c r="L243" s="37" t="str">
        <f aca="false">+VLOOKUP(K243,'Correl CIIU'!$A$1:$F$26,2,FALSE())</f>
        <v>Industrias manufactureras</v>
      </c>
      <c r="M243" s="37" t="str">
        <f aca="false">+VLOOKUP(K243,'Correl CIIU'!$A$1:$F$26,3,FALSE())</f>
        <v>Manufacturas</v>
      </c>
      <c r="N243" s="37" t="str">
        <f aca="false">+VLOOKUP(K243,'Correl CIIU'!$A$1:$F$26,4,FALSE())</f>
        <v>Manufacturing</v>
      </c>
      <c r="O243" s="37" t="n">
        <v>3</v>
      </c>
      <c r="P243" s="49" t="str">
        <f aca="false">+VLOOKUP(O243,bio!$A$2:$B$4,2,FALSE())</f>
        <v>No bioeconomía</v>
      </c>
    </row>
    <row r="244" customFormat="false" ht="15" hidden="false" customHeight="true" outlineLevel="0" collapsed="false">
      <c r="A244" s="0" t="s">
        <v>832</v>
      </c>
      <c r="B244" s="2" t="s">
        <v>337</v>
      </c>
      <c r="C244" s="19" t="str">
        <f aca="false">+VLOOKUP(B244,transacciones!$A$1:$I$39,2,FALSE())</f>
        <v>ATC01</v>
      </c>
      <c r="D244" s="19" t="str">
        <f aca="false">+VLOOKUP(B244,transacciones!$A$1:$I$39,3,FALSE())</f>
        <v>Producción / Consumo intermedio</v>
      </c>
      <c r="E244" s="19" t="str">
        <f aca="false">+VLOOKUP($B244,transacciones!$A$1:$I$39,4,FALSE())</f>
        <v>Producción</v>
      </c>
      <c r="F244" s="19" t="n">
        <f aca="false">+VLOOKUP(B244,transacciones!$A$2:$I$39,5,FALSE())</f>
        <v>1</v>
      </c>
      <c r="G244" s="19" t="str">
        <f aca="false">+VLOOKUP(B244,transacciones!$A$2:$I$39,6,FALSE())</f>
        <v>P1</v>
      </c>
      <c r="H244" s="37" t="str">
        <f aca="false">+VLOOKUP(B244,transacciones!$A$1:$I$39,7,FALSE())</f>
        <v>Producción</v>
      </c>
      <c r="I244" s="2" t="s">
        <v>559</v>
      </c>
      <c r="J244" s="25" t="s">
        <v>833</v>
      </c>
      <c r="K244" s="37" t="s">
        <v>372</v>
      </c>
      <c r="L244" s="37" t="str">
        <f aca="false">+VLOOKUP(K244,'Correl CIIU'!$A$1:$F$26,2,FALSE())</f>
        <v>Industrias manufactureras</v>
      </c>
      <c r="M244" s="37" t="str">
        <f aca="false">+VLOOKUP(K244,'Correl CIIU'!$A$1:$F$26,3,FALSE())</f>
        <v>Manufacturas</v>
      </c>
      <c r="N244" s="37" t="str">
        <f aca="false">+VLOOKUP(K244,'Correl CIIU'!$A$1:$F$26,4,FALSE())</f>
        <v>Manufacturing</v>
      </c>
      <c r="O244" s="37" t="n">
        <v>2</v>
      </c>
      <c r="P244" s="49" t="str">
        <f aca="false">+VLOOKUP(O244,bio!$A$2:$B$4,2,FALSE())</f>
        <v>Bioeconomía extendida</v>
      </c>
    </row>
    <row r="245" customFormat="false" ht="15" hidden="false" customHeight="true" outlineLevel="0" collapsed="false">
      <c r="A245" s="0" t="s">
        <v>834</v>
      </c>
      <c r="B245" s="2" t="s">
        <v>337</v>
      </c>
      <c r="C245" s="19" t="str">
        <f aca="false">+VLOOKUP(B245,transacciones!$A$1:$I$39,2,FALSE())</f>
        <v>ATC01</v>
      </c>
      <c r="D245" s="19" t="str">
        <f aca="false">+VLOOKUP(B245,transacciones!$A$1:$I$39,3,FALSE())</f>
        <v>Producción / Consumo intermedio</v>
      </c>
      <c r="E245" s="19" t="str">
        <f aca="false">+VLOOKUP($B245,transacciones!$A$1:$I$39,4,FALSE())</f>
        <v>Producción</v>
      </c>
      <c r="F245" s="19" t="n">
        <f aca="false">+VLOOKUP(B245,transacciones!$A$2:$I$39,5,FALSE())</f>
        <v>1</v>
      </c>
      <c r="G245" s="19" t="str">
        <f aca="false">+VLOOKUP(B245,transacciones!$A$2:$I$39,6,FALSE())</f>
        <v>P1</v>
      </c>
      <c r="H245" s="37" t="str">
        <f aca="false">+VLOOKUP(B245,transacciones!$A$1:$I$39,7,FALSE())</f>
        <v>Producción</v>
      </c>
      <c r="I245" s="2" t="s">
        <v>559</v>
      </c>
      <c r="J245" s="25" t="s">
        <v>835</v>
      </c>
      <c r="K245" s="37" t="s">
        <v>372</v>
      </c>
      <c r="L245" s="37" t="str">
        <f aca="false">+VLOOKUP(K245,'Correl CIIU'!$A$1:$F$26,2,FALSE())</f>
        <v>Industrias manufactureras</v>
      </c>
      <c r="M245" s="37" t="str">
        <f aca="false">+VLOOKUP(K245,'Correl CIIU'!$A$1:$F$26,3,FALSE())</f>
        <v>Manufacturas</v>
      </c>
      <c r="N245" s="37" t="str">
        <f aca="false">+VLOOKUP(K245,'Correl CIIU'!$A$1:$F$26,4,FALSE())</f>
        <v>Manufacturing</v>
      </c>
      <c r="O245" s="37" t="n">
        <v>3</v>
      </c>
      <c r="P245" s="49" t="str">
        <f aca="false">+VLOOKUP(O245,bio!$A$2:$B$4,2,FALSE())</f>
        <v>No bioeconomía</v>
      </c>
    </row>
    <row r="246" customFormat="false" ht="15" hidden="false" customHeight="true" outlineLevel="0" collapsed="false">
      <c r="A246" s="0" t="s">
        <v>836</v>
      </c>
      <c r="B246" s="2" t="s">
        <v>337</v>
      </c>
      <c r="C246" s="19" t="str">
        <f aca="false">+VLOOKUP(B246,transacciones!$A$1:$I$39,2,FALSE())</f>
        <v>ATC01</v>
      </c>
      <c r="D246" s="19" t="str">
        <f aca="false">+VLOOKUP(B246,transacciones!$A$1:$I$39,3,FALSE())</f>
        <v>Producción / Consumo intermedio</v>
      </c>
      <c r="E246" s="19" t="str">
        <f aca="false">+VLOOKUP($B246,transacciones!$A$1:$I$39,4,FALSE())</f>
        <v>Producción</v>
      </c>
      <c r="F246" s="19" t="n">
        <f aca="false">+VLOOKUP(B246,transacciones!$A$2:$I$39,5,FALSE())</f>
        <v>1</v>
      </c>
      <c r="G246" s="19" t="str">
        <f aca="false">+VLOOKUP(B246,transacciones!$A$2:$I$39,6,FALSE())</f>
        <v>P1</v>
      </c>
      <c r="H246" s="37" t="str">
        <f aca="false">+VLOOKUP(B246,transacciones!$A$1:$I$39,7,FALSE())</f>
        <v>Producción</v>
      </c>
      <c r="I246" s="2" t="s">
        <v>559</v>
      </c>
      <c r="J246" s="25" t="s">
        <v>837</v>
      </c>
      <c r="K246" s="37" t="s">
        <v>372</v>
      </c>
      <c r="L246" s="37" t="str">
        <f aca="false">+VLOOKUP(K246,'Correl CIIU'!$A$1:$F$26,2,FALSE())</f>
        <v>Industrias manufactureras</v>
      </c>
      <c r="M246" s="37" t="str">
        <f aca="false">+VLOOKUP(K246,'Correl CIIU'!$A$1:$F$26,3,FALSE())</f>
        <v>Manufacturas</v>
      </c>
      <c r="N246" s="37" t="str">
        <f aca="false">+VLOOKUP(K246,'Correl CIIU'!$A$1:$F$26,4,FALSE())</f>
        <v>Manufacturing</v>
      </c>
      <c r="O246" s="37" t="n">
        <v>3</v>
      </c>
      <c r="P246" s="49" t="str">
        <f aca="false">+VLOOKUP(O246,bio!$A$2:$B$4,2,FALSE())</f>
        <v>No bioeconomía</v>
      </c>
    </row>
    <row r="247" customFormat="false" ht="15" hidden="false" customHeight="true" outlineLevel="0" collapsed="false">
      <c r="A247" s="0" t="s">
        <v>838</v>
      </c>
      <c r="B247" s="2" t="s">
        <v>337</v>
      </c>
      <c r="C247" s="19" t="str">
        <f aca="false">+VLOOKUP(B247,transacciones!$A$1:$I$39,2,FALSE())</f>
        <v>ATC01</v>
      </c>
      <c r="D247" s="19" t="str">
        <f aca="false">+VLOOKUP(B247,transacciones!$A$1:$I$39,3,FALSE())</f>
        <v>Producción / Consumo intermedio</v>
      </c>
      <c r="E247" s="19" t="str">
        <f aca="false">+VLOOKUP($B247,transacciones!$A$1:$I$39,4,FALSE())</f>
        <v>Producción</v>
      </c>
      <c r="F247" s="19" t="n">
        <f aca="false">+VLOOKUP(B247,transacciones!$A$2:$I$39,5,FALSE())</f>
        <v>1</v>
      </c>
      <c r="G247" s="19" t="str">
        <f aca="false">+VLOOKUP(B247,transacciones!$A$2:$I$39,6,FALSE())</f>
        <v>P1</v>
      </c>
      <c r="H247" s="37" t="str">
        <f aca="false">+VLOOKUP(B247,transacciones!$A$1:$I$39,7,FALSE())</f>
        <v>Producción</v>
      </c>
      <c r="I247" s="2" t="s">
        <v>559</v>
      </c>
      <c r="J247" s="25" t="s">
        <v>839</v>
      </c>
      <c r="K247" s="37" t="s">
        <v>372</v>
      </c>
      <c r="L247" s="37" t="str">
        <f aca="false">+VLOOKUP(K247,'Correl CIIU'!$A$1:$F$26,2,FALSE())</f>
        <v>Industrias manufactureras</v>
      </c>
      <c r="M247" s="37" t="str">
        <f aca="false">+VLOOKUP(K247,'Correl CIIU'!$A$1:$F$26,3,FALSE())</f>
        <v>Manufacturas</v>
      </c>
      <c r="N247" s="37" t="str">
        <f aca="false">+VLOOKUP(K247,'Correl CIIU'!$A$1:$F$26,4,FALSE())</f>
        <v>Manufacturing</v>
      </c>
      <c r="O247" s="37" t="n">
        <v>3</v>
      </c>
      <c r="P247" s="49" t="str">
        <f aca="false">+VLOOKUP(O247,bio!$A$2:$B$4,2,FALSE())</f>
        <v>No bioeconomía</v>
      </c>
    </row>
    <row r="248" customFormat="false" ht="15" hidden="false" customHeight="true" outlineLevel="0" collapsed="false">
      <c r="A248" s="0" t="s">
        <v>840</v>
      </c>
      <c r="B248" s="2" t="s">
        <v>337</v>
      </c>
      <c r="C248" s="19" t="str">
        <f aca="false">+VLOOKUP(B248,transacciones!$A$1:$I$39,2,FALSE())</f>
        <v>ATC01</v>
      </c>
      <c r="D248" s="19" t="str">
        <f aca="false">+VLOOKUP(B248,transacciones!$A$1:$I$39,3,FALSE())</f>
        <v>Producción / Consumo intermedio</v>
      </c>
      <c r="E248" s="19" t="str">
        <f aca="false">+VLOOKUP($B248,transacciones!$A$1:$I$39,4,FALSE())</f>
        <v>Producción</v>
      </c>
      <c r="F248" s="19" t="n">
        <f aca="false">+VLOOKUP(B248,transacciones!$A$2:$I$39,5,FALSE())</f>
        <v>1</v>
      </c>
      <c r="G248" s="19" t="str">
        <f aca="false">+VLOOKUP(B248,transacciones!$A$2:$I$39,6,FALSE())</f>
        <v>P1</v>
      </c>
      <c r="H248" s="37" t="str">
        <f aca="false">+VLOOKUP(B248,transacciones!$A$1:$I$39,7,FALSE())</f>
        <v>Producción</v>
      </c>
      <c r="I248" s="2" t="s">
        <v>559</v>
      </c>
      <c r="J248" s="25" t="s">
        <v>841</v>
      </c>
      <c r="K248" s="37" t="s">
        <v>372</v>
      </c>
      <c r="L248" s="37" t="str">
        <f aca="false">+VLOOKUP(K248,'Correl CIIU'!$A$1:$F$26,2,FALSE())</f>
        <v>Industrias manufactureras</v>
      </c>
      <c r="M248" s="37" t="str">
        <f aca="false">+VLOOKUP(K248,'Correl CIIU'!$A$1:$F$26,3,FALSE())</f>
        <v>Manufacturas</v>
      </c>
      <c r="N248" s="37" t="str">
        <f aca="false">+VLOOKUP(K248,'Correl CIIU'!$A$1:$F$26,4,FALSE())</f>
        <v>Manufacturing</v>
      </c>
      <c r="O248" s="37" t="n">
        <v>3</v>
      </c>
      <c r="P248" s="49" t="str">
        <f aca="false">+VLOOKUP(O248,bio!$A$2:$B$4,2,FALSE())</f>
        <v>No bioeconomía</v>
      </c>
    </row>
    <row r="249" customFormat="false" ht="15" hidden="false" customHeight="true" outlineLevel="0" collapsed="false">
      <c r="A249" s="0" t="s">
        <v>842</v>
      </c>
      <c r="B249" s="2" t="s">
        <v>337</v>
      </c>
      <c r="C249" s="19" t="str">
        <f aca="false">+VLOOKUP(B249,transacciones!$A$1:$I$39,2,FALSE())</f>
        <v>ATC01</v>
      </c>
      <c r="D249" s="19" t="str">
        <f aca="false">+VLOOKUP(B249,transacciones!$A$1:$I$39,3,FALSE())</f>
        <v>Producción / Consumo intermedio</v>
      </c>
      <c r="E249" s="19" t="str">
        <f aca="false">+VLOOKUP($B249,transacciones!$A$1:$I$39,4,FALSE())</f>
        <v>Producción</v>
      </c>
      <c r="F249" s="19" t="n">
        <f aca="false">+VLOOKUP(B249,transacciones!$A$2:$I$39,5,FALSE())</f>
        <v>1</v>
      </c>
      <c r="G249" s="19" t="str">
        <f aca="false">+VLOOKUP(B249,transacciones!$A$2:$I$39,6,FALSE())</f>
        <v>P1</v>
      </c>
      <c r="H249" s="37" t="str">
        <f aca="false">+VLOOKUP(B249,transacciones!$A$1:$I$39,7,FALSE())</f>
        <v>Producción</v>
      </c>
      <c r="I249" s="2" t="s">
        <v>559</v>
      </c>
      <c r="J249" s="25" t="s">
        <v>843</v>
      </c>
      <c r="K249" s="37" t="s">
        <v>372</v>
      </c>
      <c r="L249" s="37" t="str">
        <f aca="false">+VLOOKUP(K249,'Correl CIIU'!$A$1:$F$26,2,FALSE())</f>
        <v>Industrias manufactureras</v>
      </c>
      <c r="M249" s="37" t="str">
        <f aca="false">+VLOOKUP(K249,'Correl CIIU'!$A$1:$F$26,3,FALSE())</f>
        <v>Manufacturas</v>
      </c>
      <c r="N249" s="37" t="str">
        <f aca="false">+VLOOKUP(K249,'Correl CIIU'!$A$1:$F$26,4,FALSE())</f>
        <v>Manufacturing</v>
      </c>
      <c r="O249" s="37" t="n">
        <v>3</v>
      </c>
      <c r="P249" s="49" t="str">
        <f aca="false">+VLOOKUP(O249,bio!$A$2:$B$4,2,FALSE())</f>
        <v>No bioeconomía</v>
      </c>
    </row>
    <row r="250" customFormat="false" ht="15" hidden="false" customHeight="true" outlineLevel="0" collapsed="false">
      <c r="A250" s="0" t="s">
        <v>844</v>
      </c>
      <c r="B250" s="2" t="s">
        <v>337</v>
      </c>
      <c r="C250" s="19" t="str">
        <f aca="false">+VLOOKUP(B250,transacciones!$A$1:$I$39,2,FALSE())</f>
        <v>ATC01</v>
      </c>
      <c r="D250" s="19" t="str">
        <f aca="false">+VLOOKUP(B250,transacciones!$A$1:$I$39,3,FALSE())</f>
        <v>Producción / Consumo intermedio</v>
      </c>
      <c r="E250" s="19" t="str">
        <f aca="false">+VLOOKUP($B250,transacciones!$A$1:$I$39,4,FALSE())</f>
        <v>Producción</v>
      </c>
      <c r="F250" s="19" t="n">
        <f aca="false">+VLOOKUP(B250,transacciones!$A$2:$I$39,5,FALSE())</f>
        <v>1</v>
      </c>
      <c r="G250" s="19" t="str">
        <f aca="false">+VLOOKUP(B250,transacciones!$A$2:$I$39,6,FALSE())</f>
        <v>P1</v>
      </c>
      <c r="H250" s="37" t="str">
        <f aca="false">+VLOOKUP(B250,transacciones!$A$1:$I$39,7,FALSE())</f>
        <v>Producción</v>
      </c>
      <c r="I250" s="2" t="s">
        <v>559</v>
      </c>
      <c r="J250" s="25" t="s">
        <v>845</v>
      </c>
      <c r="K250" s="37" t="s">
        <v>372</v>
      </c>
      <c r="L250" s="37" t="str">
        <f aca="false">+VLOOKUP(K250,'Correl CIIU'!$A$1:$F$26,2,FALSE())</f>
        <v>Industrias manufactureras</v>
      </c>
      <c r="M250" s="37" t="str">
        <f aca="false">+VLOOKUP(K250,'Correl CIIU'!$A$1:$F$26,3,FALSE())</f>
        <v>Manufacturas</v>
      </c>
      <c r="N250" s="37" t="str">
        <f aca="false">+VLOOKUP(K250,'Correl CIIU'!$A$1:$F$26,4,FALSE())</f>
        <v>Manufacturing</v>
      </c>
      <c r="O250" s="37" t="n">
        <v>3</v>
      </c>
      <c r="P250" s="49" t="str">
        <f aca="false">+VLOOKUP(O250,bio!$A$2:$B$4,2,FALSE())</f>
        <v>No bioeconomía</v>
      </c>
    </row>
    <row r="251" customFormat="false" ht="15" hidden="false" customHeight="true" outlineLevel="0" collapsed="false">
      <c r="A251" s="0" t="s">
        <v>846</v>
      </c>
      <c r="B251" s="2" t="s">
        <v>337</v>
      </c>
      <c r="C251" s="19" t="str">
        <f aca="false">+VLOOKUP(B251,transacciones!$A$1:$I$39,2,FALSE())</f>
        <v>ATC01</v>
      </c>
      <c r="D251" s="19" t="str">
        <f aca="false">+VLOOKUP(B251,transacciones!$A$1:$I$39,3,FALSE())</f>
        <v>Producción / Consumo intermedio</v>
      </c>
      <c r="E251" s="19" t="str">
        <f aca="false">+VLOOKUP($B251,transacciones!$A$1:$I$39,4,FALSE())</f>
        <v>Producción</v>
      </c>
      <c r="F251" s="19" t="n">
        <f aca="false">+VLOOKUP(B251,transacciones!$A$2:$I$39,5,FALSE())</f>
        <v>1</v>
      </c>
      <c r="G251" s="19" t="str">
        <f aca="false">+VLOOKUP(B251,transacciones!$A$2:$I$39,6,FALSE())</f>
        <v>P1</v>
      </c>
      <c r="H251" s="37" t="str">
        <f aca="false">+VLOOKUP(B251,transacciones!$A$1:$I$39,7,FALSE())</f>
        <v>Producción</v>
      </c>
      <c r="I251" s="2" t="s">
        <v>559</v>
      </c>
      <c r="J251" s="25" t="s">
        <v>847</v>
      </c>
      <c r="K251" s="37" t="s">
        <v>372</v>
      </c>
      <c r="L251" s="37" t="str">
        <f aca="false">+VLOOKUP(K251,'Correl CIIU'!$A$1:$F$26,2,FALSE())</f>
        <v>Industrias manufactureras</v>
      </c>
      <c r="M251" s="37" t="str">
        <f aca="false">+VLOOKUP(K251,'Correl CIIU'!$A$1:$F$26,3,FALSE())</f>
        <v>Manufacturas</v>
      </c>
      <c r="N251" s="37" t="str">
        <f aca="false">+VLOOKUP(K251,'Correl CIIU'!$A$1:$F$26,4,FALSE())</f>
        <v>Manufacturing</v>
      </c>
      <c r="O251" s="37" t="n">
        <v>3</v>
      </c>
      <c r="P251" s="49" t="str">
        <f aca="false">+VLOOKUP(O251,bio!$A$2:$B$4,2,FALSE())</f>
        <v>No bioeconomía</v>
      </c>
    </row>
    <row r="252" customFormat="false" ht="15" hidden="false" customHeight="true" outlineLevel="0" collapsed="false">
      <c r="A252" s="0" t="s">
        <v>848</v>
      </c>
      <c r="B252" s="2" t="s">
        <v>337</v>
      </c>
      <c r="C252" s="19" t="str">
        <f aca="false">+VLOOKUP(B252,transacciones!$A$1:$I$39,2,FALSE())</f>
        <v>ATC01</v>
      </c>
      <c r="D252" s="19" t="str">
        <f aca="false">+VLOOKUP(B252,transacciones!$A$1:$I$39,3,FALSE())</f>
        <v>Producción / Consumo intermedio</v>
      </c>
      <c r="E252" s="19" t="str">
        <f aca="false">+VLOOKUP($B252,transacciones!$A$1:$I$39,4,FALSE())</f>
        <v>Producción</v>
      </c>
      <c r="F252" s="19" t="n">
        <f aca="false">+VLOOKUP(B252,transacciones!$A$2:$I$39,5,FALSE())</f>
        <v>1</v>
      </c>
      <c r="G252" s="19" t="str">
        <f aca="false">+VLOOKUP(B252,transacciones!$A$2:$I$39,6,FALSE())</f>
        <v>P1</v>
      </c>
      <c r="H252" s="37" t="str">
        <f aca="false">+VLOOKUP(B252,transacciones!$A$1:$I$39,7,FALSE())</f>
        <v>Producción</v>
      </c>
      <c r="I252" s="2" t="s">
        <v>559</v>
      </c>
      <c r="J252" s="25" t="s">
        <v>849</v>
      </c>
      <c r="K252" s="37" t="s">
        <v>372</v>
      </c>
      <c r="L252" s="37" t="str">
        <f aca="false">+VLOOKUP(K252,'Correl CIIU'!$A$1:$F$26,2,FALSE())</f>
        <v>Industrias manufactureras</v>
      </c>
      <c r="M252" s="37" t="str">
        <f aca="false">+VLOOKUP(K252,'Correl CIIU'!$A$1:$F$26,3,FALSE())</f>
        <v>Manufacturas</v>
      </c>
      <c r="N252" s="37" t="str">
        <f aca="false">+VLOOKUP(K252,'Correl CIIU'!$A$1:$F$26,4,FALSE())</f>
        <v>Manufacturing</v>
      </c>
      <c r="O252" s="37" t="n">
        <v>3</v>
      </c>
      <c r="P252" s="49" t="str">
        <f aca="false">+VLOOKUP(O252,bio!$A$2:$B$4,2,FALSE())</f>
        <v>No bioeconomía</v>
      </c>
    </row>
    <row r="253" customFormat="false" ht="15" hidden="false" customHeight="true" outlineLevel="0" collapsed="false">
      <c r="A253" s="0" t="s">
        <v>850</v>
      </c>
      <c r="B253" s="2" t="s">
        <v>337</v>
      </c>
      <c r="C253" s="19" t="str">
        <f aca="false">+VLOOKUP(B253,transacciones!$A$1:$I$39,2,FALSE())</f>
        <v>ATC01</v>
      </c>
      <c r="D253" s="19" t="str">
        <f aca="false">+VLOOKUP(B253,transacciones!$A$1:$I$39,3,FALSE())</f>
        <v>Producción / Consumo intermedio</v>
      </c>
      <c r="E253" s="19" t="str">
        <f aca="false">+VLOOKUP($B253,transacciones!$A$1:$I$39,4,FALSE())</f>
        <v>Producción</v>
      </c>
      <c r="F253" s="19" t="n">
        <f aca="false">+VLOOKUP(B253,transacciones!$A$2:$I$39,5,FALSE())</f>
        <v>1</v>
      </c>
      <c r="G253" s="19" t="str">
        <f aca="false">+VLOOKUP(B253,transacciones!$A$2:$I$39,6,FALSE())</f>
        <v>P1</v>
      </c>
      <c r="H253" s="37" t="str">
        <f aca="false">+VLOOKUP(B253,transacciones!$A$1:$I$39,7,FALSE())</f>
        <v>Producción</v>
      </c>
      <c r="I253" s="2" t="s">
        <v>559</v>
      </c>
      <c r="J253" s="25" t="s">
        <v>851</v>
      </c>
      <c r="K253" s="37" t="s">
        <v>445</v>
      </c>
      <c r="L253" s="37" t="str">
        <f aca="false">+VLOOKUP(K253,'Correl CIIU'!$A$1:$F$26,2,FALSE())</f>
        <v>Suministro de electricidad, gas, vapor y aire acondicionado</v>
      </c>
      <c r="M253" s="37" t="str">
        <f aca="false">+VLOOKUP(K253,'Correl CIIU'!$A$1:$F$26,3,FALSE())</f>
        <v>Servicios básicos</v>
      </c>
      <c r="N253" s="37" t="str">
        <f aca="false">+VLOOKUP(K253,'Correl CIIU'!$A$1:$F$26,4,FALSE())</f>
        <v>Electricity, gas, steam and air conditioning supply</v>
      </c>
      <c r="O253" s="37" t="n">
        <v>3</v>
      </c>
      <c r="P253" s="49" t="str">
        <f aca="false">+VLOOKUP(O253,bio!$A$2:$B$4,2,FALSE())</f>
        <v>No bioeconomía</v>
      </c>
    </row>
    <row r="254" customFormat="false" ht="15" hidden="false" customHeight="true" outlineLevel="0" collapsed="false">
      <c r="A254" s="0" t="s">
        <v>852</v>
      </c>
      <c r="B254" s="2" t="s">
        <v>337</v>
      </c>
      <c r="C254" s="19" t="str">
        <f aca="false">+VLOOKUP(B254,transacciones!$A$1:$I$39,2,FALSE())</f>
        <v>ATC01</v>
      </c>
      <c r="D254" s="19" t="str">
        <f aca="false">+VLOOKUP(B254,transacciones!$A$1:$I$39,3,FALSE())</f>
        <v>Producción / Consumo intermedio</v>
      </c>
      <c r="E254" s="19" t="str">
        <f aca="false">+VLOOKUP($B254,transacciones!$A$1:$I$39,4,FALSE())</f>
        <v>Producción</v>
      </c>
      <c r="F254" s="19" t="n">
        <f aca="false">+VLOOKUP(B254,transacciones!$A$2:$I$39,5,FALSE())</f>
        <v>1</v>
      </c>
      <c r="G254" s="19" t="str">
        <f aca="false">+VLOOKUP(B254,transacciones!$A$2:$I$39,6,FALSE())</f>
        <v>P1</v>
      </c>
      <c r="H254" s="37" t="str">
        <f aca="false">+VLOOKUP(B254,transacciones!$A$1:$I$39,7,FALSE())</f>
        <v>Producción</v>
      </c>
      <c r="I254" s="2" t="s">
        <v>559</v>
      </c>
      <c r="J254" s="25" t="s">
        <v>853</v>
      </c>
      <c r="K254" s="37" t="s">
        <v>445</v>
      </c>
      <c r="L254" s="37" t="str">
        <f aca="false">+VLOOKUP(K254,'Correl CIIU'!$A$1:$F$26,2,FALSE())</f>
        <v>Suministro de electricidad, gas, vapor y aire acondicionado</v>
      </c>
      <c r="M254" s="37" t="str">
        <f aca="false">+VLOOKUP(K254,'Correl CIIU'!$A$1:$F$26,3,FALSE())</f>
        <v>Servicios básicos</v>
      </c>
      <c r="N254" s="37" t="str">
        <f aca="false">+VLOOKUP(K254,'Correl CIIU'!$A$1:$F$26,4,FALSE())</f>
        <v>Electricity, gas, steam and air conditioning supply</v>
      </c>
      <c r="O254" s="37" t="n">
        <v>3</v>
      </c>
      <c r="P254" s="49" t="str">
        <f aca="false">+VLOOKUP(O254,bio!$A$2:$B$4,2,FALSE())</f>
        <v>No bioeconomía</v>
      </c>
    </row>
    <row r="255" customFormat="false" ht="15" hidden="false" customHeight="true" outlineLevel="0" collapsed="false">
      <c r="A255" s="0" t="s">
        <v>854</v>
      </c>
      <c r="B255" s="2" t="s">
        <v>337</v>
      </c>
      <c r="C255" s="19" t="str">
        <f aca="false">+VLOOKUP(B255,transacciones!$A$1:$I$39,2,FALSE())</f>
        <v>ATC01</v>
      </c>
      <c r="D255" s="19" t="str">
        <f aca="false">+VLOOKUP(B255,transacciones!$A$1:$I$39,3,FALSE())</f>
        <v>Producción / Consumo intermedio</v>
      </c>
      <c r="E255" s="19" t="str">
        <f aca="false">+VLOOKUP($B255,transacciones!$A$1:$I$39,4,FALSE())</f>
        <v>Producción</v>
      </c>
      <c r="F255" s="19" t="n">
        <f aca="false">+VLOOKUP(B255,transacciones!$A$2:$I$39,5,FALSE())</f>
        <v>1</v>
      </c>
      <c r="G255" s="19" t="str">
        <f aca="false">+VLOOKUP(B255,transacciones!$A$2:$I$39,6,FALSE())</f>
        <v>P1</v>
      </c>
      <c r="H255" s="37" t="str">
        <f aca="false">+VLOOKUP(B255,transacciones!$A$1:$I$39,7,FALSE())</f>
        <v>Producción</v>
      </c>
      <c r="I255" s="2" t="s">
        <v>559</v>
      </c>
      <c r="J255" s="25" t="s">
        <v>855</v>
      </c>
      <c r="K255" s="37" t="s">
        <v>452</v>
      </c>
      <c r="L255" s="37" t="str">
        <f aca="false">+VLOOKUP(K255,'Correl CIIU'!$A$1:$F$26,2,FALSE())</f>
        <v>Suministro de agua; evacuación de aguas residuales, gestión de desechos y descontaminación</v>
      </c>
      <c r="M255" s="37" t="str">
        <f aca="false">+VLOOKUP(K255,'Correl CIIU'!$A$1:$F$26,3,FALSE())</f>
        <v>Suministro de agua</v>
      </c>
      <c r="N255" s="37" t="str">
        <f aca="false">+VLOOKUP(K255,'Correl CIIU'!$A$1:$F$26,4,FALSE())</f>
        <v>Water supply; sewerage, waste management and remediation activities</v>
      </c>
      <c r="O255" s="37" t="n">
        <v>3</v>
      </c>
      <c r="P255" s="49" t="str">
        <f aca="false">+VLOOKUP(O255,bio!$A$2:$B$4,2,FALSE())</f>
        <v>No bioeconomía</v>
      </c>
    </row>
    <row r="256" customFormat="false" ht="15" hidden="false" customHeight="true" outlineLevel="0" collapsed="false">
      <c r="A256" s="0" t="s">
        <v>856</v>
      </c>
      <c r="B256" s="2" t="s">
        <v>337</v>
      </c>
      <c r="C256" s="19" t="str">
        <f aca="false">+VLOOKUP(B256,transacciones!$A$1:$I$39,2,FALSE())</f>
        <v>ATC01</v>
      </c>
      <c r="D256" s="19" t="str">
        <f aca="false">+VLOOKUP(B256,transacciones!$A$1:$I$39,3,FALSE())</f>
        <v>Producción / Consumo intermedio</v>
      </c>
      <c r="E256" s="19" t="str">
        <f aca="false">+VLOOKUP($B256,transacciones!$A$1:$I$39,4,FALSE())</f>
        <v>Producción</v>
      </c>
      <c r="F256" s="19" t="n">
        <f aca="false">+VLOOKUP(B256,transacciones!$A$2:$I$39,5,FALSE())</f>
        <v>1</v>
      </c>
      <c r="G256" s="19" t="str">
        <f aca="false">+VLOOKUP(B256,transacciones!$A$2:$I$39,6,FALSE())</f>
        <v>P1</v>
      </c>
      <c r="H256" s="37" t="str">
        <f aca="false">+VLOOKUP(B256,transacciones!$A$1:$I$39,7,FALSE())</f>
        <v>Producción</v>
      </c>
      <c r="I256" s="2" t="s">
        <v>559</v>
      </c>
      <c r="J256" s="25" t="s">
        <v>857</v>
      </c>
      <c r="K256" s="37" t="s">
        <v>452</v>
      </c>
      <c r="L256" s="37" t="str">
        <f aca="false">+VLOOKUP(K256,'Correl CIIU'!$A$1:$F$26,2,FALSE())</f>
        <v>Suministro de agua; evacuación de aguas residuales, gestión de desechos y descontaminación</v>
      </c>
      <c r="M256" s="37" t="str">
        <f aca="false">+VLOOKUP(K256,'Correl CIIU'!$A$1:$F$26,3,FALSE())</f>
        <v>Suministro de agua</v>
      </c>
      <c r="N256" s="37" t="str">
        <f aca="false">+VLOOKUP(K256,'Correl CIIU'!$A$1:$F$26,4,FALSE())</f>
        <v>Water supply; sewerage, waste management and remediation activities</v>
      </c>
      <c r="O256" s="37" t="n">
        <v>3</v>
      </c>
      <c r="P256" s="49" t="str">
        <f aca="false">+VLOOKUP(O256,bio!$A$2:$B$4,2,FALSE())</f>
        <v>No bioeconomía</v>
      </c>
    </row>
    <row r="257" customFormat="false" ht="15" hidden="false" customHeight="true" outlineLevel="0" collapsed="false">
      <c r="A257" s="0" t="s">
        <v>858</v>
      </c>
      <c r="B257" s="2" t="s">
        <v>337</v>
      </c>
      <c r="C257" s="19" t="str">
        <f aca="false">+VLOOKUP(B257,transacciones!$A$1:$I$39,2,FALSE())</f>
        <v>ATC01</v>
      </c>
      <c r="D257" s="19" t="str">
        <f aca="false">+VLOOKUP(B257,transacciones!$A$1:$I$39,3,FALSE())</f>
        <v>Producción / Consumo intermedio</v>
      </c>
      <c r="E257" s="19" t="str">
        <f aca="false">+VLOOKUP($B257,transacciones!$A$1:$I$39,4,FALSE())</f>
        <v>Producción</v>
      </c>
      <c r="F257" s="19" t="n">
        <f aca="false">+VLOOKUP(B257,transacciones!$A$2:$I$39,5,FALSE())</f>
        <v>1</v>
      </c>
      <c r="G257" s="19" t="str">
        <f aca="false">+VLOOKUP(B257,transacciones!$A$2:$I$39,6,FALSE())</f>
        <v>P1</v>
      </c>
      <c r="H257" s="37" t="str">
        <f aca="false">+VLOOKUP(B257,transacciones!$A$1:$I$39,7,FALSE())</f>
        <v>Producción</v>
      </c>
      <c r="I257" s="2" t="s">
        <v>559</v>
      </c>
      <c r="J257" s="25" t="s">
        <v>859</v>
      </c>
      <c r="K257" s="37" t="s">
        <v>452</v>
      </c>
      <c r="L257" s="37" t="str">
        <f aca="false">+VLOOKUP(K257,'Correl CIIU'!$A$1:$F$26,2,FALSE())</f>
        <v>Suministro de agua; evacuación de aguas residuales, gestión de desechos y descontaminación</v>
      </c>
      <c r="M257" s="37" t="str">
        <f aca="false">+VLOOKUP(K257,'Correl CIIU'!$A$1:$F$26,3,FALSE())</f>
        <v>Suministro de agua</v>
      </c>
      <c r="N257" s="37" t="str">
        <f aca="false">+VLOOKUP(K257,'Correl CIIU'!$A$1:$F$26,4,FALSE())</f>
        <v>Water supply; sewerage, waste management and remediation activities</v>
      </c>
      <c r="O257" s="37" t="n">
        <v>3</v>
      </c>
      <c r="P257" s="49" t="str">
        <f aca="false">+VLOOKUP(O257,bio!$A$2:$B$4,2,FALSE())</f>
        <v>No bioeconomía</v>
      </c>
    </row>
    <row r="258" customFormat="false" ht="15" hidden="false" customHeight="true" outlineLevel="0" collapsed="false">
      <c r="A258" s="0" t="s">
        <v>860</v>
      </c>
      <c r="B258" s="2" t="s">
        <v>337</v>
      </c>
      <c r="C258" s="19" t="str">
        <f aca="false">+VLOOKUP(B258,transacciones!$A$1:$I$39,2,FALSE())</f>
        <v>ATC01</v>
      </c>
      <c r="D258" s="19" t="str">
        <f aca="false">+VLOOKUP(B258,transacciones!$A$1:$I$39,3,FALSE())</f>
        <v>Producción / Consumo intermedio</v>
      </c>
      <c r="E258" s="19" t="str">
        <f aca="false">+VLOOKUP($B258,transacciones!$A$1:$I$39,4,FALSE())</f>
        <v>Producción</v>
      </c>
      <c r="F258" s="19" t="n">
        <f aca="false">+VLOOKUP(B258,transacciones!$A$2:$I$39,5,FALSE())</f>
        <v>1</v>
      </c>
      <c r="G258" s="19" t="str">
        <f aca="false">+VLOOKUP(B258,transacciones!$A$2:$I$39,6,FALSE())</f>
        <v>P1</v>
      </c>
      <c r="H258" s="37" t="str">
        <f aca="false">+VLOOKUP(B258,transacciones!$A$1:$I$39,7,FALSE())</f>
        <v>Producción</v>
      </c>
      <c r="I258" s="2" t="s">
        <v>559</v>
      </c>
      <c r="J258" s="25" t="s">
        <v>861</v>
      </c>
      <c r="K258" s="37" t="s">
        <v>462</v>
      </c>
      <c r="L258" s="37" t="str">
        <f aca="false">+VLOOKUP(K258,'Correl CIIU'!$A$1:$F$26,2,FALSE())</f>
        <v>Construcción</v>
      </c>
      <c r="M258" s="37" t="str">
        <f aca="false">+VLOOKUP(K258,'Correl CIIU'!$A$1:$F$26,3,FALSE())</f>
        <v>Construcción</v>
      </c>
      <c r="N258" s="37" t="str">
        <f aca="false">+VLOOKUP(K258,'Correl CIIU'!$A$1:$F$26,4,FALSE())</f>
        <v>Construction</v>
      </c>
      <c r="O258" s="37" t="n">
        <v>3</v>
      </c>
      <c r="P258" s="49" t="str">
        <f aca="false">+VLOOKUP(O258,bio!$A$2:$B$4,2,FALSE())</f>
        <v>No bioeconomía</v>
      </c>
    </row>
    <row r="259" customFormat="false" ht="15" hidden="false" customHeight="true" outlineLevel="0" collapsed="false">
      <c r="A259" s="0" t="s">
        <v>862</v>
      </c>
      <c r="B259" s="2" t="s">
        <v>337</v>
      </c>
      <c r="C259" s="19" t="str">
        <f aca="false">+VLOOKUP(B259,transacciones!$A$1:$I$39,2,FALSE())</f>
        <v>ATC01</v>
      </c>
      <c r="D259" s="19" t="str">
        <f aca="false">+VLOOKUP(B259,transacciones!$A$1:$I$39,3,FALSE())</f>
        <v>Producción / Consumo intermedio</v>
      </c>
      <c r="E259" s="19" t="str">
        <f aca="false">+VLOOKUP($B259,transacciones!$A$1:$I$39,4,FALSE())</f>
        <v>Producción</v>
      </c>
      <c r="F259" s="19" t="n">
        <f aca="false">+VLOOKUP(B259,transacciones!$A$2:$I$39,5,FALSE())</f>
        <v>1</v>
      </c>
      <c r="G259" s="19" t="str">
        <f aca="false">+VLOOKUP(B259,transacciones!$A$2:$I$39,6,FALSE())</f>
        <v>P1</v>
      </c>
      <c r="H259" s="37" t="str">
        <f aca="false">+VLOOKUP(B259,transacciones!$A$1:$I$39,7,FALSE())</f>
        <v>Producción</v>
      </c>
      <c r="I259" s="2" t="s">
        <v>559</v>
      </c>
      <c r="J259" s="25" t="s">
        <v>863</v>
      </c>
      <c r="K259" s="37" t="s">
        <v>462</v>
      </c>
      <c r="L259" s="37" t="str">
        <f aca="false">+VLOOKUP(K259,'Correl CIIU'!$A$1:$F$26,2,FALSE())</f>
        <v>Construcción</v>
      </c>
      <c r="M259" s="37" t="str">
        <f aca="false">+VLOOKUP(K259,'Correl CIIU'!$A$1:$F$26,3,FALSE())</f>
        <v>Construcción</v>
      </c>
      <c r="N259" s="37" t="str">
        <f aca="false">+VLOOKUP(K259,'Correl CIIU'!$A$1:$F$26,4,FALSE())</f>
        <v>Construction</v>
      </c>
      <c r="O259" s="37" t="n">
        <v>3</v>
      </c>
      <c r="P259" s="49" t="str">
        <f aca="false">+VLOOKUP(O259,bio!$A$2:$B$4,2,FALSE())</f>
        <v>No bioeconomía</v>
      </c>
    </row>
    <row r="260" customFormat="false" ht="15" hidden="false" customHeight="true" outlineLevel="0" collapsed="false">
      <c r="A260" s="0" t="s">
        <v>864</v>
      </c>
      <c r="B260" s="2" t="s">
        <v>337</v>
      </c>
      <c r="C260" s="19" t="str">
        <f aca="false">+VLOOKUP(B260,transacciones!$A$1:$I$39,2,FALSE())</f>
        <v>ATC01</v>
      </c>
      <c r="D260" s="19" t="str">
        <f aca="false">+VLOOKUP(B260,transacciones!$A$1:$I$39,3,FALSE())</f>
        <v>Producción / Consumo intermedio</v>
      </c>
      <c r="E260" s="19" t="str">
        <f aca="false">+VLOOKUP($B260,transacciones!$A$1:$I$39,4,FALSE())</f>
        <v>Producción</v>
      </c>
      <c r="F260" s="19" t="n">
        <f aca="false">+VLOOKUP(B260,transacciones!$A$2:$I$39,5,FALSE())</f>
        <v>1</v>
      </c>
      <c r="G260" s="19" t="str">
        <f aca="false">+VLOOKUP(B260,transacciones!$A$2:$I$39,6,FALSE())</f>
        <v>P1</v>
      </c>
      <c r="H260" s="37" t="str">
        <f aca="false">+VLOOKUP(B260,transacciones!$A$1:$I$39,7,FALSE())</f>
        <v>Producción</v>
      </c>
      <c r="I260" s="2" t="s">
        <v>559</v>
      </c>
      <c r="J260" s="25" t="s">
        <v>865</v>
      </c>
      <c r="K260" s="37" t="s">
        <v>462</v>
      </c>
      <c r="L260" s="37" t="str">
        <f aca="false">+VLOOKUP(K260,'Correl CIIU'!$A$1:$F$26,2,FALSE())</f>
        <v>Construcción</v>
      </c>
      <c r="M260" s="37" t="str">
        <f aca="false">+VLOOKUP(K260,'Correl CIIU'!$A$1:$F$26,3,FALSE())</f>
        <v>Construcción</v>
      </c>
      <c r="N260" s="37" t="str">
        <f aca="false">+VLOOKUP(K260,'Correl CIIU'!$A$1:$F$26,4,FALSE())</f>
        <v>Construction</v>
      </c>
      <c r="O260" s="37" t="n">
        <v>3</v>
      </c>
      <c r="P260" s="49" t="str">
        <f aca="false">+VLOOKUP(O260,bio!$A$2:$B$4,2,FALSE())</f>
        <v>No bioeconomía</v>
      </c>
    </row>
    <row r="261" customFormat="false" ht="15" hidden="false" customHeight="true" outlineLevel="0" collapsed="false">
      <c r="A261" s="0" t="s">
        <v>866</v>
      </c>
      <c r="B261" s="2" t="s">
        <v>337</v>
      </c>
      <c r="C261" s="19" t="str">
        <f aca="false">+VLOOKUP(B261,transacciones!$A$1:$I$39,2,FALSE())</f>
        <v>ATC01</v>
      </c>
      <c r="D261" s="19" t="str">
        <f aca="false">+VLOOKUP(B261,transacciones!$A$1:$I$39,3,FALSE())</f>
        <v>Producción / Consumo intermedio</v>
      </c>
      <c r="E261" s="19" t="str">
        <f aca="false">+VLOOKUP($B261,transacciones!$A$1:$I$39,4,FALSE())</f>
        <v>Producción</v>
      </c>
      <c r="F261" s="19" t="n">
        <f aca="false">+VLOOKUP(B261,transacciones!$A$2:$I$39,5,FALSE())</f>
        <v>1</v>
      </c>
      <c r="G261" s="19" t="str">
        <f aca="false">+VLOOKUP(B261,transacciones!$A$2:$I$39,6,FALSE())</f>
        <v>P1</v>
      </c>
      <c r="H261" s="37" t="str">
        <f aca="false">+VLOOKUP(B261,transacciones!$A$1:$I$39,7,FALSE())</f>
        <v>Producción</v>
      </c>
      <c r="I261" s="2" t="s">
        <v>559</v>
      </c>
      <c r="J261" s="25" t="s">
        <v>867</v>
      </c>
      <c r="K261" s="37" t="s">
        <v>472</v>
      </c>
      <c r="L261" s="37" t="str">
        <f aca="false">+VLOOKUP(K261,'Correl CIIU'!$A$1:$F$26,2,FALSE())</f>
        <v>Comercio al por mayor y al por menor; reparación de vehículos automotores y motocicletas</v>
      </c>
      <c r="M261" s="37" t="str">
        <f aca="false">+VLOOKUP(K261,'Correl CIIU'!$A$1:$F$26,3,FALSE())</f>
        <v>Comercio</v>
      </c>
      <c r="N261" s="37" t="str">
        <f aca="false">+VLOOKUP(K261,'Correl CIIU'!$A$1:$F$26,4,FALSE())</f>
        <v>Wholesale and retail trade; repair of motor vehicles and motorcycles</v>
      </c>
      <c r="O261" s="37" t="n">
        <v>3</v>
      </c>
      <c r="P261" s="49" t="str">
        <f aca="false">+VLOOKUP(O261,bio!$A$2:$B$4,2,FALSE())</f>
        <v>No bioeconomía</v>
      </c>
    </row>
    <row r="262" customFormat="false" ht="15" hidden="false" customHeight="true" outlineLevel="0" collapsed="false">
      <c r="A262" s="0" t="s">
        <v>868</v>
      </c>
      <c r="B262" s="2" t="s">
        <v>337</v>
      </c>
      <c r="C262" s="19" t="str">
        <f aca="false">+VLOOKUP(B262,transacciones!$A$1:$I$39,2,FALSE())</f>
        <v>ATC01</v>
      </c>
      <c r="D262" s="19" t="str">
        <f aca="false">+VLOOKUP(B262,transacciones!$A$1:$I$39,3,FALSE())</f>
        <v>Producción / Consumo intermedio</v>
      </c>
      <c r="E262" s="19" t="str">
        <f aca="false">+VLOOKUP($B262,transacciones!$A$1:$I$39,4,FALSE())</f>
        <v>Producción</v>
      </c>
      <c r="F262" s="19" t="n">
        <f aca="false">+VLOOKUP(B262,transacciones!$A$2:$I$39,5,FALSE())</f>
        <v>1</v>
      </c>
      <c r="G262" s="19" t="str">
        <f aca="false">+VLOOKUP(B262,transacciones!$A$2:$I$39,6,FALSE())</f>
        <v>P1</v>
      </c>
      <c r="H262" s="37" t="str">
        <f aca="false">+VLOOKUP(B262,transacciones!$A$1:$I$39,7,FALSE())</f>
        <v>Producción</v>
      </c>
      <c r="I262" s="2" t="s">
        <v>559</v>
      </c>
      <c r="J262" s="25" t="s">
        <v>869</v>
      </c>
      <c r="K262" s="37" t="s">
        <v>472</v>
      </c>
      <c r="L262" s="37" t="str">
        <f aca="false">+VLOOKUP(K262,'Correl CIIU'!$A$1:$F$26,2,FALSE())</f>
        <v>Comercio al por mayor y al por menor; reparación de vehículos automotores y motocicletas</v>
      </c>
      <c r="M262" s="37" t="str">
        <f aca="false">+VLOOKUP(K262,'Correl CIIU'!$A$1:$F$26,3,FALSE())</f>
        <v>Comercio</v>
      </c>
      <c r="N262" s="37" t="str">
        <f aca="false">+VLOOKUP(K262,'Correl CIIU'!$A$1:$F$26,4,FALSE())</f>
        <v>Wholesale and retail trade; repair of motor vehicles and motorcycles</v>
      </c>
      <c r="O262" s="37" t="n">
        <v>3</v>
      </c>
      <c r="P262" s="49" t="str">
        <f aca="false">+VLOOKUP(O262,bio!$A$2:$B$4,2,FALSE())</f>
        <v>No bioeconomía</v>
      </c>
    </row>
    <row r="263" customFormat="false" ht="15" hidden="false" customHeight="true" outlineLevel="0" collapsed="false">
      <c r="A263" s="0" t="s">
        <v>870</v>
      </c>
      <c r="B263" s="2" t="s">
        <v>337</v>
      </c>
      <c r="C263" s="19" t="str">
        <f aca="false">+VLOOKUP(B263,transacciones!$A$1:$I$39,2,FALSE())</f>
        <v>ATC01</v>
      </c>
      <c r="D263" s="19" t="str">
        <f aca="false">+VLOOKUP(B263,transacciones!$A$1:$I$39,3,FALSE())</f>
        <v>Producción / Consumo intermedio</v>
      </c>
      <c r="E263" s="19" t="str">
        <f aca="false">+VLOOKUP($B263,transacciones!$A$1:$I$39,4,FALSE())</f>
        <v>Producción</v>
      </c>
      <c r="F263" s="19" t="n">
        <f aca="false">+VLOOKUP(B263,transacciones!$A$2:$I$39,5,FALSE())</f>
        <v>1</v>
      </c>
      <c r="G263" s="19" t="str">
        <f aca="false">+VLOOKUP(B263,transacciones!$A$2:$I$39,6,FALSE())</f>
        <v>P1</v>
      </c>
      <c r="H263" s="37" t="str">
        <f aca="false">+VLOOKUP(B263,transacciones!$A$1:$I$39,7,FALSE())</f>
        <v>Producción</v>
      </c>
      <c r="I263" s="2" t="s">
        <v>559</v>
      </c>
      <c r="J263" s="25" t="s">
        <v>871</v>
      </c>
      <c r="K263" s="37" t="s">
        <v>479</v>
      </c>
      <c r="L263" s="37" t="str">
        <f aca="false">+VLOOKUP(K263,'Correl CIIU'!$A$1:$F$26,2,FALSE())</f>
        <v>Transporte y almacenamiento</v>
      </c>
      <c r="M263" s="37" t="str">
        <f aca="false">+VLOOKUP(K263,'Correl CIIU'!$A$1:$F$26,3,FALSE())</f>
        <v>Transporte y almacenamiento</v>
      </c>
      <c r="N263" s="37" t="str">
        <f aca="false">+VLOOKUP(K263,'Correl CIIU'!$A$1:$F$26,4,FALSE())</f>
        <v>Transportation and storage</v>
      </c>
      <c r="O263" s="37" t="n">
        <v>3</v>
      </c>
      <c r="P263" s="49" t="str">
        <f aca="false">+VLOOKUP(O263,bio!$A$2:$B$4,2,FALSE())</f>
        <v>No bioeconomía</v>
      </c>
    </row>
    <row r="264" customFormat="false" ht="15" hidden="false" customHeight="true" outlineLevel="0" collapsed="false">
      <c r="A264" s="0" t="s">
        <v>872</v>
      </c>
      <c r="B264" s="2" t="s">
        <v>337</v>
      </c>
      <c r="C264" s="19" t="str">
        <f aca="false">+VLOOKUP(B264,transacciones!$A$1:$I$39,2,FALSE())</f>
        <v>ATC01</v>
      </c>
      <c r="D264" s="19" t="str">
        <f aca="false">+VLOOKUP(B264,transacciones!$A$1:$I$39,3,FALSE())</f>
        <v>Producción / Consumo intermedio</v>
      </c>
      <c r="E264" s="19" t="str">
        <f aca="false">+VLOOKUP($B264,transacciones!$A$1:$I$39,4,FALSE())</f>
        <v>Producción</v>
      </c>
      <c r="F264" s="19" t="n">
        <f aca="false">+VLOOKUP(B264,transacciones!$A$2:$I$39,5,FALSE())</f>
        <v>1</v>
      </c>
      <c r="G264" s="19" t="str">
        <f aca="false">+VLOOKUP(B264,transacciones!$A$2:$I$39,6,FALSE())</f>
        <v>P1</v>
      </c>
      <c r="H264" s="37" t="str">
        <f aca="false">+VLOOKUP(B264,transacciones!$A$1:$I$39,7,FALSE())</f>
        <v>Producción</v>
      </c>
      <c r="I264" s="2" t="s">
        <v>559</v>
      </c>
      <c r="J264" s="25" t="s">
        <v>873</v>
      </c>
      <c r="K264" s="37" t="s">
        <v>479</v>
      </c>
      <c r="L264" s="37" t="str">
        <f aca="false">+VLOOKUP(K264,'Correl CIIU'!$A$1:$F$26,2,FALSE())</f>
        <v>Transporte y almacenamiento</v>
      </c>
      <c r="M264" s="37" t="str">
        <f aca="false">+VLOOKUP(K264,'Correl CIIU'!$A$1:$F$26,3,FALSE())</f>
        <v>Transporte y almacenamiento</v>
      </c>
      <c r="N264" s="37" t="str">
        <f aca="false">+VLOOKUP(K264,'Correl CIIU'!$A$1:$F$26,4,FALSE())</f>
        <v>Transportation and storage</v>
      </c>
      <c r="O264" s="37" t="n">
        <v>3</v>
      </c>
      <c r="P264" s="49" t="str">
        <f aca="false">+VLOOKUP(O264,bio!$A$2:$B$4,2,FALSE())</f>
        <v>No bioeconomía</v>
      </c>
    </row>
    <row r="265" customFormat="false" ht="15" hidden="false" customHeight="true" outlineLevel="0" collapsed="false">
      <c r="A265" s="0" t="s">
        <v>874</v>
      </c>
      <c r="B265" s="2" t="s">
        <v>337</v>
      </c>
      <c r="C265" s="19" t="str">
        <f aca="false">+VLOOKUP(B265,transacciones!$A$1:$I$39,2,FALSE())</f>
        <v>ATC01</v>
      </c>
      <c r="D265" s="19" t="str">
        <f aca="false">+VLOOKUP(B265,transacciones!$A$1:$I$39,3,FALSE())</f>
        <v>Producción / Consumo intermedio</v>
      </c>
      <c r="E265" s="19" t="str">
        <f aca="false">+VLOOKUP($B265,transacciones!$A$1:$I$39,4,FALSE())</f>
        <v>Producción</v>
      </c>
      <c r="F265" s="19" t="n">
        <f aca="false">+VLOOKUP(B265,transacciones!$A$2:$I$39,5,FALSE())</f>
        <v>1</v>
      </c>
      <c r="G265" s="19" t="str">
        <f aca="false">+VLOOKUP(B265,transacciones!$A$2:$I$39,6,FALSE())</f>
        <v>P1</v>
      </c>
      <c r="H265" s="37" t="str">
        <f aca="false">+VLOOKUP(B265,transacciones!$A$1:$I$39,7,FALSE())</f>
        <v>Producción</v>
      </c>
      <c r="I265" s="2" t="s">
        <v>559</v>
      </c>
      <c r="J265" s="25" t="s">
        <v>875</v>
      </c>
      <c r="K265" s="37" t="s">
        <v>479</v>
      </c>
      <c r="L265" s="37" t="str">
        <f aca="false">+VLOOKUP(K265,'Correl CIIU'!$A$1:$F$26,2,FALSE())</f>
        <v>Transporte y almacenamiento</v>
      </c>
      <c r="M265" s="37" t="str">
        <f aca="false">+VLOOKUP(K265,'Correl CIIU'!$A$1:$F$26,3,FALSE())</f>
        <v>Transporte y almacenamiento</v>
      </c>
      <c r="N265" s="37" t="str">
        <f aca="false">+VLOOKUP(K265,'Correl CIIU'!$A$1:$F$26,4,FALSE())</f>
        <v>Transportation and storage</v>
      </c>
      <c r="O265" s="37" t="n">
        <v>3</v>
      </c>
      <c r="P265" s="49" t="str">
        <f aca="false">+VLOOKUP(O265,bio!$A$2:$B$4,2,FALSE())</f>
        <v>No bioeconomía</v>
      </c>
    </row>
    <row r="266" customFormat="false" ht="15" hidden="false" customHeight="true" outlineLevel="0" collapsed="false">
      <c r="A266" s="0" t="s">
        <v>876</v>
      </c>
      <c r="B266" s="2" t="s">
        <v>337</v>
      </c>
      <c r="C266" s="19" t="str">
        <f aca="false">+VLOOKUP(B266,transacciones!$A$1:$I$39,2,FALSE())</f>
        <v>ATC01</v>
      </c>
      <c r="D266" s="19" t="str">
        <f aca="false">+VLOOKUP(B266,transacciones!$A$1:$I$39,3,FALSE())</f>
        <v>Producción / Consumo intermedio</v>
      </c>
      <c r="E266" s="19" t="str">
        <f aca="false">+VLOOKUP($B266,transacciones!$A$1:$I$39,4,FALSE())</f>
        <v>Producción</v>
      </c>
      <c r="F266" s="19" t="n">
        <f aca="false">+VLOOKUP(B266,transacciones!$A$2:$I$39,5,FALSE())</f>
        <v>1</v>
      </c>
      <c r="G266" s="19" t="str">
        <f aca="false">+VLOOKUP(B266,transacciones!$A$2:$I$39,6,FALSE())</f>
        <v>P1</v>
      </c>
      <c r="H266" s="37" t="str">
        <f aca="false">+VLOOKUP(B266,transacciones!$A$1:$I$39,7,FALSE())</f>
        <v>Producción</v>
      </c>
      <c r="I266" s="2" t="s">
        <v>559</v>
      </c>
      <c r="J266" s="25" t="s">
        <v>877</v>
      </c>
      <c r="K266" s="37" t="s">
        <v>479</v>
      </c>
      <c r="L266" s="37" t="str">
        <f aca="false">+VLOOKUP(K266,'Correl CIIU'!$A$1:$F$26,2,FALSE())</f>
        <v>Transporte y almacenamiento</v>
      </c>
      <c r="M266" s="37" t="str">
        <f aca="false">+VLOOKUP(K266,'Correl CIIU'!$A$1:$F$26,3,FALSE())</f>
        <v>Transporte y almacenamiento</v>
      </c>
      <c r="N266" s="37" t="str">
        <f aca="false">+VLOOKUP(K266,'Correl CIIU'!$A$1:$F$26,4,FALSE())</f>
        <v>Transportation and storage</v>
      </c>
      <c r="O266" s="37" t="n">
        <v>3</v>
      </c>
      <c r="P266" s="49" t="str">
        <f aca="false">+VLOOKUP(O266,bio!$A$2:$B$4,2,FALSE())</f>
        <v>No bioeconomía</v>
      </c>
    </row>
    <row r="267" customFormat="false" ht="15" hidden="false" customHeight="true" outlineLevel="0" collapsed="false">
      <c r="A267" s="0" t="s">
        <v>878</v>
      </c>
      <c r="B267" s="2" t="s">
        <v>337</v>
      </c>
      <c r="C267" s="19" t="str">
        <f aca="false">+VLOOKUP(B267,transacciones!$A$1:$I$39,2,FALSE())</f>
        <v>ATC01</v>
      </c>
      <c r="D267" s="19" t="str">
        <f aca="false">+VLOOKUP(B267,transacciones!$A$1:$I$39,3,FALSE())</f>
        <v>Producción / Consumo intermedio</v>
      </c>
      <c r="E267" s="19" t="str">
        <f aca="false">+VLOOKUP($B267,transacciones!$A$1:$I$39,4,FALSE())</f>
        <v>Producción</v>
      </c>
      <c r="F267" s="19" t="n">
        <f aca="false">+VLOOKUP(B267,transacciones!$A$2:$I$39,5,FALSE())</f>
        <v>1</v>
      </c>
      <c r="G267" s="19" t="str">
        <f aca="false">+VLOOKUP(B267,transacciones!$A$2:$I$39,6,FALSE())</f>
        <v>P1</v>
      </c>
      <c r="H267" s="37" t="str">
        <f aca="false">+VLOOKUP(B267,transacciones!$A$1:$I$39,7,FALSE())</f>
        <v>Producción</v>
      </c>
      <c r="I267" s="2" t="s">
        <v>559</v>
      </c>
      <c r="J267" s="25" t="s">
        <v>879</v>
      </c>
      <c r="K267" s="37" t="s">
        <v>492</v>
      </c>
      <c r="L267" s="37" t="str">
        <f aca="false">+VLOOKUP(K267,'Correl CIIU'!$A$1:$F$26,2,FALSE())</f>
        <v>Información y comunicaciones</v>
      </c>
      <c r="M267" s="37" t="str">
        <f aca="false">+VLOOKUP(K267,'Correl CIIU'!$A$1:$F$26,3,FALSE())</f>
        <v>Información y comunicaciones</v>
      </c>
      <c r="N267" s="37" t="str">
        <f aca="false">+VLOOKUP(K267,'Correl CIIU'!$A$1:$F$26,4,FALSE())</f>
        <v>Information and communication</v>
      </c>
      <c r="O267" s="37" t="n">
        <v>3</v>
      </c>
      <c r="P267" s="49" t="str">
        <f aca="false">+VLOOKUP(O267,bio!$A$2:$B$4,2,FALSE())</f>
        <v>No bioeconomía</v>
      </c>
    </row>
    <row r="268" customFormat="false" ht="15" hidden="false" customHeight="true" outlineLevel="0" collapsed="false">
      <c r="A268" s="0" t="s">
        <v>880</v>
      </c>
      <c r="B268" s="2" t="s">
        <v>337</v>
      </c>
      <c r="C268" s="19" t="str">
        <f aca="false">+VLOOKUP(B268,transacciones!$A$1:$I$39,2,FALSE())</f>
        <v>ATC01</v>
      </c>
      <c r="D268" s="19" t="str">
        <f aca="false">+VLOOKUP(B268,transacciones!$A$1:$I$39,3,FALSE())</f>
        <v>Producción / Consumo intermedio</v>
      </c>
      <c r="E268" s="19" t="str">
        <f aca="false">+VLOOKUP($B268,transacciones!$A$1:$I$39,4,FALSE())</f>
        <v>Producción</v>
      </c>
      <c r="F268" s="19" t="n">
        <f aca="false">+VLOOKUP(B268,transacciones!$A$2:$I$39,5,FALSE())</f>
        <v>1</v>
      </c>
      <c r="G268" s="19" t="str">
        <f aca="false">+VLOOKUP(B268,transacciones!$A$2:$I$39,6,FALSE())</f>
        <v>P1</v>
      </c>
      <c r="H268" s="37" t="str">
        <f aca="false">+VLOOKUP(B268,transacciones!$A$1:$I$39,7,FALSE())</f>
        <v>Producción</v>
      </c>
      <c r="I268" s="2" t="s">
        <v>559</v>
      </c>
      <c r="J268" s="25" t="s">
        <v>881</v>
      </c>
      <c r="K268" s="37" t="s">
        <v>494</v>
      </c>
      <c r="L268" s="37" t="str">
        <f aca="false">+VLOOKUP(K268,'Correl CIIU'!$A$1:$F$26,2,FALSE())</f>
        <v>Actividades de alojamiento y de servicio de comidas</v>
      </c>
      <c r="M268" s="37" t="str">
        <f aca="false">+VLOOKUP(K268,'Correl CIIU'!$A$1:$F$26,3,FALSE())</f>
        <v>Alojamiento y alimentación</v>
      </c>
      <c r="N268" s="37" t="str">
        <f aca="false">+VLOOKUP(K268,'Correl CIIU'!$A$1:$F$26,4,FALSE())</f>
        <v>Accommodation and food service activities</v>
      </c>
      <c r="O268" s="37" t="n">
        <v>3</v>
      </c>
      <c r="P268" s="49" t="str">
        <f aca="false">+VLOOKUP(O268,bio!$A$2:$B$4,2,FALSE())</f>
        <v>No bioeconomía</v>
      </c>
    </row>
    <row r="269" customFormat="false" ht="15" hidden="false" customHeight="true" outlineLevel="0" collapsed="false">
      <c r="A269" s="0" t="s">
        <v>882</v>
      </c>
      <c r="B269" s="2" t="s">
        <v>337</v>
      </c>
      <c r="C269" s="19" t="str">
        <f aca="false">+VLOOKUP(B269,transacciones!$A$1:$I$39,2,FALSE())</f>
        <v>ATC01</v>
      </c>
      <c r="D269" s="19" t="str">
        <f aca="false">+VLOOKUP(B269,transacciones!$A$1:$I$39,3,FALSE())</f>
        <v>Producción / Consumo intermedio</v>
      </c>
      <c r="E269" s="19" t="str">
        <f aca="false">+VLOOKUP($B269,transacciones!$A$1:$I$39,4,FALSE())</f>
        <v>Producción</v>
      </c>
      <c r="F269" s="19" t="n">
        <f aca="false">+VLOOKUP(B269,transacciones!$A$2:$I$39,5,FALSE())</f>
        <v>1</v>
      </c>
      <c r="G269" s="19" t="str">
        <f aca="false">+VLOOKUP(B269,transacciones!$A$2:$I$39,6,FALSE())</f>
        <v>P1</v>
      </c>
      <c r="H269" s="37" t="str">
        <f aca="false">+VLOOKUP(B269,transacciones!$A$1:$I$39,7,FALSE())</f>
        <v>Producción</v>
      </c>
      <c r="I269" s="2" t="s">
        <v>559</v>
      </c>
      <c r="J269" s="25" t="s">
        <v>883</v>
      </c>
      <c r="K269" s="37" t="s">
        <v>492</v>
      </c>
      <c r="L269" s="37" t="str">
        <f aca="false">+VLOOKUP(K269,'Correl CIIU'!$A$1:$F$26,2,FALSE())</f>
        <v>Información y comunicaciones</v>
      </c>
      <c r="M269" s="37" t="str">
        <f aca="false">+VLOOKUP(K269,'Correl CIIU'!$A$1:$F$26,3,FALSE())</f>
        <v>Información y comunicaciones</v>
      </c>
      <c r="N269" s="37" t="str">
        <f aca="false">+VLOOKUP(K269,'Correl CIIU'!$A$1:$F$26,4,FALSE())</f>
        <v>Information and communication</v>
      </c>
      <c r="O269" s="37" t="n">
        <v>3</v>
      </c>
      <c r="P269" s="49" t="str">
        <f aca="false">+VLOOKUP(O269,bio!$A$2:$B$4,2,FALSE())</f>
        <v>No bioeconomía</v>
      </c>
    </row>
    <row r="270" customFormat="false" ht="15" hidden="false" customHeight="true" outlineLevel="0" collapsed="false">
      <c r="A270" s="0" t="s">
        <v>884</v>
      </c>
      <c r="B270" s="2" t="s">
        <v>337</v>
      </c>
      <c r="C270" s="19" t="str">
        <f aca="false">+VLOOKUP(B270,transacciones!$A$1:$I$39,2,FALSE())</f>
        <v>ATC01</v>
      </c>
      <c r="D270" s="19" t="str">
        <f aca="false">+VLOOKUP(B270,transacciones!$A$1:$I$39,3,FALSE())</f>
        <v>Producción / Consumo intermedio</v>
      </c>
      <c r="E270" s="19" t="str">
        <f aca="false">+VLOOKUP($B270,transacciones!$A$1:$I$39,4,FALSE())</f>
        <v>Producción</v>
      </c>
      <c r="F270" s="19" t="n">
        <f aca="false">+VLOOKUP(B270,transacciones!$A$2:$I$39,5,FALSE())</f>
        <v>1</v>
      </c>
      <c r="G270" s="19" t="str">
        <f aca="false">+VLOOKUP(B270,transacciones!$A$2:$I$39,6,FALSE())</f>
        <v>P1</v>
      </c>
      <c r="H270" s="37" t="str">
        <f aca="false">+VLOOKUP(B270,transacciones!$A$1:$I$39,7,FALSE())</f>
        <v>Producción</v>
      </c>
      <c r="I270" s="2" t="s">
        <v>559</v>
      </c>
      <c r="J270" s="25" t="s">
        <v>885</v>
      </c>
      <c r="K270" s="37" t="s">
        <v>499</v>
      </c>
      <c r="L270" s="37" t="str">
        <f aca="false">+VLOOKUP(K270,'Correl CIIU'!$A$1:$F$26,2,FALSE())</f>
        <v>Actividades financieras y de seguros</v>
      </c>
      <c r="M270" s="37" t="str">
        <f aca="false">+VLOOKUP(K270,'Correl CIIU'!$A$1:$F$26,3,FALSE())</f>
        <v>Finanzas y seguros</v>
      </c>
      <c r="N270" s="37" t="str">
        <f aca="false">+VLOOKUP(K270,'Correl CIIU'!$A$1:$F$26,4,FALSE())</f>
        <v>Financial and insurance activities</v>
      </c>
      <c r="O270" s="37" t="n">
        <v>3</v>
      </c>
      <c r="P270" s="49" t="str">
        <f aca="false">+VLOOKUP(O270,bio!$A$2:$B$4,2,FALSE())</f>
        <v>No bioeconomía</v>
      </c>
    </row>
    <row r="271" customFormat="false" ht="15" hidden="false" customHeight="true" outlineLevel="0" collapsed="false">
      <c r="A271" s="0" t="s">
        <v>886</v>
      </c>
      <c r="B271" s="2" t="s">
        <v>337</v>
      </c>
      <c r="C271" s="19" t="str">
        <f aca="false">+VLOOKUP(B271,transacciones!$A$1:$I$39,2,FALSE())</f>
        <v>ATC01</v>
      </c>
      <c r="D271" s="19" t="str">
        <f aca="false">+VLOOKUP(B271,transacciones!$A$1:$I$39,3,FALSE())</f>
        <v>Producción / Consumo intermedio</v>
      </c>
      <c r="E271" s="19" t="str">
        <f aca="false">+VLOOKUP($B271,transacciones!$A$1:$I$39,4,FALSE())</f>
        <v>Producción</v>
      </c>
      <c r="F271" s="19" t="n">
        <f aca="false">+VLOOKUP(B271,transacciones!$A$2:$I$39,5,FALSE())</f>
        <v>1</v>
      </c>
      <c r="G271" s="19" t="str">
        <f aca="false">+VLOOKUP(B271,transacciones!$A$2:$I$39,6,FALSE())</f>
        <v>P1</v>
      </c>
      <c r="H271" s="37" t="str">
        <f aca="false">+VLOOKUP(B271,transacciones!$A$1:$I$39,7,FALSE())</f>
        <v>Producción</v>
      </c>
      <c r="I271" s="2" t="s">
        <v>559</v>
      </c>
      <c r="J271" s="25" t="s">
        <v>887</v>
      </c>
      <c r="K271" s="37" t="s">
        <v>504</v>
      </c>
      <c r="L271" s="37" t="str">
        <f aca="false">+VLOOKUP(K271,'Correl CIIU'!$A$1:$F$26,2,FALSE())</f>
        <v>Actividades inmobiliarias</v>
      </c>
      <c r="M271" s="37" t="str">
        <f aca="false">+VLOOKUP(K271,'Correl CIIU'!$A$1:$F$26,3,FALSE())</f>
        <v>Inmobiliarios</v>
      </c>
      <c r="N271" s="37" t="str">
        <f aca="false">+VLOOKUP(K271,'Correl CIIU'!$A$1:$F$26,4,FALSE())</f>
        <v>Real estate activities</v>
      </c>
      <c r="O271" s="37" t="n">
        <v>3</v>
      </c>
      <c r="P271" s="49" t="str">
        <f aca="false">+VLOOKUP(O271,bio!$A$2:$B$4,2,FALSE())</f>
        <v>No bioeconomía</v>
      </c>
    </row>
    <row r="272" customFormat="false" ht="15" hidden="false" customHeight="true" outlineLevel="0" collapsed="false">
      <c r="A272" s="0" t="s">
        <v>888</v>
      </c>
      <c r="B272" s="2" t="s">
        <v>337</v>
      </c>
      <c r="C272" s="19" t="str">
        <f aca="false">+VLOOKUP(B272,transacciones!$A$1:$I$39,2,FALSE())</f>
        <v>ATC01</v>
      </c>
      <c r="D272" s="19" t="str">
        <f aca="false">+VLOOKUP(B272,transacciones!$A$1:$I$39,3,FALSE())</f>
        <v>Producción / Consumo intermedio</v>
      </c>
      <c r="E272" s="19" t="str">
        <f aca="false">+VLOOKUP($B272,transacciones!$A$1:$I$39,4,FALSE())</f>
        <v>Producción</v>
      </c>
      <c r="F272" s="19" t="n">
        <f aca="false">+VLOOKUP(B272,transacciones!$A$2:$I$39,5,FALSE())</f>
        <v>1</v>
      </c>
      <c r="G272" s="19" t="str">
        <f aca="false">+VLOOKUP(B272,transacciones!$A$2:$I$39,6,FALSE())</f>
        <v>P1</v>
      </c>
      <c r="H272" s="37" t="str">
        <f aca="false">+VLOOKUP(B272,transacciones!$A$1:$I$39,7,FALSE())</f>
        <v>Producción</v>
      </c>
      <c r="I272" s="2" t="s">
        <v>559</v>
      </c>
      <c r="J272" s="25" t="s">
        <v>889</v>
      </c>
      <c r="K272" s="37" t="s">
        <v>506</v>
      </c>
      <c r="L272" s="37" t="str">
        <f aca="false">+VLOOKUP(K272,'Correl CIIU'!$A$1:$F$26,2,FALSE())</f>
        <v>Actividades profesionales, científicas y técnicas</v>
      </c>
      <c r="M272" s="37" t="str">
        <f aca="false">+VLOOKUP(K272,'Correl CIIU'!$A$1:$F$26,3,FALSE())</f>
        <v>Servicios profesionales</v>
      </c>
      <c r="N272" s="37" t="str">
        <f aca="false">+VLOOKUP(K272,'Correl CIIU'!$A$1:$F$26,4,FALSE())</f>
        <v>Professional, scientific and technical activities</v>
      </c>
      <c r="O272" s="37" t="n">
        <v>3</v>
      </c>
      <c r="P272" s="49" t="str">
        <f aca="false">+VLOOKUP(O272,bio!$A$2:$B$4,2,FALSE())</f>
        <v>No bioeconomía</v>
      </c>
    </row>
    <row r="273" customFormat="false" ht="15" hidden="false" customHeight="true" outlineLevel="0" collapsed="false">
      <c r="A273" s="0" t="s">
        <v>890</v>
      </c>
      <c r="B273" s="2" t="s">
        <v>337</v>
      </c>
      <c r="C273" s="19" t="str">
        <f aca="false">+VLOOKUP(B273,transacciones!$A$1:$I$39,2,FALSE())</f>
        <v>ATC01</v>
      </c>
      <c r="D273" s="19" t="str">
        <f aca="false">+VLOOKUP(B273,transacciones!$A$1:$I$39,3,FALSE())</f>
        <v>Producción / Consumo intermedio</v>
      </c>
      <c r="E273" s="19" t="str">
        <f aca="false">+VLOOKUP($B273,transacciones!$A$1:$I$39,4,FALSE())</f>
        <v>Producción</v>
      </c>
      <c r="F273" s="19" t="n">
        <f aca="false">+VLOOKUP(B273,transacciones!$A$2:$I$39,5,FALSE())</f>
        <v>1</v>
      </c>
      <c r="G273" s="19" t="str">
        <f aca="false">+VLOOKUP(B273,transacciones!$A$2:$I$39,6,FALSE())</f>
        <v>P1</v>
      </c>
      <c r="H273" s="37" t="str">
        <f aca="false">+VLOOKUP(B273,transacciones!$A$1:$I$39,7,FALSE())</f>
        <v>Producción</v>
      </c>
      <c r="I273" s="2" t="s">
        <v>559</v>
      </c>
      <c r="J273" s="25" t="s">
        <v>891</v>
      </c>
      <c r="K273" s="37" t="s">
        <v>511</v>
      </c>
      <c r="L273" s="37" t="str">
        <f aca="false">+VLOOKUP(K273,'Correl CIIU'!$A$1:$F$26,2,FALSE())</f>
        <v>Actividades de servicios administrativos y de apoyo</v>
      </c>
      <c r="M273" s="37" t="str">
        <f aca="false">+VLOOKUP(K273,'Correl CIIU'!$A$1:$F$26,3,FALSE())</f>
        <v>Servicios administrativos</v>
      </c>
      <c r="N273" s="37" t="str">
        <f aca="false">+VLOOKUP(K273,'Correl CIIU'!$A$1:$F$26,4,FALSE())</f>
        <v>Administrative and support service activities</v>
      </c>
      <c r="O273" s="37" t="n">
        <v>3</v>
      </c>
      <c r="P273" s="49" t="str">
        <f aca="false">+VLOOKUP(O273,bio!$A$2:$B$4,2,FALSE())</f>
        <v>No bioeconomía</v>
      </c>
    </row>
    <row r="274" customFormat="false" ht="15" hidden="false" customHeight="true" outlineLevel="0" collapsed="false">
      <c r="A274" s="0" t="s">
        <v>892</v>
      </c>
      <c r="B274" s="2" t="s">
        <v>337</v>
      </c>
      <c r="C274" s="19" t="str">
        <f aca="false">+VLOOKUP(B274,transacciones!$A$1:$I$39,2,FALSE())</f>
        <v>ATC01</v>
      </c>
      <c r="D274" s="19" t="str">
        <f aca="false">+VLOOKUP(B274,transacciones!$A$1:$I$39,3,FALSE())</f>
        <v>Producción / Consumo intermedio</v>
      </c>
      <c r="E274" s="19" t="str">
        <f aca="false">+VLOOKUP($B274,transacciones!$A$1:$I$39,4,FALSE())</f>
        <v>Producción</v>
      </c>
      <c r="F274" s="19" t="n">
        <f aca="false">+VLOOKUP(B274,transacciones!$A$2:$I$39,5,FALSE())</f>
        <v>1</v>
      </c>
      <c r="G274" s="19" t="str">
        <f aca="false">+VLOOKUP(B274,transacciones!$A$2:$I$39,6,FALSE())</f>
        <v>P1</v>
      </c>
      <c r="H274" s="37" t="str">
        <f aca="false">+VLOOKUP(B274,transacciones!$A$1:$I$39,7,FALSE())</f>
        <v>Producción</v>
      </c>
      <c r="I274" s="2" t="s">
        <v>559</v>
      </c>
      <c r="J274" s="25" t="s">
        <v>893</v>
      </c>
      <c r="K274" s="37" t="s">
        <v>513</v>
      </c>
      <c r="L274" s="37" t="str">
        <f aca="false">+VLOOKUP(K274,'Correl CIIU'!$A$1:$F$26,2,FALSE())</f>
        <v>Administración pública y defensa; planes de seguridad social de afiliación obligatoria</v>
      </c>
      <c r="M274" s="37" t="str">
        <f aca="false">+VLOOKUP(K274,'Correl CIIU'!$A$1:$F$26,3,FALSE())</f>
        <v>Administración pública</v>
      </c>
      <c r="N274" s="37" t="str">
        <f aca="false">+VLOOKUP(K274,'Correl CIIU'!$A$1:$F$26,4,FALSE())</f>
        <v>Public administration and defence; compulsory social security</v>
      </c>
      <c r="O274" s="37" t="n">
        <v>3</v>
      </c>
      <c r="P274" s="49" t="str">
        <f aca="false">+VLOOKUP(O274,bio!$A$2:$B$4,2,FALSE())</f>
        <v>No bioeconomía</v>
      </c>
    </row>
    <row r="275" customFormat="false" ht="15" hidden="false" customHeight="true" outlineLevel="0" collapsed="false">
      <c r="A275" s="0" t="s">
        <v>894</v>
      </c>
      <c r="B275" s="2" t="s">
        <v>337</v>
      </c>
      <c r="C275" s="19" t="str">
        <f aca="false">+VLOOKUP(B275,transacciones!$A$1:$I$39,2,FALSE())</f>
        <v>ATC01</v>
      </c>
      <c r="D275" s="19" t="str">
        <f aca="false">+VLOOKUP(B275,transacciones!$A$1:$I$39,3,FALSE())</f>
        <v>Producción / Consumo intermedio</v>
      </c>
      <c r="E275" s="19" t="str">
        <f aca="false">+VLOOKUP($B275,transacciones!$A$1:$I$39,4,FALSE())</f>
        <v>Producción</v>
      </c>
      <c r="F275" s="19" t="n">
        <f aca="false">+VLOOKUP(B275,transacciones!$A$2:$I$39,5,FALSE())</f>
        <v>1</v>
      </c>
      <c r="G275" s="19" t="str">
        <f aca="false">+VLOOKUP(B275,transacciones!$A$2:$I$39,6,FALSE())</f>
        <v>P1</v>
      </c>
      <c r="H275" s="37" t="str">
        <f aca="false">+VLOOKUP(B275,transacciones!$A$1:$I$39,7,FALSE())</f>
        <v>Producción</v>
      </c>
      <c r="I275" s="2" t="s">
        <v>559</v>
      </c>
      <c r="J275" s="25" t="s">
        <v>895</v>
      </c>
      <c r="K275" s="37" t="s">
        <v>518</v>
      </c>
      <c r="L275" s="37" t="str">
        <f aca="false">+VLOOKUP(K275,'Correl CIIU'!$A$1:$F$26,2,FALSE())</f>
        <v>Enseñanza</v>
      </c>
      <c r="M275" s="37" t="str">
        <f aca="false">+VLOOKUP(K275,'Correl CIIU'!$A$1:$F$26,3,FALSE())</f>
        <v>Enseñanza</v>
      </c>
      <c r="N275" s="37" t="str">
        <f aca="false">+VLOOKUP(K275,'Correl CIIU'!$A$1:$F$26,4,FALSE())</f>
        <v>Education</v>
      </c>
      <c r="O275" s="37" t="n">
        <v>3</v>
      </c>
      <c r="P275" s="49" t="str">
        <f aca="false">+VLOOKUP(O275,bio!$A$2:$B$4,2,FALSE())</f>
        <v>No bioeconomía</v>
      </c>
    </row>
    <row r="276" customFormat="false" ht="15" hidden="false" customHeight="true" outlineLevel="0" collapsed="false">
      <c r="A276" s="0" t="s">
        <v>896</v>
      </c>
      <c r="B276" s="2" t="s">
        <v>337</v>
      </c>
      <c r="C276" s="19" t="str">
        <f aca="false">+VLOOKUP(B276,transacciones!$A$1:$I$39,2,FALSE())</f>
        <v>ATC01</v>
      </c>
      <c r="D276" s="19" t="str">
        <f aca="false">+VLOOKUP(B276,transacciones!$A$1:$I$39,3,FALSE())</f>
        <v>Producción / Consumo intermedio</v>
      </c>
      <c r="E276" s="19" t="str">
        <f aca="false">+VLOOKUP($B276,transacciones!$A$1:$I$39,4,FALSE())</f>
        <v>Producción</v>
      </c>
      <c r="F276" s="19" t="n">
        <f aca="false">+VLOOKUP(B276,transacciones!$A$2:$I$39,5,FALSE())</f>
        <v>1</v>
      </c>
      <c r="G276" s="19" t="str">
        <f aca="false">+VLOOKUP(B276,transacciones!$A$2:$I$39,6,FALSE())</f>
        <v>P1</v>
      </c>
      <c r="H276" s="37" t="str">
        <f aca="false">+VLOOKUP(B276,transacciones!$A$1:$I$39,7,FALSE())</f>
        <v>Producción</v>
      </c>
      <c r="I276" s="2" t="s">
        <v>559</v>
      </c>
      <c r="J276" s="25" t="s">
        <v>897</v>
      </c>
      <c r="K276" s="37" t="s">
        <v>518</v>
      </c>
      <c r="L276" s="37" t="str">
        <f aca="false">+VLOOKUP(K276,'Correl CIIU'!$A$1:$F$26,2,FALSE())</f>
        <v>Enseñanza</v>
      </c>
      <c r="M276" s="37" t="str">
        <f aca="false">+VLOOKUP(K276,'Correl CIIU'!$A$1:$F$26,3,FALSE())</f>
        <v>Enseñanza</v>
      </c>
      <c r="N276" s="37" t="str">
        <f aca="false">+VLOOKUP(K276,'Correl CIIU'!$A$1:$F$26,4,FALSE())</f>
        <v>Education</v>
      </c>
      <c r="O276" s="37" t="n">
        <v>3</v>
      </c>
      <c r="P276" s="49" t="str">
        <f aca="false">+VLOOKUP(O276,bio!$A$2:$B$4,2,FALSE())</f>
        <v>No bioeconomía</v>
      </c>
    </row>
    <row r="277" customFormat="false" ht="15" hidden="false" customHeight="true" outlineLevel="0" collapsed="false">
      <c r="A277" s="0" t="s">
        <v>898</v>
      </c>
      <c r="B277" s="2" t="s">
        <v>337</v>
      </c>
      <c r="C277" s="19" t="str">
        <f aca="false">+VLOOKUP(B277,transacciones!$A$1:$I$39,2,FALSE())</f>
        <v>ATC01</v>
      </c>
      <c r="D277" s="19" t="str">
        <f aca="false">+VLOOKUP(B277,transacciones!$A$1:$I$39,3,FALSE())</f>
        <v>Producción / Consumo intermedio</v>
      </c>
      <c r="E277" s="19" t="str">
        <f aca="false">+VLOOKUP($B277,transacciones!$A$1:$I$39,4,FALSE())</f>
        <v>Producción</v>
      </c>
      <c r="F277" s="19" t="n">
        <f aca="false">+VLOOKUP(B277,transacciones!$A$2:$I$39,5,FALSE())</f>
        <v>1</v>
      </c>
      <c r="G277" s="19" t="str">
        <f aca="false">+VLOOKUP(B277,transacciones!$A$2:$I$39,6,FALSE())</f>
        <v>P1</v>
      </c>
      <c r="H277" s="37" t="str">
        <f aca="false">+VLOOKUP(B277,transacciones!$A$1:$I$39,7,FALSE())</f>
        <v>Producción</v>
      </c>
      <c r="I277" s="2" t="s">
        <v>559</v>
      </c>
      <c r="J277" s="25" t="s">
        <v>899</v>
      </c>
      <c r="K277" s="37" t="s">
        <v>523</v>
      </c>
      <c r="L277" s="37" t="str">
        <f aca="false">+VLOOKUP(K277,'Correl CIIU'!$A$1:$F$26,2,FALSE())</f>
        <v>Actividades de atención de la salud humana y de asistencia social</v>
      </c>
      <c r="M277" s="37" t="str">
        <f aca="false">+VLOOKUP(K277,'Correl CIIU'!$A$1:$F$26,3,FALSE())</f>
        <v>Salud</v>
      </c>
      <c r="N277" s="37" t="str">
        <f aca="false">+VLOOKUP(K277,'Correl CIIU'!$A$1:$F$26,4,FALSE())</f>
        <v>Human health and social work activities</v>
      </c>
      <c r="O277" s="37" t="n">
        <v>3</v>
      </c>
      <c r="P277" s="49" t="str">
        <f aca="false">+VLOOKUP(O277,bio!$A$2:$B$4,2,FALSE())</f>
        <v>No bioeconomía</v>
      </c>
    </row>
    <row r="278" customFormat="false" ht="15" hidden="false" customHeight="true" outlineLevel="0" collapsed="false">
      <c r="A278" s="0" t="s">
        <v>900</v>
      </c>
      <c r="B278" s="2" t="s">
        <v>337</v>
      </c>
      <c r="C278" s="19" t="str">
        <f aca="false">+VLOOKUP(B278,transacciones!$A$1:$I$39,2,FALSE())</f>
        <v>ATC01</v>
      </c>
      <c r="D278" s="19" t="str">
        <f aca="false">+VLOOKUP(B278,transacciones!$A$1:$I$39,3,FALSE())</f>
        <v>Producción / Consumo intermedio</v>
      </c>
      <c r="E278" s="19" t="str">
        <f aca="false">+VLOOKUP($B278,transacciones!$A$1:$I$39,4,FALSE())</f>
        <v>Producción</v>
      </c>
      <c r="F278" s="19" t="n">
        <f aca="false">+VLOOKUP(B278,transacciones!$A$2:$I$39,5,FALSE())</f>
        <v>1</v>
      </c>
      <c r="G278" s="19" t="str">
        <f aca="false">+VLOOKUP(B278,transacciones!$A$2:$I$39,6,FALSE())</f>
        <v>P1</v>
      </c>
      <c r="H278" s="37" t="str">
        <f aca="false">+VLOOKUP(B278,transacciones!$A$1:$I$39,7,FALSE())</f>
        <v>Producción</v>
      </c>
      <c r="I278" s="2" t="s">
        <v>559</v>
      </c>
      <c r="J278" s="25" t="s">
        <v>901</v>
      </c>
      <c r="K278" s="37" t="s">
        <v>528</v>
      </c>
      <c r="L278" s="37" t="str">
        <f aca="false">+VLOOKUP(K278,'Correl CIIU'!$A$1:$F$26,2,FALSE())</f>
        <v>Otras actividades de servicios</v>
      </c>
      <c r="M278" s="37" t="str">
        <f aca="false">+VLOOKUP(K278,'Correl CIIU'!$A$1:$F$26,3,FALSE())</f>
        <v>Otros servicios</v>
      </c>
      <c r="N278" s="37" t="str">
        <f aca="false">+VLOOKUP(K278,'Correl CIIU'!$A$1:$F$26,4,FALSE())</f>
        <v>Other service activities</v>
      </c>
      <c r="O278" s="37" t="n">
        <v>3</v>
      </c>
      <c r="P278" s="49" t="str">
        <f aca="false">+VLOOKUP(O278,bio!$A$2:$B$4,2,FALSE())</f>
        <v>No bioeconomía</v>
      </c>
    </row>
    <row r="279" customFormat="false" ht="15" hidden="false" customHeight="true" outlineLevel="0" collapsed="false">
      <c r="A279" s="0" t="s">
        <v>902</v>
      </c>
      <c r="B279" s="82" t="s">
        <v>337</v>
      </c>
      <c r="C279" s="83" t="str">
        <f aca="false">+VLOOKUP(B279,transacciones!$A$1:$I$39,2,FALSE())</f>
        <v>ATC01</v>
      </c>
      <c r="D279" s="83" t="str">
        <f aca="false">+VLOOKUP(B279,transacciones!$A$1:$I$39,3,FALSE())</f>
        <v>Producción / Consumo intermedio</v>
      </c>
      <c r="E279" s="83" t="str">
        <f aca="false">+VLOOKUP($B279,transacciones!$A$1:$I$39,4,FALSE())</f>
        <v>Producción</v>
      </c>
      <c r="F279" s="83" t="n">
        <f aca="false">+VLOOKUP(B279,transacciones!$A$2:$I$39,5,FALSE())</f>
        <v>1</v>
      </c>
      <c r="G279" s="83" t="str">
        <f aca="false">+VLOOKUP(B279,transacciones!$A$2:$I$39,6,FALSE())</f>
        <v>P1</v>
      </c>
      <c r="H279" s="84" t="str">
        <f aca="false">+VLOOKUP(B279,transacciones!$A$1:$I$39,7,FALSE())</f>
        <v>Producción</v>
      </c>
      <c r="I279" s="82" t="s">
        <v>559</v>
      </c>
      <c r="J279" s="85" t="s">
        <v>903</v>
      </c>
      <c r="K279" s="84" t="s">
        <v>532</v>
      </c>
      <c r="L279" s="84" t="str">
        <f aca="false">+VLOOKUP(K279,'Correl CIIU'!$A$1:$F$26,2,FALSE())</f>
        <v>Actividades de los hogares como empleadores; actividades no diferenciadas de los hogares como productores de bienes y servicios para uso propio</v>
      </c>
      <c r="M279" s="84" t="str">
        <f aca="false">+VLOOKUP(K279,'Correl CIIU'!$A$1:$F$26,3,FALSE())</f>
        <v>Hogares como empleadores</v>
      </c>
      <c r="N279" s="84" t="str">
        <f aca="false">+VLOOKUP(K279,'Correl CIIU'!$A$1:$F$26,4,FALSE())</f>
        <v>Activities of households as employers; undifferentiated goods- and services-producing activities of households for own use</v>
      </c>
      <c r="O279" s="84" t="n">
        <v>3</v>
      </c>
      <c r="P279" s="86" t="str">
        <f aca="false">+VLOOKUP(O279,bio!$A$2:$B$4,2,FALSE())</f>
        <v>No bioeconomía</v>
      </c>
    </row>
  </sheetData>
  <autoFilter ref="I1:J279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3.8"/>
    <col collapsed="false" customWidth="true" hidden="false" outlineLevel="0" max="2" min="2" style="1" width="15.29"/>
  </cols>
  <sheetData>
    <row r="1" customFormat="false" ht="12.8" hidden="false" customHeight="false" outlineLevel="0" collapsed="false">
      <c r="A1" s="87" t="s">
        <v>904</v>
      </c>
      <c r="B1" s="87" t="s">
        <v>905</v>
      </c>
      <c r="C1" s="87" t="s">
        <v>906</v>
      </c>
      <c r="D1" s="87" t="s">
        <v>907</v>
      </c>
      <c r="E1" s="87" t="s">
        <v>908</v>
      </c>
      <c r="F1" s="87" t="s">
        <v>909</v>
      </c>
    </row>
    <row r="2" customFormat="false" ht="12.8" hidden="false" customHeight="false" outlineLevel="0" collapsed="false">
      <c r="A2" s="1" t="s">
        <v>910</v>
      </c>
      <c r="B2" s="1" t="s">
        <v>911</v>
      </c>
      <c r="C2" s="1" t="s">
        <v>912</v>
      </c>
      <c r="D2" s="1" t="s">
        <v>913</v>
      </c>
      <c r="F2" s="1" t="s">
        <v>914</v>
      </c>
    </row>
    <row r="3" customFormat="false" ht="12.8" hidden="false" customHeight="false" outlineLevel="0" collapsed="false">
      <c r="A3" s="1" t="s">
        <v>915</v>
      </c>
      <c r="B3" s="1" t="s">
        <v>916</v>
      </c>
      <c r="C3" s="1" t="s">
        <v>917</v>
      </c>
      <c r="D3" s="1" t="s">
        <v>918</v>
      </c>
      <c r="F3" s="1" t="s">
        <v>919</v>
      </c>
    </row>
    <row r="4" customFormat="false" ht="12.8" hidden="false" customHeight="false" outlineLevel="0" collapsed="false">
      <c r="A4" s="1" t="s">
        <v>920</v>
      </c>
      <c r="B4" s="1" t="s">
        <v>921</v>
      </c>
      <c r="C4" s="1" t="s">
        <v>922</v>
      </c>
      <c r="D4" s="1" t="s">
        <v>923</v>
      </c>
      <c r="F4" s="1" t="s">
        <v>924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5" customHeight="true" zeroHeight="false" outlineLevelRow="0" outlineLevelCol="0"/>
  <cols>
    <col collapsed="false" customWidth="true" hidden="false" outlineLevel="0" max="2" min="1" style="0" width="43.45"/>
    <col collapsed="false" customWidth="true" hidden="false" outlineLevel="0" max="3" min="3" style="0" width="34.18"/>
    <col collapsed="false" customWidth="true" hidden="false" outlineLevel="0" max="4" min="4" style="0" width="50.18"/>
    <col collapsed="false" customWidth="true" hidden="false" outlineLevel="0" max="5" min="5" style="26" width="12.27"/>
    <col collapsed="false" customWidth="true" hidden="false" outlineLevel="0" max="6" min="6" style="0" width="30.54"/>
    <col collapsed="false" customWidth="true" hidden="false" outlineLevel="0" max="7" min="7" style="0" width="46.45"/>
    <col collapsed="false" customWidth="true" hidden="false" outlineLevel="0" max="9" min="8" style="0" width="25.45"/>
    <col collapsed="false" customWidth="true" hidden="false" outlineLevel="0" max="10" min="10" style="0" width="14"/>
  </cols>
  <sheetData>
    <row r="1" customFormat="false" ht="15" hidden="false" customHeight="false" outlineLevel="0" collapsed="false">
      <c r="A1" s="88" t="s">
        <v>298</v>
      </c>
      <c r="B1" s="89" t="s">
        <v>299</v>
      </c>
      <c r="C1" s="90" t="s">
        <v>300</v>
      </c>
      <c r="D1" s="88" t="s">
        <v>301</v>
      </c>
      <c r="E1" s="26" t="s">
        <v>302</v>
      </c>
      <c r="F1" s="26" t="s">
        <v>303</v>
      </c>
      <c r="G1" s="26" t="s">
        <v>304</v>
      </c>
      <c r="H1" s="90" t="s">
        <v>925</v>
      </c>
      <c r="I1" s="90" t="s">
        <v>926</v>
      </c>
    </row>
    <row r="2" customFormat="false" ht="15" hidden="false" customHeight="false" outlineLevel="0" collapsed="false">
      <c r="A2" s="91" t="s">
        <v>337</v>
      </c>
      <c r="B2" s="91" t="s">
        <v>927</v>
      </c>
      <c r="C2" s="92" t="s">
        <v>928</v>
      </c>
      <c r="D2" s="91" t="s">
        <v>929</v>
      </c>
      <c r="E2" s="91" t="n">
        <v>1</v>
      </c>
      <c r="F2" s="91" t="s">
        <v>930</v>
      </c>
      <c r="G2" s="91" t="s">
        <v>929</v>
      </c>
      <c r="H2" s="91" t="n">
        <v>1</v>
      </c>
      <c r="I2" s="91" t="n">
        <v>0</v>
      </c>
    </row>
    <row r="3" customFormat="false" ht="15" hidden="false" customHeight="false" outlineLevel="0" collapsed="false">
      <c r="A3" s="91" t="s">
        <v>931</v>
      </c>
      <c r="B3" s="91" t="s">
        <v>927</v>
      </c>
      <c r="C3" s="92" t="s">
        <v>928</v>
      </c>
      <c r="D3" s="91" t="s">
        <v>932</v>
      </c>
      <c r="E3" s="91" t="n">
        <v>1</v>
      </c>
      <c r="F3" s="91" t="s">
        <v>930</v>
      </c>
      <c r="G3" s="91" t="s">
        <v>929</v>
      </c>
      <c r="H3" s="91" t="n">
        <v>2</v>
      </c>
      <c r="I3" s="91" t="n">
        <v>1</v>
      </c>
    </row>
    <row r="4" customFormat="false" ht="15" hidden="false" customHeight="false" outlineLevel="0" collapsed="false">
      <c r="A4" s="91" t="s">
        <v>933</v>
      </c>
      <c r="B4" s="91" t="s">
        <v>927</v>
      </c>
      <c r="C4" s="92" t="s">
        <v>928</v>
      </c>
      <c r="D4" s="91" t="s">
        <v>934</v>
      </c>
      <c r="E4" s="91" t="n">
        <v>1</v>
      </c>
      <c r="F4" s="91" t="s">
        <v>930</v>
      </c>
      <c r="G4" s="91" t="s">
        <v>929</v>
      </c>
      <c r="H4" s="91" t="n">
        <v>3</v>
      </c>
      <c r="I4" s="91" t="n">
        <v>2</v>
      </c>
    </row>
    <row r="5" customFormat="false" ht="15" hidden="false" customHeight="false" outlineLevel="0" collapsed="false">
      <c r="A5" s="91" t="s">
        <v>935</v>
      </c>
      <c r="B5" s="91" t="s">
        <v>927</v>
      </c>
      <c r="C5" s="92" t="s">
        <v>928</v>
      </c>
      <c r="D5" s="91" t="s">
        <v>936</v>
      </c>
      <c r="E5" s="91" t="n">
        <v>1</v>
      </c>
      <c r="F5" s="91" t="s">
        <v>930</v>
      </c>
      <c r="G5" s="91" t="s">
        <v>929</v>
      </c>
      <c r="H5" s="91" t="n">
        <v>4</v>
      </c>
      <c r="I5" s="91" t="n">
        <v>3</v>
      </c>
    </row>
    <row r="6" customFormat="false" ht="15" hidden="false" customHeight="false" outlineLevel="0" collapsed="false">
      <c r="A6" s="91" t="s">
        <v>558</v>
      </c>
      <c r="B6" s="91" t="s">
        <v>927</v>
      </c>
      <c r="C6" s="92" t="s">
        <v>928</v>
      </c>
      <c r="D6" s="91" t="s">
        <v>937</v>
      </c>
      <c r="E6" s="91" t="n">
        <v>2</v>
      </c>
      <c r="F6" s="91" t="s">
        <v>938</v>
      </c>
      <c r="G6" s="91" t="s">
        <v>684</v>
      </c>
      <c r="H6" s="91" t="n">
        <v>5</v>
      </c>
      <c r="I6" s="91" t="n">
        <v>0</v>
      </c>
    </row>
    <row r="7" customFormat="false" ht="15" hidden="false" customHeight="false" outlineLevel="0" collapsed="false">
      <c r="A7" s="91" t="s">
        <v>556</v>
      </c>
      <c r="B7" s="91" t="s">
        <v>927</v>
      </c>
      <c r="C7" s="92" t="s">
        <v>928</v>
      </c>
      <c r="D7" s="91" t="s">
        <v>939</v>
      </c>
      <c r="E7" s="91" t="n">
        <v>2</v>
      </c>
      <c r="F7" s="91" t="s">
        <v>938</v>
      </c>
      <c r="G7" s="91" t="s">
        <v>684</v>
      </c>
      <c r="H7" s="91" t="n">
        <v>6</v>
      </c>
      <c r="I7" s="91" t="n">
        <v>1</v>
      </c>
    </row>
    <row r="8" customFormat="false" ht="15" hidden="false" customHeight="false" outlineLevel="0" collapsed="false">
      <c r="A8" s="91" t="s">
        <v>940</v>
      </c>
      <c r="B8" s="91" t="s">
        <v>927</v>
      </c>
      <c r="C8" s="92" t="s">
        <v>928</v>
      </c>
      <c r="D8" s="91" t="s">
        <v>941</v>
      </c>
      <c r="E8" s="91" t="n">
        <v>2</v>
      </c>
      <c r="F8" s="91" t="s">
        <v>938</v>
      </c>
      <c r="G8" s="91" t="s">
        <v>684</v>
      </c>
      <c r="H8" s="91" t="n">
        <v>7</v>
      </c>
      <c r="I8" s="91" t="n">
        <v>2</v>
      </c>
    </row>
    <row r="9" customFormat="false" ht="15" hidden="false" customHeight="false" outlineLevel="0" collapsed="false">
      <c r="A9" s="91" t="s">
        <v>942</v>
      </c>
      <c r="B9" s="91" t="s">
        <v>927</v>
      </c>
      <c r="C9" s="92" t="s">
        <v>928</v>
      </c>
      <c r="D9" s="91" t="s">
        <v>943</v>
      </c>
      <c r="E9" s="91" t="n">
        <v>2</v>
      </c>
      <c r="F9" s="91" t="s">
        <v>938</v>
      </c>
      <c r="G9" s="91" t="s">
        <v>684</v>
      </c>
      <c r="H9" s="91" t="n">
        <v>8</v>
      </c>
      <c r="I9" s="91" t="n">
        <v>3</v>
      </c>
    </row>
    <row r="10" customFormat="false" ht="15" hidden="false" customHeight="false" outlineLevel="0" collapsed="false">
      <c r="A10" s="91" t="s">
        <v>700</v>
      </c>
      <c r="B10" s="91" t="s">
        <v>944</v>
      </c>
      <c r="C10" s="91" t="s">
        <v>696</v>
      </c>
      <c r="D10" s="91" t="s">
        <v>945</v>
      </c>
      <c r="E10" s="91" t="n">
        <v>3</v>
      </c>
      <c r="F10" s="91" t="s">
        <v>946</v>
      </c>
      <c r="G10" s="91" t="s">
        <v>696</v>
      </c>
      <c r="H10" s="91" t="n">
        <v>9</v>
      </c>
      <c r="I10" s="91" t="n">
        <v>9</v>
      </c>
    </row>
    <row r="11" customFormat="false" ht="15" hidden="false" customHeight="false" outlineLevel="0" collapsed="false">
      <c r="A11" s="91" t="s">
        <v>710</v>
      </c>
      <c r="B11" s="91" t="s">
        <v>944</v>
      </c>
      <c r="C11" s="92" t="s">
        <v>947</v>
      </c>
      <c r="D11" s="93" t="s">
        <v>948</v>
      </c>
      <c r="E11" s="91" t="n">
        <v>3</v>
      </c>
      <c r="F11" s="91" t="s">
        <v>946</v>
      </c>
      <c r="G11" s="91" t="s">
        <v>696</v>
      </c>
      <c r="H11" s="91" t="n">
        <v>10</v>
      </c>
      <c r="I11" s="91" t="n">
        <v>9</v>
      </c>
    </row>
    <row r="12" customFormat="false" ht="15" hidden="false" customHeight="false" outlineLevel="0" collapsed="false">
      <c r="A12" s="91" t="s">
        <v>949</v>
      </c>
      <c r="B12" s="91" t="s">
        <v>944</v>
      </c>
      <c r="C12" s="92" t="s">
        <v>947</v>
      </c>
      <c r="D12" s="91" t="s">
        <v>950</v>
      </c>
      <c r="E12" s="91" t="n">
        <v>3</v>
      </c>
      <c r="F12" s="91" t="s">
        <v>946</v>
      </c>
      <c r="G12" s="91" t="s">
        <v>696</v>
      </c>
      <c r="H12" s="91" t="n">
        <v>11</v>
      </c>
      <c r="I12" s="91" t="n">
        <v>9</v>
      </c>
    </row>
    <row r="13" customFormat="false" ht="15" hidden="false" customHeight="false" outlineLevel="0" collapsed="false">
      <c r="A13" s="91" t="s">
        <v>951</v>
      </c>
      <c r="B13" s="91" t="s">
        <v>944</v>
      </c>
      <c r="C13" s="92" t="s">
        <v>947</v>
      </c>
      <c r="D13" s="91" t="s">
        <v>952</v>
      </c>
      <c r="E13" s="91" t="n">
        <v>3</v>
      </c>
      <c r="F13" s="91" t="s">
        <v>946</v>
      </c>
      <c r="G13" s="91" t="s">
        <v>696</v>
      </c>
      <c r="H13" s="91" t="n">
        <v>12</v>
      </c>
      <c r="I13" s="91" t="n">
        <v>9</v>
      </c>
    </row>
    <row r="14" customFormat="false" ht="15" hidden="false" customHeight="false" outlineLevel="0" collapsed="false">
      <c r="A14" s="91" t="s">
        <v>953</v>
      </c>
      <c r="B14" s="91" t="s">
        <v>944</v>
      </c>
      <c r="C14" s="92" t="s">
        <v>947</v>
      </c>
      <c r="D14" s="91" t="s">
        <v>954</v>
      </c>
      <c r="E14" s="91" t="n">
        <v>3</v>
      </c>
      <c r="F14" s="91" t="s">
        <v>946</v>
      </c>
      <c r="G14" s="91" t="s">
        <v>696</v>
      </c>
      <c r="H14" s="91"/>
      <c r="I14" s="91"/>
    </row>
    <row r="15" customFormat="false" ht="15" hidden="false" customHeight="false" outlineLevel="0" collapsed="false">
      <c r="A15" s="91" t="s">
        <v>720</v>
      </c>
      <c r="B15" s="91" t="s">
        <v>944</v>
      </c>
      <c r="C15" s="92" t="s">
        <v>947</v>
      </c>
      <c r="D15" s="91" t="s">
        <v>955</v>
      </c>
      <c r="E15" s="91" t="n">
        <v>3</v>
      </c>
      <c r="F15" s="91" t="s">
        <v>946</v>
      </c>
      <c r="G15" s="91" t="s">
        <v>696</v>
      </c>
      <c r="H15" s="91" t="n">
        <v>13</v>
      </c>
      <c r="I15" s="91" t="n">
        <v>9</v>
      </c>
    </row>
    <row r="16" customFormat="false" ht="15" hidden="false" customHeight="false" outlineLevel="0" collapsed="false">
      <c r="A16" s="91" t="s">
        <v>724</v>
      </c>
      <c r="B16" s="91" t="s">
        <v>944</v>
      </c>
      <c r="C16" s="92" t="s">
        <v>947</v>
      </c>
      <c r="D16" s="91" t="s">
        <v>956</v>
      </c>
      <c r="E16" s="91" t="n">
        <v>3</v>
      </c>
      <c r="F16" s="91" t="s">
        <v>946</v>
      </c>
      <c r="G16" s="91" t="s">
        <v>696</v>
      </c>
      <c r="H16" s="91" t="n">
        <v>14</v>
      </c>
      <c r="I16" s="91" t="n">
        <v>9</v>
      </c>
    </row>
    <row r="17" customFormat="false" ht="15" hidden="false" customHeight="false" outlineLevel="0" collapsed="false">
      <c r="A17" s="91" t="s">
        <v>957</v>
      </c>
      <c r="B17" s="91" t="s">
        <v>944</v>
      </c>
      <c r="C17" s="92" t="s">
        <v>947</v>
      </c>
      <c r="D17" s="91" t="s">
        <v>958</v>
      </c>
      <c r="E17" s="91" t="n">
        <v>4</v>
      </c>
      <c r="F17" s="91" t="s">
        <v>959</v>
      </c>
      <c r="G17" s="91" t="s">
        <v>960</v>
      </c>
      <c r="H17" s="91" t="n">
        <v>15</v>
      </c>
      <c r="I17" s="91" t="n">
        <v>9</v>
      </c>
    </row>
    <row r="18" customFormat="false" ht="15" hidden="false" customHeight="false" outlineLevel="0" collapsed="false">
      <c r="A18" s="91" t="s">
        <v>961</v>
      </c>
      <c r="B18" s="91" t="s">
        <v>944</v>
      </c>
      <c r="C18" s="92" t="s">
        <v>947</v>
      </c>
      <c r="D18" s="91" t="s">
        <v>962</v>
      </c>
      <c r="E18" s="91" t="n">
        <v>4</v>
      </c>
      <c r="F18" s="91" t="s">
        <v>959</v>
      </c>
      <c r="G18" s="91" t="s">
        <v>960</v>
      </c>
      <c r="H18" s="91" t="n">
        <v>16</v>
      </c>
      <c r="I18" s="91" t="n">
        <v>9</v>
      </c>
    </row>
    <row r="19" customFormat="false" ht="15" hidden="false" customHeight="false" outlineLevel="0" collapsed="false">
      <c r="A19" s="91" t="s">
        <v>738</v>
      </c>
      <c r="B19" s="91" t="s">
        <v>963</v>
      </c>
      <c r="C19" s="92" t="s">
        <v>947</v>
      </c>
      <c r="D19" s="91" t="s">
        <v>739</v>
      </c>
      <c r="E19" s="91" t="n">
        <v>5</v>
      </c>
      <c r="F19" s="91" t="s">
        <v>964</v>
      </c>
      <c r="G19" s="91" t="s">
        <v>965</v>
      </c>
      <c r="H19" s="91" t="n">
        <v>17</v>
      </c>
      <c r="I19" s="91" t="n">
        <v>10</v>
      </c>
    </row>
    <row r="20" customFormat="false" ht="15" hidden="false" customHeight="false" outlineLevel="0" collapsed="false">
      <c r="A20" s="91" t="s">
        <v>966</v>
      </c>
      <c r="B20" s="91" t="s">
        <v>963</v>
      </c>
      <c r="C20" s="92" t="s">
        <v>947</v>
      </c>
      <c r="D20" s="91" t="s">
        <v>967</v>
      </c>
      <c r="E20" s="91" t="n">
        <v>5</v>
      </c>
      <c r="F20" s="91" t="s">
        <v>964</v>
      </c>
      <c r="G20" s="91" t="s">
        <v>965</v>
      </c>
      <c r="H20" s="91" t="n">
        <v>18</v>
      </c>
      <c r="I20" s="91" t="n">
        <v>10</v>
      </c>
    </row>
    <row r="21" customFormat="false" ht="15" hidden="false" customHeight="false" outlineLevel="0" collapsed="false">
      <c r="A21" s="91" t="s">
        <v>748</v>
      </c>
      <c r="B21" s="91" t="s">
        <v>963</v>
      </c>
      <c r="C21" s="92" t="s">
        <v>947</v>
      </c>
      <c r="D21" s="91" t="s">
        <v>749</v>
      </c>
      <c r="E21" s="91" t="n">
        <v>5</v>
      </c>
      <c r="F21" s="91" t="s">
        <v>964</v>
      </c>
      <c r="G21" s="91" t="s">
        <v>965</v>
      </c>
      <c r="H21" s="91" t="n">
        <v>19</v>
      </c>
      <c r="I21" s="91" t="n">
        <v>10</v>
      </c>
    </row>
    <row r="22" customFormat="false" ht="15" hidden="false" customHeight="false" outlineLevel="0" collapsed="false">
      <c r="A22" s="91" t="s">
        <v>758</v>
      </c>
      <c r="B22" s="91" t="s">
        <v>963</v>
      </c>
      <c r="C22" s="92" t="s">
        <v>947</v>
      </c>
      <c r="D22" s="91" t="s">
        <v>968</v>
      </c>
      <c r="E22" s="91" t="n">
        <v>5</v>
      </c>
      <c r="F22" s="91" t="s">
        <v>964</v>
      </c>
      <c r="G22" s="91" t="s">
        <v>965</v>
      </c>
      <c r="H22" s="91" t="n">
        <v>20</v>
      </c>
      <c r="I22" s="91" t="n">
        <v>10</v>
      </c>
    </row>
    <row r="23" customFormat="false" ht="15" hidden="false" customHeight="false" outlineLevel="0" collapsed="false">
      <c r="A23" s="91" t="s">
        <v>969</v>
      </c>
      <c r="B23" s="91" t="s">
        <v>970</v>
      </c>
      <c r="C23" s="92" t="s">
        <v>971</v>
      </c>
      <c r="D23" s="91" t="s">
        <v>972</v>
      </c>
      <c r="E23" s="91" t="n">
        <v>6</v>
      </c>
      <c r="F23" s="91" t="s">
        <v>973</v>
      </c>
      <c r="G23" s="91" t="s">
        <v>972</v>
      </c>
      <c r="H23" s="91" t="n">
        <v>21</v>
      </c>
      <c r="I23" s="91" t="n">
        <v>4</v>
      </c>
    </row>
    <row r="24" customFormat="false" ht="15" hidden="false" customHeight="false" outlineLevel="0" collapsed="false">
      <c r="A24" s="91" t="s">
        <v>768</v>
      </c>
      <c r="B24" s="91" t="s">
        <v>970</v>
      </c>
      <c r="C24" s="92" t="s">
        <v>971</v>
      </c>
      <c r="D24" s="91" t="s">
        <v>974</v>
      </c>
      <c r="E24" s="91" t="n">
        <v>6</v>
      </c>
      <c r="F24" s="91" t="s">
        <v>973</v>
      </c>
      <c r="G24" s="91" t="s">
        <v>972</v>
      </c>
      <c r="H24" s="91" t="n">
        <v>22</v>
      </c>
      <c r="I24" s="91" t="n">
        <v>4</v>
      </c>
    </row>
    <row r="25" customFormat="false" ht="15" hidden="false" customHeight="false" outlineLevel="0" collapsed="false">
      <c r="A25" s="91" t="s">
        <v>771</v>
      </c>
      <c r="B25" s="91" t="s">
        <v>970</v>
      </c>
      <c r="C25" s="92" t="s">
        <v>971</v>
      </c>
      <c r="D25" s="91" t="s">
        <v>975</v>
      </c>
      <c r="E25" s="91" t="n">
        <v>6</v>
      </c>
      <c r="F25" s="91" t="s">
        <v>973</v>
      </c>
      <c r="G25" s="91" t="s">
        <v>972</v>
      </c>
      <c r="H25" s="91" t="n">
        <v>23</v>
      </c>
      <c r="I25" s="91" t="n">
        <v>4</v>
      </c>
    </row>
    <row r="26" customFormat="false" ht="15" hidden="false" customHeight="false" outlineLevel="0" collapsed="false">
      <c r="A26" s="91" t="s">
        <v>976</v>
      </c>
      <c r="B26" s="91" t="s">
        <v>970</v>
      </c>
      <c r="C26" s="92" t="s">
        <v>971</v>
      </c>
      <c r="D26" s="91" t="s">
        <v>977</v>
      </c>
      <c r="E26" s="91" t="n">
        <v>7</v>
      </c>
      <c r="F26" s="91" t="s">
        <v>978</v>
      </c>
      <c r="G26" s="91" t="s">
        <v>977</v>
      </c>
      <c r="H26" s="91" t="n">
        <v>24</v>
      </c>
      <c r="I26" s="91"/>
    </row>
    <row r="27" customFormat="false" ht="15" hidden="false" customHeight="false" outlineLevel="0" collapsed="false">
      <c r="A27" s="91" t="s">
        <v>547</v>
      </c>
      <c r="B27" s="91" t="s">
        <v>970</v>
      </c>
      <c r="C27" s="92" t="s">
        <v>971</v>
      </c>
      <c r="D27" s="91" t="s">
        <v>979</v>
      </c>
      <c r="E27" s="91" t="n">
        <v>7</v>
      </c>
      <c r="F27" s="91" t="s">
        <v>978</v>
      </c>
      <c r="G27" s="91" t="s">
        <v>977</v>
      </c>
      <c r="H27" s="91" t="n">
        <v>25</v>
      </c>
      <c r="I27" s="91" t="n">
        <v>4</v>
      </c>
    </row>
    <row r="28" customFormat="false" ht="15" hidden="false" customHeight="false" outlineLevel="0" collapsed="false">
      <c r="A28" s="91" t="s">
        <v>550</v>
      </c>
      <c r="B28" s="91" t="s">
        <v>970</v>
      </c>
      <c r="C28" s="92" t="s">
        <v>971</v>
      </c>
      <c r="D28" s="91" t="s">
        <v>980</v>
      </c>
      <c r="E28" s="91" t="n">
        <v>7</v>
      </c>
      <c r="F28" s="91" t="s">
        <v>978</v>
      </c>
      <c r="G28" s="91" t="s">
        <v>977</v>
      </c>
      <c r="H28" s="91" t="n">
        <v>26</v>
      </c>
      <c r="I28" s="91" t="n">
        <v>4</v>
      </c>
    </row>
    <row r="29" customFormat="false" ht="15" hidden="false" customHeight="false" outlineLevel="0" collapsed="false">
      <c r="A29" s="91" t="s">
        <v>544</v>
      </c>
      <c r="B29" s="91" t="s">
        <v>981</v>
      </c>
      <c r="C29" s="92" t="s">
        <v>982</v>
      </c>
      <c r="D29" s="91" t="s">
        <v>983</v>
      </c>
      <c r="E29" s="91" t="n">
        <v>8</v>
      </c>
      <c r="F29" s="91" t="s">
        <v>544</v>
      </c>
      <c r="G29" s="91" t="s">
        <v>983</v>
      </c>
      <c r="H29" s="91" t="n">
        <v>27</v>
      </c>
      <c r="I29" s="91" t="n">
        <v>5</v>
      </c>
    </row>
    <row r="30" customFormat="false" ht="15" hidden="false" customHeight="false" outlineLevel="0" collapsed="false">
      <c r="A30" s="91" t="s">
        <v>326</v>
      </c>
      <c r="B30" s="91" t="s">
        <v>984</v>
      </c>
      <c r="C30" s="92" t="s">
        <v>985</v>
      </c>
      <c r="D30" s="91" t="s">
        <v>986</v>
      </c>
      <c r="E30" s="91" t="n">
        <v>9</v>
      </c>
      <c r="F30" s="91" t="s">
        <v>987</v>
      </c>
      <c r="G30" s="91" t="s">
        <v>988</v>
      </c>
      <c r="H30" s="91" t="n">
        <v>28</v>
      </c>
      <c r="I30" s="91" t="n">
        <v>6</v>
      </c>
    </row>
    <row r="31" customFormat="false" ht="15" hidden="false" customHeight="false" outlineLevel="0" collapsed="false">
      <c r="A31" s="91" t="s">
        <v>323</v>
      </c>
      <c r="B31" s="91" t="s">
        <v>984</v>
      </c>
      <c r="C31" s="92" t="s">
        <v>985</v>
      </c>
      <c r="D31" s="91" t="s">
        <v>989</v>
      </c>
      <c r="E31" s="91" t="n">
        <v>9</v>
      </c>
      <c r="F31" s="91" t="s">
        <v>987</v>
      </c>
      <c r="G31" s="91" t="s">
        <v>988</v>
      </c>
      <c r="H31" s="91" t="n">
        <v>29</v>
      </c>
      <c r="I31" s="91" t="n">
        <v>6</v>
      </c>
    </row>
    <row r="32" customFormat="false" ht="15" hidden="false" customHeight="false" outlineLevel="0" collapsed="false">
      <c r="A32" s="91" t="s">
        <v>990</v>
      </c>
      <c r="B32" s="91" t="s">
        <v>984</v>
      </c>
      <c r="C32" s="92" t="s">
        <v>985</v>
      </c>
      <c r="D32" s="91" t="s">
        <v>991</v>
      </c>
      <c r="E32" s="91" t="n">
        <v>9</v>
      </c>
      <c r="F32" s="91" t="s">
        <v>987</v>
      </c>
      <c r="G32" s="91" t="s">
        <v>988</v>
      </c>
      <c r="H32" s="91" t="n">
        <v>30</v>
      </c>
      <c r="I32" s="91" t="n">
        <v>6</v>
      </c>
    </row>
    <row r="33" customFormat="false" ht="15" hidden="false" customHeight="false" outlineLevel="0" collapsed="false">
      <c r="A33" s="91" t="s">
        <v>329</v>
      </c>
      <c r="B33" s="91" t="s">
        <v>984</v>
      </c>
      <c r="C33" s="92" t="s">
        <v>985</v>
      </c>
      <c r="D33" s="91" t="s">
        <v>992</v>
      </c>
      <c r="E33" s="91" t="n">
        <v>9</v>
      </c>
      <c r="F33" s="91" t="s">
        <v>987</v>
      </c>
      <c r="G33" s="91" t="s">
        <v>988</v>
      </c>
      <c r="H33" s="91" t="n">
        <v>31</v>
      </c>
      <c r="I33" s="91" t="n">
        <v>6</v>
      </c>
    </row>
    <row r="34" customFormat="false" ht="15" hidden="false" customHeight="false" outlineLevel="0" collapsed="false">
      <c r="A34" s="91" t="s">
        <v>993</v>
      </c>
      <c r="B34" s="91" t="s">
        <v>984</v>
      </c>
      <c r="C34" s="92" t="s">
        <v>985</v>
      </c>
      <c r="D34" s="91" t="s">
        <v>994</v>
      </c>
      <c r="E34" s="91" t="n">
        <v>10</v>
      </c>
      <c r="F34" s="91" t="s">
        <v>995</v>
      </c>
      <c r="G34" s="91" t="s">
        <v>994</v>
      </c>
      <c r="H34" s="91" t="n">
        <v>32</v>
      </c>
      <c r="I34" s="91" t="n">
        <v>6</v>
      </c>
    </row>
    <row r="35" customFormat="false" ht="15" hidden="false" customHeight="false" outlineLevel="0" collapsed="false">
      <c r="A35" s="91" t="s">
        <v>332</v>
      </c>
      <c r="B35" s="91" t="s">
        <v>984</v>
      </c>
      <c r="C35" s="92" t="s">
        <v>985</v>
      </c>
      <c r="D35" s="91" t="s">
        <v>333</v>
      </c>
      <c r="E35" s="91" t="n">
        <v>11</v>
      </c>
      <c r="F35" s="91" t="s">
        <v>996</v>
      </c>
      <c r="G35" s="91" t="s">
        <v>997</v>
      </c>
      <c r="H35" s="91" t="n">
        <v>33</v>
      </c>
      <c r="I35" s="91" t="n">
        <v>7</v>
      </c>
    </row>
    <row r="36" customFormat="false" ht="15" hidden="false" customHeight="false" outlineLevel="0" collapsed="false">
      <c r="A36" s="91" t="s">
        <v>998</v>
      </c>
      <c r="B36" s="91" t="s">
        <v>999</v>
      </c>
      <c r="C36" s="92" t="s">
        <v>985</v>
      </c>
      <c r="D36" s="91" t="s">
        <v>1000</v>
      </c>
      <c r="E36" s="91" t="n">
        <v>11</v>
      </c>
      <c r="F36" s="91" t="s">
        <v>996</v>
      </c>
      <c r="G36" s="91" t="s">
        <v>997</v>
      </c>
      <c r="H36" s="91" t="n">
        <v>34</v>
      </c>
      <c r="I36" s="91" t="n">
        <v>7</v>
      </c>
    </row>
    <row r="37" customFormat="false" ht="15" hidden="false" customHeight="false" outlineLevel="0" collapsed="false">
      <c r="A37" s="91" t="s">
        <v>316</v>
      </c>
      <c r="B37" s="91" t="s">
        <v>1001</v>
      </c>
      <c r="C37" s="92" t="s">
        <v>1002</v>
      </c>
      <c r="D37" s="91" t="s">
        <v>318</v>
      </c>
      <c r="E37" s="91" t="n">
        <v>12</v>
      </c>
      <c r="F37" s="91" t="s">
        <v>1003</v>
      </c>
      <c r="G37" s="91" t="s">
        <v>1002</v>
      </c>
      <c r="H37" s="91" t="n">
        <v>35</v>
      </c>
      <c r="I37" s="91" t="n">
        <v>8</v>
      </c>
    </row>
    <row r="38" customFormat="false" ht="15" hidden="false" customHeight="false" outlineLevel="0" collapsed="false">
      <c r="A38" s="91" t="s">
        <v>320</v>
      </c>
      <c r="B38" s="91" t="s">
        <v>1001</v>
      </c>
      <c r="C38" s="92" t="s">
        <v>1002</v>
      </c>
      <c r="D38" s="91" t="s">
        <v>321</v>
      </c>
      <c r="E38" s="91" t="n">
        <v>12</v>
      </c>
      <c r="F38" s="91" t="s">
        <v>1003</v>
      </c>
      <c r="G38" s="91" t="s">
        <v>1002</v>
      </c>
      <c r="H38" s="91" t="n">
        <v>36</v>
      </c>
      <c r="I38" s="91" t="n">
        <v>8</v>
      </c>
    </row>
    <row r="39" customFormat="false" ht="15" hidden="false" customHeight="false" outlineLevel="0" collapsed="false">
      <c r="A39" s="91" t="s">
        <v>1004</v>
      </c>
      <c r="B39" s="91" t="s">
        <v>1001</v>
      </c>
      <c r="C39" s="92" t="s">
        <v>1002</v>
      </c>
      <c r="D39" s="91" t="s">
        <v>1005</v>
      </c>
      <c r="E39" s="91" t="n">
        <v>12</v>
      </c>
      <c r="F39" s="91" t="s">
        <v>1003</v>
      </c>
      <c r="G39" s="91" t="s">
        <v>1002</v>
      </c>
      <c r="H39" s="91" t="n">
        <v>37</v>
      </c>
      <c r="I39" s="91" t="n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1" activeCellId="0" sqref="A11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0" width="14.18"/>
    <col collapsed="false" customWidth="true" hidden="false" outlineLevel="0" max="2" min="2" style="0" width="48.54"/>
    <col collapsed="false" customWidth="true" hidden="false" outlineLevel="0" max="3" min="3" style="0" width="24.54"/>
  </cols>
  <sheetData>
    <row r="1" customFormat="false" ht="14.25" hidden="false" customHeight="false" outlineLevel="0" collapsed="false">
      <c r="A1" s="94" t="s">
        <v>307</v>
      </c>
      <c r="B1" s="94" t="s">
        <v>308</v>
      </c>
      <c r="C1" s="94" t="s">
        <v>309</v>
      </c>
      <c r="D1" s="94" t="s">
        <v>310</v>
      </c>
      <c r="E1" s="94"/>
      <c r="F1" s="94"/>
    </row>
    <row r="2" customFormat="false" ht="14.25" hidden="false" customHeight="false" outlineLevel="0" collapsed="false">
      <c r="A2" s="95" t="s">
        <v>340</v>
      </c>
      <c r="B2" s="95" t="s">
        <v>1006</v>
      </c>
      <c r="C2" s="95" t="s">
        <v>1007</v>
      </c>
      <c r="D2" s="95" t="s">
        <v>1008</v>
      </c>
      <c r="E2" s="95"/>
      <c r="F2" s="95"/>
    </row>
    <row r="3" customFormat="false" ht="14.25" hidden="false" customHeight="false" outlineLevel="0" collapsed="false">
      <c r="A3" s="95" t="s">
        <v>359</v>
      </c>
      <c r="B3" s="95" t="s">
        <v>1009</v>
      </c>
      <c r="C3" s="95" t="s">
        <v>1010</v>
      </c>
      <c r="D3" s="95" t="s">
        <v>1011</v>
      </c>
      <c r="E3" s="95"/>
      <c r="F3" s="95"/>
    </row>
    <row r="4" customFormat="false" ht="14.25" hidden="false" customHeight="false" outlineLevel="0" collapsed="false">
      <c r="A4" s="95" t="s">
        <v>372</v>
      </c>
      <c r="B4" s="95" t="s">
        <v>1012</v>
      </c>
      <c r="C4" s="95" t="s">
        <v>1013</v>
      </c>
      <c r="D4" s="95" t="s">
        <v>1014</v>
      </c>
      <c r="E4" s="95"/>
      <c r="F4" s="95"/>
    </row>
    <row r="5" customFormat="false" ht="14.25" hidden="false" customHeight="false" outlineLevel="0" collapsed="false">
      <c r="A5" s="95" t="s">
        <v>372</v>
      </c>
      <c r="B5" s="95" t="s">
        <v>1012</v>
      </c>
      <c r="C5" s="95" t="s">
        <v>1013</v>
      </c>
      <c r="D5" s="95" t="s">
        <v>1014</v>
      </c>
      <c r="E5" s="95"/>
      <c r="F5" s="95"/>
    </row>
    <row r="6" customFormat="false" ht="14.25" hidden="false" customHeight="false" outlineLevel="0" collapsed="false">
      <c r="A6" s="95" t="s">
        <v>372</v>
      </c>
      <c r="B6" s="95" t="s">
        <v>1012</v>
      </c>
      <c r="C6" s="95" t="s">
        <v>1013</v>
      </c>
      <c r="D6" s="95" t="s">
        <v>1014</v>
      </c>
      <c r="E6" s="95"/>
      <c r="F6" s="95"/>
    </row>
    <row r="7" customFormat="false" ht="14.25" hidden="false" customHeight="false" outlineLevel="0" collapsed="false">
      <c r="A7" s="95" t="s">
        <v>445</v>
      </c>
      <c r="B7" s="95" t="s">
        <v>1015</v>
      </c>
      <c r="C7" s="95" t="s">
        <v>1016</v>
      </c>
      <c r="D7" s="95" t="s">
        <v>1017</v>
      </c>
      <c r="E7" s="95"/>
      <c r="F7" s="95"/>
    </row>
    <row r="8" customFormat="false" ht="14.25" hidden="false" customHeight="false" outlineLevel="0" collapsed="false">
      <c r="A8" s="95" t="s">
        <v>452</v>
      </c>
      <c r="B8" s="95" t="s">
        <v>1018</v>
      </c>
      <c r="C8" s="95" t="s">
        <v>1019</v>
      </c>
      <c r="D8" s="95" t="s">
        <v>1020</v>
      </c>
      <c r="E8" s="95"/>
      <c r="F8" s="95"/>
    </row>
    <row r="9" customFormat="false" ht="14.25" hidden="false" customHeight="false" outlineLevel="0" collapsed="false">
      <c r="A9" s="95" t="s">
        <v>462</v>
      </c>
      <c r="B9" s="95" t="s">
        <v>1021</v>
      </c>
      <c r="C9" s="95" t="s">
        <v>1021</v>
      </c>
      <c r="D9" s="95" t="s">
        <v>1022</v>
      </c>
      <c r="E9" s="95"/>
      <c r="F9" s="95"/>
    </row>
    <row r="10" customFormat="false" ht="14.25" hidden="false" customHeight="false" outlineLevel="0" collapsed="false">
      <c r="A10" s="95" t="s">
        <v>472</v>
      </c>
      <c r="B10" s="95" t="s">
        <v>1023</v>
      </c>
      <c r="C10" s="95" t="s">
        <v>1024</v>
      </c>
      <c r="D10" s="95" t="s">
        <v>1025</v>
      </c>
      <c r="E10" s="95"/>
      <c r="F10" s="95"/>
    </row>
    <row r="11" customFormat="false" ht="14.25" hidden="false" customHeight="false" outlineLevel="0" collapsed="false">
      <c r="A11" s="95" t="s">
        <v>479</v>
      </c>
      <c r="B11" s="95" t="s">
        <v>1026</v>
      </c>
      <c r="C11" s="95" t="s">
        <v>1026</v>
      </c>
      <c r="D11" s="95" t="s">
        <v>1027</v>
      </c>
      <c r="E11" s="95"/>
      <c r="F11" s="95"/>
    </row>
    <row r="12" customFormat="false" ht="14.25" hidden="false" customHeight="false" outlineLevel="0" collapsed="false">
      <c r="A12" s="95" t="s">
        <v>492</v>
      </c>
      <c r="B12" s="95" t="s">
        <v>497</v>
      </c>
      <c r="C12" s="95" t="s">
        <v>497</v>
      </c>
      <c r="D12" s="95" t="s">
        <v>1028</v>
      </c>
      <c r="E12" s="95"/>
      <c r="F12" s="95"/>
    </row>
    <row r="13" customFormat="false" ht="14.25" hidden="false" customHeight="false" outlineLevel="0" collapsed="false">
      <c r="A13" s="95" t="s">
        <v>494</v>
      </c>
      <c r="B13" s="95" t="s">
        <v>1029</v>
      </c>
      <c r="C13" s="95" t="s">
        <v>1030</v>
      </c>
      <c r="D13" s="95" t="s">
        <v>1031</v>
      </c>
      <c r="E13" s="95"/>
      <c r="F13" s="95"/>
    </row>
    <row r="14" customFormat="false" ht="14.25" hidden="false" customHeight="false" outlineLevel="0" collapsed="false">
      <c r="A14" s="95" t="s">
        <v>499</v>
      </c>
      <c r="B14" s="95" t="s">
        <v>500</v>
      </c>
      <c r="C14" s="95" t="s">
        <v>1032</v>
      </c>
      <c r="D14" s="95" t="s">
        <v>1033</v>
      </c>
      <c r="E14" s="95"/>
      <c r="F14" s="95"/>
    </row>
    <row r="15" customFormat="false" ht="14.25" hidden="false" customHeight="false" outlineLevel="0" collapsed="false">
      <c r="A15" s="95" t="s">
        <v>504</v>
      </c>
      <c r="B15" s="95" t="s">
        <v>503</v>
      </c>
      <c r="C15" s="95" t="s">
        <v>1034</v>
      </c>
      <c r="D15" s="95" t="s">
        <v>1035</v>
      </c>
      <c r="E15" s="95"/>
      <c r="F15" s="95"/>
    </row>
    <row r="16" customFormat="false" ht="14.25" hidden="false" customHeight="false" outlineLevel="0" collapsed="false">
      <c r="A16" s="95" t="s">
        <v>506</v>
      </c>
      <c r="B16" s="95" t="s">
        <v>507</v>
      </c>
      <c r="C16" s="95" t="s">
        <v>1036</v>
      </c>
      <c r="D16" s="95" t="s">
        <v>1037</v>
      </c>
      <c r="E16" s="95"/>
      <c r="F16" s="95"/>
    </row>
    <row r="17" customFormat="false" ht="14.25" hidden="false" customHeight="false" outlineLevel="0" collapsed="false">
      <c r="A17" s="95" t="s">
        <v>511</v>
      </c>
      <c r="B17" s="95" t="s">
        <v>510</v>
      </c>
      <c r="C17" s="95" t="s">
        <v>1038</v>
      </c>
      <c r="D17" s="95" t="s">
        <v>1039</v>
      </c>
      <c r="E17" s="95"/>
      <c r="F17" s="95"/>
    </row>
    <row r="18" customFormat="false" ht="14.25" hidden="false" customHeight="false" outlineLevel="0" collapsed="false">
      <c r="A18" s="95" t="s">
        <v>518</v>
      </c>
      <c r="B18" s="95" t="s">
        <v>1040</v>
      </c>
      <c r="C18" s="95" t="s">
        <v>1040</v>
      </c>
      <c r="D18" s="95" t="s">
        <v>1041</v>
      </c>
      <c r="E18" s="95"/>
      <c r="F18" s="95"/>
    </row>
    <row r="19" customFormat="false" ht="14.25" hidden="false" customHeight="false" outlineLevel="0" collapsed="false">
      <c r="A19" s="95" t="s">
        <v>523</v>
      </c>
      <c r="B19" s="95" t="s">
        <v>1042</v>
      </c>
      <c r="C19" s="95" t="s">
        <v>1043</v>
      </c>
      <c r="D19" s="95" t="s">
        <v>1044</v>
      </c>
      <c r="E19" s="95"/>
      <c r="F19" s="95"/>
    </row>
    <row r="20" customFormat="false" ht="14.25" hidden="false" customHeight="false" outlineLevel="0" collapsed="false">
      <c r="A20" s="95" t="s">
        <v>1045</v>
      </c>
      <c r="B20" s="95" t="s">
        <v>1046</v>
      </c>
      <c r="C20" s="95" t="s">
        <v>1047</v>
      </c>
      <c r="D20" s="95" t="s">
        <v>1048</v>
      </c>
      <c r="E20" s="95"/>
      <c r="F20" s="95"/>
    </row>
    <row r="21" customFormat="false" ht="14.25" hidden="false" customHeight="false" outlineLevel="0" collapsed="false">
      <c r="A21" s="95" t="s">
        <v>528</v>
      </c>
      <c r="B21" s="95" t="s">
        <v>1049</v>
      </c>
      <c r="C21" s="95" t="s">
        <v>259</v>
      </c>
      <c r="D21" s="95" t="s">
        <v>1050</v>
      </c>
      <c r="E21" s="95"/>
      <c r="F21" s="95"/>
    </row>
    <row r="22" customFormat="false" ht="14.25" hidden="false" customHeight="false" outlineLevel="0" collapsed="false">
      <c r="A22" s="95" t="s">
        <v>317</v>
      </c>
      <c r="B22" s="95" t="s">
        <v>317</v>
      </c>
      <c r="C22" s="95" t="s">
        <v>317</v>
      </c>
      <c r="D22" s="95" t="s">
        <v>317</v>
      </c>
      <c r="E22" s="95"/>
      <c r="F22" s="95"/>
    </row>
    <row r="23" customFormat="false" ht="14.25" hidden="false" customHeight="false" outlineLevel="0" collapsed="false">
      <c r="A23" s="95" t="s">
        <v>532</v>
      </c>
      <c r="B23" s="95" t="s">
        <v>1051</v>
      </c>
      <c r="C23" s="95" t="s">
        <v>1052</v>
      </c>
      <c r="D23" s="95" t="s">
        <v>1053</v>
      </c>
      <c r="E23" s="95"/>
      <c r="F23" s="95"/>
    </row>
    <row r="24" customFormat="false" ht="14.25" hidden="false" customHeight="false" outlineLevel="0" collapsed="false">
      <c r="A24" s="95" t="s">
        <v>506</v>
      </c>
      <c r="B24" s="95" t="s">
        <v>507</v>
      </c>
      <c r="C24" s="95" t="s">
        <v>1036</v>
      </c>
      <c r="D24" s="95" t="s">
        <v>1037</v>
      </c>
      <c r="E24" s="95"/>
      <c r="F24" s="95"/>
    </row>
    <row r="25" customFormat="false" ht="14.25" hidden="false" customHeight="false" outlineLevel="0" collapsed="false">
      <c r="A25" s="95" t="s">
        <v>513</v>
      </c>
      <c r="B25" s="95" t="s">
        <v>514</v>
      </c>
      <c r="C25" s="95" t="s">
        <v>1054</v>
      </c>
      <c r="D25" s="95" t="s">
        <v>1055</v>
      </c>
      <c r="E25" s="95"/>
      <c r="F25" s="95"/>
    </row>
    <row r="26" customFormat="false" ht="14.25" hidden="false" customHeight="false" outlineLevel="0" collapsed="false">
      <c r="A26" s="95" t="s">
        <v>317</v>
      </c>
      <c r="B26" s="95" t="s">
        <v>317</v>
      </c>
      <c r="C26" s="95" t="s">
        <v>317</v>
      </c>
      <c r="D26" s="95" t="s">
        <v>317</v>
      </c>
      <c r="E26" s="95"/>
      <c r="F26" s="9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2" style="0" width="19.54"/>
  </cols>
  <sheetData>
    <row r="1" customFormat="false" ht="14.25" hidden="false" customHeight="false" outlineLevel="0" collapsed="false">
      <c r="A1" s="0" t="s">
        <v>1056</v>
      </c>
      <c r="B1" s="0" t="s">
        <v>1057</v>
      </c>
      <c r="D1" s="0" t="s">
        <v>311</v>
      </c>
      <c r="E1" s="0" t="s">
        <v>312</v>
      </c>
    </row>
    <row r="2" customFormat="false" ht="14.25" hidden="false" customHeight="false" outlineLevel="0" collapsed="false">
      <c r="A2" s="0" t="n">
        <v>1</v>
      </c>
      <c r="B2" s="0" t="s">
        <v>191</v>
      </c>
      <c r="D2" s="0" t="n">
        <v>1</v>
      </c>
      <c r="E2" s="0" t="s">
        <v>191</v>
      </c>
    </row>
    <row r="3" customFormat="false" ht="14.25" hidden="false" customHeight="false" outlineLevel="0" collapsed="false">
      <c r="A3" s="0" t="n">
        <v>2</v>
      </c>
      <c r="B3" s="0" t="s">
        <v>209</v>
      </c>
      <c r="D3" s="0" t="n">
        <v>2</v>
      </c>
      <c r="E3" s="0" t="s">
        <v>209</v>
      </c>
    </row>
    <row r="4" customFormat="false" ht="14.25" hidden="false" customHeight="false" outlineLevel="0" collapsed="false">
      <c r="A4" s="0" t="n">
        <v>3</v>
      </c>
      <c r="B4" s="0" t="s">
        <v>38</v>
      </c>
      <c r="D4" s="0" t="n">
        <v>3</v>
      </c>
      <c r="E4" s="0" t="s">
        <v>38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0" activeCellId="0" sqref="A20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90.82"/>
    <col collapsed="false" customWidth="true" hidden="false" outlineLevel="0" max="4" min="4" style="0" width="34.09"/>
    <col collapsed="false" customWidth="true" hidden="false" outlineLevel="0" max="8" min="8" style="0" width="18.45"/>
  </cols>
  <sheetData>
    <row r="1" customFormat="false" ht="14.25" hidden="false" customHeight="false" outlineLevel="0" collapsed="false">
      <c r="A1" s="96" t="s">
        <v>13</v>
      </c>
      <c r="B1" s="97" t="s">
        <v>14</v>
      </c>
      <c r="C1" s="97" t="s">
        <v>15</v>
      </c>
      <c r="D1" s="97" t="s">
        <v>16</v>
      </c>
      <c r="E1" s="97" t="s">
        <v>17</v>
      </c>
      <c r="F1" s="97" t="s">
        <v>18</v>
      </c>
      <c r="G1" s="97" t="s">
        <v>19</v>
      </c>
      <c r="H1" s="97" t="s">
        <v>20</v>
      </c>
      <c r="I1" s="97" t="s">
        <v>21</v>
      </c>
      <c r="J1" s="98" t="s">
        <v>22</v>
      </c>
    </row>
    <row r="2" customFormat="false" ht="14.25" hidden="false" customHeight="false" outlineLevel="0" collapsed="false">
      <c r="A2" s="99" t="n">
        <v>1</v>
      </c>
      <c r="B2" s="0" t="s">
        <v>188</v>
      </c>
      <c r="C2" s="0" t="n">
        <v>1</v>
      </c>
      <c r="D2" s="0" t="s">
        <v>188</v>
      </c>
      <c r="E2" s="0" t="n">
        <v>1</v>
      </c>
      <c r="F2" s="0" t="s">
        <v>189</v>
      </c>
      <c r="G2" s="0" t="n">
        <v>0</v>
      </c>
      <c r="H2" s="0" t="s">
        <v>190</v>
      </c>
      <c r="I2" s="0" t="n">
        <v>1</v>
      </c>
      <c r="J2" s="100" t="s">
        <v>191</v>
      </c>
    </row>
    <row r="3" customFormat="false" ht="14.25" hidden="false" customHeight="false" outlineLevel="0" collapsed="false">
      <c r="A3" s="99" t="n">
        <v>2</v>
      </c>
      <c r="B3" s="0" t="s">
        <v>30</v>
      </c>
      <c r="C3" s="0" t="n">
        <v>2</v>
      </c>
      <c r="D3" s="0" t="s">
        <v>30</v>
      </c>
      <c r="E3" s="0" t="n">
        <v>1</v>
      </c>
      <c r="F3" s="0" t="s">
        <v>189</v>
      </c>
      <c r="G3" s="0" t="n">
        <v>0</v>
      </c>
      <c r="H3" s="0" t="s">
        <v>190</v>
      </c>
      <c r="I3" s="0" t="n">
        <v>1</v>
      </c>
      <c r="J3" s="100" t="s">
        <v>191</v>
      </c>
    </row>
    <row r="4" customFormat="false" ht="14.25" hidden="false" customHeight="false" outlineLevel="0" collapsed="false">
      <c r="A4" s="99" t="n">
        <v>3</v>
      </c>
      <c r="B4" s="0" t="s">
        <v>194</v>
      </c>
      <c r="C4" s="0" t="n">
        <v>3</v>
      </c>
      <c r="D4" s="0" t="s">
        <v>194</v>
      </c>
      <c r="E4" s="0" t="n">
        <v>3</v>
      </c>
      <c r="F4" s="0" t="s">
        <v>195</v>
      </c>
      <c r="G4" s="0" t="n">
        <v>0</v>
      </c>
      <c r="H4" s="0" t="s">
        <v>190</v>
      </c>
      <c r="I4" s="0" t="n">
        <v>1</v>
      </c>
      <c r="J4" s="100" t="s">
        <v>191</v>
      </c>
    </row>
    <row r="5" customFormat="false" ht="14.25" hidden="false" customHeight="false" outlineLevel="0" collapsed="false">
      <c r="A5" s="99" t="n">
        <v>4</v>
      </c>
      <c r="B5" s="0" t="s">
        <v>35</v>
      </c>
      <c r="C5" s="0" t="n">
        <v>4</v>
      </c>
      <c r="D5" s="0" t="s">
        <v>35</v>
      </c>
      <c r="E5" s="0" t="n">
        <v>2</v>
      </c>
      <c r="F5" s="0" t="s">
        <v>197</v>
      </c>
      <c r="G5" s="0" t="n">
        <v>0</v>
      </c>
      <c r="H5" s="0" t="s">
        <v>190</v>
      </c>
      <c r="I5" s="0" t="n">
        <v>1</v>
      </c>
      <c r="J5" s="100" t="s">
        <v>191</v>
      </c>
    </row>
    <row r="6" customFormat="false" ht="14.25" hidden="false" customHeight="false" outlineLevel="0" collapsed="false">
      <c r="A6" s="0" t="n">
        <v>11</v>
      </c>
      <c r="B6" s="0" t="s">
        <v>199</v>
      </c>
      <c r="C6" s="0" t="n">
        <v>11</v>
      </c>
      <c r="D6" s="0" t="s">
        <v>199</v>
      </c>
      <c r="E6" s="0" t="n">
        <v>99</v>
      </c>
      <c r="F6" s="0" t="s">
        <v>200</v>
      </c>
      <c r="G6" s="0" t="n">
        <v>1</v>
      </c>
      <c r="H6" s="0" t="s">
        <v>201</v>
      </c>
      <c r="I6" s="0" t="n">
        <v>3</v>
      </c>
      <c r="J6" s="18" t="s">
        <v>38</v>
      </c>
    </row>
    <row r="7" customFormat="false" ht="14.25" hidden="false" customHeight="false" outlineLevel="0" collapsed="false">
      <c r="A7" s="99" t="n">
        <v>17.5</v>
      </c>
      <c r="B7" s="0" t="s">
        <v>1058</v>
      </c>
      <c r="C7" s="0" t="n">
        <v>17.5</v>
      </c>
      <c r="D7" s="0" t="s">
        <v>1058</v>
      </c>
      <c r="E7" s="0" t="n">
        <v>6</v>
      </c>
      <c r="F7" s="0" t="s">
        <v>208</v>
      </c>
      <c r="G7" s="0" t="n">
        <v>1</v>
      </c>
      <c r="H7" s="0" t="s">
        <v>201</v>
      </c>
      <c r="I7" s="0" t="n">
        <v>2</v>
      </c>
      <c r="J7" s="100" t="s">
        <v>209</v>
      </c>
    </row>
    <row r="8" customFormat="false" ht="14.25" hidden="false" customHeight="false" outlineLevel="0" collapsed="false">
      <c r="A8" s="99" t="n">
        <v>18</v>
      </c>
      <c r="B8" s="0" t="s">
        <v>51</v>
      </c>
      <c r="C8" s="0" t="n">
        <v>18</v>
      </c>
      <c r="D8" s="0" t="s">
        <v>51</v>
      </c>
      <c r="E8" s="0" t="n">
        <v>6</v>
      </c>
      <c r="F8" s="0" t="s">
        <v>208</v>
      </c>
      <c r="G8" s="0" t="n">
        <v>1</v>
      </c>
      <c r="H8" s="0" t="s">
        <v>201</v>
      </c>
      <c r="I8" s="0" t="n">
        <v>2</v>
      </c>
      <c r="J8" s="100" t="s">
        <v>209</v>
      </c>
    </row>
    <row r="9" customFormat="false" ht="14.25" hidden="false" customHeight="false" outlineLevel="0" collapsed="false">
      <c r="A9" s="99" t="n">
        <v>21</v>
      </c>
      <c r="B9" s="0" t="s">
        <v>211</v>
      </c>
      <c r="C9" s="0" t="n">
        <v>21</v>
      </c>
      <c r="D9" s="0" t="s">
        <v>211</v>
      </c>
      <c r="E9" s="0" t="n">
        <v>6</v>
      </c>
      <c r="F9" s="0" t="s">
        <v>208</v>
      </c>
      <c r="G9" s="0" t="n">
        <v>2</v>
      </c>
      <c r="H9" s="0" t="s">
        <v>212</v>
      </c>
      <c r="I9" s="0" t="n">
        <v>1</v>
      </c>
      <c r="J9" s="100" t="s">
        <v>191</v>
      </c>
    </row>
    <row r="10" customFormat="false" ht="14.25" hidden="false" customHeight="false" outlineLevel="0" collapsed="false">
      <c r="A10" s="99" t="n">
        <v>22</v>
      </c>
      <c r="B10" s="0" t="s">
        <v>214</v>
      </c>
      <c r="C10" s="0" t="n">
        <v>22</v>
      </c>
      <c r="D10" s="0" t="s">
        <v>214</v>
      </c>
      <c r="E10" s="0" t="n">
        <v>6</v>
      </c>
      <c r="F10" s="0" t="s">
        <v>208</v>
      </c>
      <c r="G10" s="0" t="n">
        <v>2</v>
      </c>
      <c r="H10" s="0" t="s">
        <v>212</v>
      </c>
      <c r="I10" s="0" t="n">
        <v>1</v>
      </c>
      <c r="J10" s="100" t="s">
        <v>191</v>
      </c>
    </row>
    <row r="11" customFormat="false" ht="14.25" hidden="false" customHeight="false" outlineLevel="0" collapsed="false">
      <c r="A11" s="99" t="n">
        <v>23</v>
      </c>
      <c r="B11" s="0" t="s">
        <v>216</v>
      </c>
      <c r="C11" s="0" t="n">
        <v>23</v>
      </c>
      <c r="D11" s="0" t="s">
        <v>216</v>
      </c>
      <c r="E11" s="0" t="n">
        <v>6</v>
      </c>
      <c r="F11" s="0" t="s">
        <v>208</v>
      </c>
      <c r="G11" s="0" t="n">
        <v>2</v>
      </c>
      <c r="H11" s="0" t="s">
        <v>212</v>
      </c>
      <c r="I11" s="0" t="n">
        <v>1</v>
      </c>
      <c r="J11" s="100" t="s">
        <v>191</v>
      </c>
    </row>
    <row r="12" customFormat="false" ht="14.25" hidden="false" customHeight="false" outlineLevel="0" collapsed="false">
      <c r="A12" s="99" t="n">
        <v>24</v>
      </c>
      <c r="B12" s="0" t="s">
        <v>64</v>
      </c>
      <c r="C12" s="0" t="n">
        <v>24</v>
      </c>
      <c r="D12" s="0" t="s">
        <v>64</v>
      </c>
      <c r="E12" s="0" t="n">
        <v>6</v>
      </c>
      <c r="F12" s="0" t="s">
        <v>208</v>
      </c>
      <c r="G12" s="0" t="n">
        <v>2</v>
      </c>
      <c r="H12" s="0" t="s">
        <v>212</v>
      </c>
      <c r="I12" s="0" t="n">
        <v>1</v>
      </c>
      <c r="J12" s="100" t="s">
        <v>191</v>
      </c>
    </row>
    <row r="13" customFormat="false" ht="14.25" hidden="false" customHeight="false" outlineLevel="0" collapsed="false">
      <c r="A13" s="99" t="n">
        <v>25</v>
      </c>
      <c r="B13" s="0" t="s">
        <v>219</v>
      </c>
      <c r="C13" s="0" t="n">
        <v>25</v>
      </c>
      <c r="D13" s="0" t="s">
        <v>219</v>
      </c>
      <c r="E13" s="0" t="n">
        <v>6</v>
      </c>
      <c r="F13" s="0" t="s">
        <v>208</v>
      </c>
      <c r="G13" s="0" t="n">
        <v>2</v>
      </c>
      <c r="H13" s="0" t="s">
        <v>212</v>
      </c>
      <c r="I13" s="0" t="n">
        <v>1</v>
      </c>
      <c r="J13" s="100" t="s">
        <v>191</v>
      </c>
    </row>
    <row r="14" customFormat="false" ht="14.25" hidden="false" customHeight="false" outlineLevel="0" collapsed="false">
      <c r="A14" s="99" t="n">
        <v>26</v>
      </c>
      <c r="B14" s="0" t="s">
        <v>221</v>
      </c>
      <c r="C14" s="0" t="n">
        <v>26</v>
      </c>
      <c r="D14" s="0" t="s">
        <v>221</v>
      </c>
      <c r="E14" s="0" t="n">
        <v>6</v>
      </c>
      <c r="F14" s="0" t="s">
        <v>208</v>
      </c>
      <c r="G14" s="0" t="n">
        <v>2</v>
      </c>
      <c r="H14" s="0" t="s">
        <v>212</v>
      </c>
      <c r="I14" s="0" t="n">
        <v>2</v>
      </c>
      <c r="J14" s="100" t="s">
        <v>209</v>
      </c>
    </row>
    <row r="15" customFormat="false" ht="14.25" hidden="false" customHeight="false" outlineLevel="0" collapsed="false">
      <c r="A15" s="99" t="n">
        <v>27</v>
      </c>
      <c r="B15" s="0" t="s">
        <v>223</v>
      </c>
      <c r="C15" s="0" t="n">
        <v>27</v>
      </c>
      <c r="D15" s="0" t="s">
        <v>223</v>
      </c>
      <c r="E15" s="0" t="n">
        <v>6</v>
      </c>
      <c r="F15" s="0" t="s">
        <v>208</v>
      </c>
      <c r="G15" s="0" t="n">
        <v>2</v>
      </c>
      <c r="H15" s="0" t="s">
        <v>212</v>
      </c>
      <c r="I15" s="0" t="n">
        <v>2</v>
      </c>
      <c r="J15" s="100" t="s">
        <v>209</v>
      </c>
    </row>
    <row r="16" customFormat="false" ht="14.25" hidden="false" customHeight="false" outlineLevel="0" collapsed="false">
      <c r="A16" s="99" t="n">
        <v>28</v>
      </c>
      <c r="B16" s="0" t="s">
        <v>225</v>
      </c>
      <c r="C16" s="0" t="n">
        <v>28</v>
      </c>
      <c r="D16" s="0" t="s">
        <v>225</v>
      </c>
      <c r="E16" s="0" t="n">
        <v>6</v>
      </c>
      <c r="F16" s="0" t="s">
        <v>208</v>
      </c>
      <c r="G16" s="0" t="n">
        <v>2</v>
      </c>
      <c r="H16" s="0" t="s">
        <v>212</v>
      </c>
      <c r="I16" s="0" t="n">
        <v>2</v>
      </c>
      <c r="J16" s="100" t="s">
        <v>209</v>
      </c>
    </row>
    <row r="17" customFormat="false" ht="14.25" hidden="false" customHeight="false" outlineLevel="0" collapsed="false">
      <c r="A17" s="99" t="n">
        <v>29</v>
      </c>
      <c r="B17" s="0" t="s">
        <v>77</v>
      </c>
      <c r="C17" s="0" t="n">
        <v>29</v>
      </c>
      <c r="D17" s="0" t="s">
        <v>77</v>
      </c>
      <c r="E17" s="0" t="n">
        <v>6</v>
      </c>
      <c r="F17" s="0" t="s">
        <v>208</v>
      </c>
      <c r="G17" s="0" t="n">
        <v>2</v>
      </c>
      <c r="H17" s="0" t="s">
        <v>212</v>
      </c>
      <c r="I17" s="0" t="n">
        <v>2</v>
      </c>
      <c r="J17" s="100" t="s">
        <v>209</v>
      </c>
    </row>
    <row r="18" customFormat="false" ht="14.25" hidden="false" customHeight="false" outlineLevel="0" collapsed="false">
      <c r="A18" s="99" t="n">
        <v>31</v>
      </c>
      <c r="B18" s="0" t="s">
        <v>228</v>
      </c>
      <c r="C18" s="0" t="n">
        <v>31</v>
      </c>
      <c r="D18" s="0" t="s">
        <v>228</v>
      </c>
      <c r="E18" s="0" t="n">
        <v>6</v>
      </c>
      <c r="F18" s="0" t="s">
        <v>208</v>
      </c>
      <c r="G18" s="0" t="n">
        <v>3</v>
      </c>
      <c r="H18" s="0" t="s">
        <v>229</v>
      </c>
      <c r="I18" s="0" t="n">
        <v>1</v>
      </c>
      <c r="J18" s="100" t="s">
        <v>191</v>
      </c>
    </row>
    <row r="19" customFormat="false" ht="14.25" hidden="false" customHeight="false" outlineLevel="0" collapsed="false">
      <c r="A19" s="99" t="n">
        <v>32</v>
      </c>
      <c r="B19" s="0" t="s">
        <v>231</v>
      </c>
      <c r="C19" s="0" t="n">
        <v>32</v>
      </c>
      <c r="D19" s="0" t="s">
        <v>231</v>
      </c>
      <c r="E19" s="0" t="n">
        <v>6</v>
      </c>
      <c r="F19" s="0" t="s">
        <v>208</v>
      </c>
      <c r="G19" s="0" t="n">
        <v>3</v>
      </c>
      <c r="H19" s="0" t="s">
        <v>229</v>
      </c>
      <c r="I19" s="0" t="n">
        <v>1</v>
      </c>
      <c r="J19" s="100" t="s">
        <v>191</v>
      </c>
    </row>
    <row r="20" customFormat="false" ht="14.25" hidden="false" customHeight="false" outlineLevel="0" collapsed="false">
      <c r="A20" s="99" t="n">
        <v>341</v>
      </c>
      <c r="B20" s="0" t="s">
        <v>234</v>
      </c>
      <c r="C20" s="0" t="n">
        <v>34</v>
      </c>
      <c r="D20" s="0" t="s">
        <v>87</v>
      </c>
      <c r="E20" s="0" t="n">
        <v>6</v>
      </c>
      <c r="F20" s="0" t="s">
        <v>208</v>
      </c>
      <c r="G20" s="0" t="n">
        <v>3</v>
      </c>
      <c r="H20" s="0" t="s">
        <v>229</v>
      </c>
      <c r="I20" s="0" t="n">
        <v>2</v>
      </c>
      <c r="J20" s="100" t="s">
        <v>209</v>
      </c>
    </row>
    <row r="21" customFormat="false" ht="14.25" hidden="false" customHeight="false" outlineLevel="0" collapsed="false">
      <c r="A21" s="99" t="n">
        <v>342</v>
      </c>
      <c r="B21" s="0" t="s">
        <v>236</v>
      </c>
      <c r="C21" s="0" t="n">
        <v>34</v>
      </c>
      <c r="D21" s="0" t="s">
        <v>87</v>
      </c>
      <c r="E21" s="0" t="n">
        <v>99</v>
      </c>
      <c r="F21" s="0" t="s">
        <v>200</v>
      </c>
      <c r="G21" s="0" t="n">
        <v>3</v>
      </c>
      <c r="H21" s="0" t="s">
        <v>229</v>
      </c>
      <c r="I21" s="0" t="n">
        <v>3</v>
      </c>
      <c r="J21" s="100" t="s">
        <v>38</v>
      </c>
      <c r="L21" s="15"/>
    </row>
    <row r="22" customFormat="false" ht="14.25" hidden="false" customHeight="false" outlineLevel="0" collapsed="false">
      <c r="A22" s="99" t="n">
        <v>343</v>
      </c>
      <c r="B22" s="0" t="s">
        <v>1059</v>
      </c>
      <c r="C22" s="0" t="n">
        <v>34</v>
      </c>
      <c r="D22" s="0" t="s">
        <v>87</v>
      </c>
      <c r="E22" s="0" t="n">
        <v>6</v>
      </c>
      <c r="F22" s="0" t="s">
        <v>208</v>
      </c>
      <c r="G22" s="0" t="n">
        <v>3</v>
      </c>
      <c r="H22" s="0" t="s">
        <v>229</v>
      </c>
      <c r="I22" s="0" t="n">
        <v>3</v>
      </c>
      <c r="J22" s="100" t="s">
        <v>38</v>
      </c>
      <c r="L22" s="15"/>
    </row>
    <row r="23" customFormat="false" ht="14.25" hidden="false" customHeight="false" outlineLevel="0" collapsed="false">
      <c r="A23" s="99" t="n">
        <v>344</v>
      </c>
      <c r="B23" s="0" t="s">
        <v>1060</v>
      </c>
      <c r="C23" s="0" t="n">
        <v>34</v>
      </c>
      <c r="D23" s="0" t="s">
        <v>87</v>
      </c>
      <c r="E23" s="0" t="n">
        <v>6</v>
      </c>
      <c r="F23" s="0" t="s">
        <v>208</v>
      </c>
      <c r="G23" s="0" t="n">
        <v>3</v>
      </c>
      <c r="H23" s="0" t="s">
        <v>229</v>
      </c>
      <c r="I23" s="0" t="n">
        <v>2</v>
      </c>
      <c r="J23" s="100" t="s">
        <v>209</v>
      </c>
      <c r="L23" s="15"/>
    </row>
    <row r="24" customFormat="false" ht="14.25" hidden="false" customHeight="false" outlineLevel="0" collapsed="false">
      <c r="A24" s="99" t="n">
        <v>346</v>
      </c>
      <c r="B24" s="0" t="s">
        <v>1061</v>
      </c>
      <c r="C24" s="0" t="n">
        <v>34</v>
      </c>
      <c r="D24" s="0" t="s">
        <v>87</v>
      </c>
      <c r="E24" s="0" t="n">
        <v>6</v>
      </c>
      <c r="F24" s="0" t="s">
        <v>208</v>
      </c>
      <c r="G24" s="0" t="n">
        <v>3</v>
      </c>
      <c r="H24" s="0" t="s">
        <v>229</v>
      </c>
      <c r="I24" s="0" t="n">
        <v>2</v>
      </c>
      <c r="J24" s="100" t="s">
        <v>209</v>
      </c>
      <c r="L24" s="15"/>
    </row>
    <row r="25" customFormat="false" ht="14.25" hidden="false" customHeight="false" outlineLevel="0" collapsed="false">
      <c r="A25" s="99" t="n">
        <v>351</v>
      </c>
      <c r="B25" s="0" t="s">
        <v>1062</v>
      </c>
      <c r="C25" s="0" t="n">
        <v>35</v>
      </c>
      <c r="D25" s="0" t="s">
        <v>1063</v>
      </c>
      <c r="E25" s="0" t="n">
        <v>6</v>
      </c>
      <c r="F25" s="0" t="s">
        <v>208</v>
      </c>
      <c r="G25" s="0" t="n">
        <v>3</v>
      </c>
      <c r="H25" s="0" t="s">
        <v>229</v>
      </c>
      <c r="I25" s="0" t="n">
        <v>2</v>
      </c>
      <c r="J25" s="100" t="s">
        <v>209</v>
      </c>
      <c r="L25" s="15"/>
    </row>
    <row r="26" customFormat="false" ht="14.25" hidden="false" customHeight="false" outlineLevel="0" collapsed="false">
      <c r="A26" s="99" t="n">
        <v>352</v>
      </c>
      <c r="B26" s="0" t="s">
        <v>1064</v>
      </c>
      <c r="C26" s="0" t="n">
        <v>35</v>
      </c>
      <c r="D26" s="0" t="s">
        <v>1063</v>
      </c>
      <c r="E26" s="0" t="n">
        <v>6</v>
      </c>
      <c r="F26" s="0" t="s">
        <v>208</v>
      </c>
      <c r="G26" s="0" t="n">
        <v>3</v>
      </c>
      <c r="H26" s="0" t="s">
        <v>229</v>
      </c>
      <c r="I26" s="0" t="n">
        <v>2</v>
      </c>
      <c r="J26" s="100" t="s">
        <v>209</v>
      </c>
      <c r="L26" s="15"/>
    </row>
    <row r="27" customFormat="false" ht="14.25" hidden="false" customHeight="false" outlineLevel="0" collapsed="false">
      <c r="A27" s="99" t="n">
        <v>353</v>
      </c>
      <c r="B27" s="0" t="s">
        <v>1065</v>
      </c>
      <c r="C27" s="0" t="n">
        <v>35</v>
      </c>
      <c r="D27" s="0" t="s">
        <v>1063</v>
      </c>
      <c r="E27" s="0" t="n">
        <v>6</v>
      </c>
      <c r="F27" s="0" t="s">
        <v>208</v>
      </c>
      <c r="G27" s="0" t="n">
        <v>3</v>
      </c>
      <c r="H27" s="0" t="s">
        <v>229</v>
      </c>
      <c r="I27" s="0" t="n">
        <v>2</v>
      </c>
      <c r="J27" s="100" t="s">
        <v>209</v>
      </c>
      <c r="L27" s="15"/>
    </row>
    <row r="28" customFormat="false" ht="14.25" hidden="false" customHeight="false" outlineLevel="0" collapsed="false">
      <c r="A28" s="99" t="n">
        <v>37</v>
      </c>
      <c r="B28" s="0" t="s">
        <v>239</v>
      </c>
      <c r="C28" s="0" t="n">
        <v>37</v>
      </c>
      <c r="D28" s="0" t="s">
        <v>239</v>
      </c>
      <c r="E28" s="0" t="n">
        <v>99</v>
      </c>
      <c r="F28" s="0" t="s">
        <v>200</v>
      </c>
      <c r="G28" s="0" t="n">
        <v>3</v>
      </c>
      <c r="H28" s="0" t="s">
        <v>229</v>
      </c>
      <c r="I28" s="0" t="n">
        <v>3</v>
      </c>
      <c r="J28" s="100" t="s">
        <v>38</v>
      </c>
      <c r="L28" s="15"/>
    </row>
    <row r="29" customFormat="false" ht="14.25" hidden="false" customHeight="false" outlineLevel="0" collapsed="false">
      <c r="A29" s="99" t="n">
        <v>38</v>
      </c>
      <c r="B29" s="0" t="s">
        <v>97</v>
      </c>
      <c r="C29" s="0" t="n">
        <v>38</v>
      </c>
      <c r="D29" s="0" t="s">
        <v>97</v>
      </c>
      <c r="E29" s="0" t="n">
        <v>99</v>
      </c>
      <c r="F29" s="0" t="s">
        <v>200</v>
      </c>
      <c r="G29" s="0" t="n">
        <v>3</v>
      </c>
      <c r="H29" s="0" t="s">
        <v>229</v>
      </c>
      <c r="I29" s="0" t="n">
        <v>3</v>
      </c>
      <c r="J29" s="100" t="s">
        <v>38</v>
      </c>
      <c r="L29" s="15"/>
    </row>
    <row r="30" customFormat="false" ht="14.25" hidden="false" customHeight="false" outlineLevel="0" collapsed="false">
      <c r="A30" s="99" t="n">
        <v>39</v>
      </c>
      <c r="B30" s="0" t="s">
        <v>242</v>
      </c>
      <c r="C30" s="0" t="n">
        <v>39</v>
      </c>
      <c r="D30" s="0" t="s">
        <v>242</v>
      </c>
      <c r="E30" s="0" t="n">
        <v>4</v>
      </c>
      <c r="F30" s="0" t="s">
        <v>243</v>
      </c>
      <c r="G30" s="0" t="n">
        <v>3</v>
      </c>
      <c r="H30" s="0" t="s">
        <v>229</v>
      </c>
      <c r="I30" s="0" t="n">
        <v>2</v>
      </c>
      <c r="J30" s="100" t="s">
        <v>209</v>
      </c>
      <c r="L30" s="15"/>
    </row>
    <row r="31" customFormat="false" ht="14.25" hidden="false" customHeight="false" outlineLevel="0" collapsed="false">
      <c r="A31" s="101" t="s">
        <v>103</v>
      </c>
      <c r="B31" s="0" t="s">
        <v>245</v>
      </c>
      <c r="C31" s="0" t="s">
        <v>103</v>
      </c>
      <c r="D31" s="0" t="s">
        <v>245</v>
      </c>
      <c r="E31" s="0" t="n">
        <v>99</v>
      </c>
      <c r="F31" s="0" t="s">
        <v>200</v>
      </c>
      <c r="G31" s="0" t="n">
        <v>4</v>
      </c>
      <c r="H31" s="0" t="s">
        <v>246</v>
      </c>
      <c r="I31" s="0" t="n">
        <v>3</v>
      </c>
      <c r="J31" s="100" t="s">
        <v>38</v>
      </c>
      <c r="L31" s="102"/>
    </row>
    <row r="32" customFormat="false" ht="14.25" hidden="false" customHeight="false" outlineLevel="0" collapsed="false">
      <c r="A32" s="99" t="n">
        <v>5</v>
      </c>
      <c r="B32" s="0" t="s">
        <v>256</v>
      </c>
      <c r="C32" s="0" t="n">
        <v>53</v>
      </c>
      <c r="D32" s="0" t="s">
        <v>121</v>
      </c>
      <c r="E32" s="0" t="n">
        <v>99</v>
      </c>
      <c r="F32" s="0" t="s">
        <v>200</v>
      </c>
      <c r="G32" s="0" t="n">
        <v>5</v>
      </c>
      <c r="H32" s="0" t="s">
        <v>256</v>
      </c>
      <c r="I32" s="0" t="n">
        <v>3</v>
      </c>
      <c r="J32" s="100" t="s">
        <v>38</v>
      </c>
    </row>
    <row r="33" customFormat="false" ht="14.25" hidden="false" customHeight="false" outlineLevel="0" collapsed="false">
      <c r="A33" s="99" t="n">
        <v>6</v>
      </c>
      <c r="B33" s="0" t="s">
        <v>259</v>
      </c>
      <c r="C33" s="0" t="n">
        <v>6</v>
      </c>
      <c r="D33" s="0" t="s">
        <v>259</v>
      </c>
      <c r="E33" s="0" t="n">
        <v>99</v>
      </c>
      <c r="F33" s="0" t="s">
        <v>200</v>
      </c>
      <c r="G33" s="0" t="n">
        <v>6</v>
      </c>
      <c r="H33" s="0" t="s">
        <v>260</v>
      </c>
      <c r="I33" s="0" t="n">
        <v>3</v>
      </c>
      <c r="J33" s="100" t="s">
        <v>38</v>
      </c>
      <c r="L33" s="15"/>
    </row>
    <row r="34" customFormat="false" ht="14.25" hidden="false" customHeight="false" outlineLevel="0" collapsed="false">
      <c r="A34" s="99" t="n">
        <v>63</v>
      </c>
      <c r="B34" s="0" t="s">
        <v>262</v>
      </c>
      <c r="C34" s="0" t="n">
        <v>63</v>
      </c>
      <c r="D34" s="0" t="s">
        <v>262</v>
      </c>
      <c r="E34" s="0" t="n">
        <v>6</v>
      </c>
      <c r="F34" s="0" t="s">
        <v>208</v>
      </c>
      <c r="G34" s="0" t="n">
        <v>6</v>
      </c>
      <c r="H34" s="0" t="s">
        <v>260</v>
      </c>
      <c r="I34" s="0" t="n">
        <v>2</v>
      </c>
      <c r="J34" s="100" t="s">
        <v>209</v>
      </c>
      <c r="L34" s="15"/>
    </row>
    <row r="35" customFormat="false" ht="14.25" hidden="false" customHeight="false" outlineLevel="0" collapsed="false">
      <c r="A35" s="99" t="n">
        <v>69</v>
      </c>
      <c r="B35" s="0" t="s">
        <v>267</v>
      </c>
      <c r="C35" s="0" t="n">
        <v>69</v>
      </c>
      <c r="D35" s="0" t="s">
        <v>267</v>
      </c>
      <c r="E35" s="0" t="n">
        <v>6</v>
      </c>
      <c r="F35" s="0" t="s">
        <v>208</v>
      </c>
      <c r="G35" s="0" t="n">
        <v>6</v>
      </c>
      <c r="H35" s="0" t="s">
        <v>260</v>
      </c>
      <c r="I35" s="0" t="n">
        <v>2</v>
      </c>
      <c r="J35" s="100" t="s">
        <v>209</v>
      </c>
      <c r="L35" s="15"/>
    </row>
    <row r="36" customFormat="false" ht="14.25" hidden="false" customHeight="false" outlineLevel="0" collapsed="false">
      <c r="A36" s="99" t="n">
        <v>81</v>
      </c>
      <c r="B36" s="0" t="s">
        <v>146</v>
      </c>
      <c r="C36" s="0" t="n">
        <v>81</v>
      </c>
      <c r="D36" s="0" t="s">
        <v>146</v>
      </c>
      <c r="E36" s="0" t="n">
        <v>6</v>
      </c>
      <c r="F36" s="0" t="s">
        <v>208</v>
      </c>
      <c r="G36" s="0" t="n">
        <v>8</v>
      </c>
      <c r="H36" s="0" t="s">
        <v>272</v>
      </c>
      <c r="I36" s="0" t="n">
        <v>2</v>
      </c>
      <c r="J36" s="100" t="s">
        <v>209</v>
      </c>
      <c r="L36" s="15"/>
    </row>
    <row r="37" customFormat="false" ht="14.25" hidden="false" customHeight="false" outlineLevel="0" collapsed="false">
      <c r="A37" s="99" t="n">
        <v>83</v>
      </c>
      <c r="B37" s="0" t="s">
        <v>150</v>
      </c>
      <c r="C37" s="0" t="n">
        <v>83</v>
      </c>
      <c r="D37" s="0" t="s">
        <v>150</v>
      </c>
      <c r="E37" s="0" t="n">
        <v>6</v>
      </c>
      <c r="F37" s="0" t="s">
        <v>208</v>
      </c>
      <c r="G37" s="0" t="n">
        <v>8</v>
      </c>
      <c r="H37" s="0" t="s">
        <v>272</v>
      </c>
      <c r="I37" s="0" t="n">
        <v>2</v>
      </c>
      <c r="J37" s="100" t="s">
        <v>209</v>
      </c>
      <c r="L37" s="15"/>
    </row>
    <row r="38" customFormat="false" ht="14.25" hidden="false" customHeight="false" outlineLevel="0" collapsed="false">
      <c r="A38" s="99" t="n">
        <v>86</v>
      </c>
      <c r="B38" s="0" t="s">
        <v>278</v>
      </c>
      <c r="C38" s="0" t="n">
        <v>86</v>
      </c>
      <c r="D38" s="0" t="s">
        <v>278</v>
      </c>
      <c r="E38" s="0" t="n">
        <v>6</v>
      </c>
      <c r="F38" s="0" t="s">
        <v>208</v>
      </c>
      <c r="G38" s="0" t="n">
        <v>8</v>
      </c>
      <c r="H38" s="0" t="s">
        <v>272</v>
      </c>
      <c r="I38" s="0" t="n">
        <v>2</v>
      </c>
      <c r="J38" s="100" t="s">
        <v>209</v>
      </c>
      <c r="L38" s="15"/>
    </row>
    <row r="39" customFormat="false" ht="14.25" hidden="false" customHeight="false" outlineLevel="0" collapsed="false">
      <c r="A39" s="103" t="n">
        <v>94</v>
      </c>
      <c r="B39" s="53" t="s">
        <v>170</v>
      </c>
      <c r="C39" s="53" t="n">
        <v>94</v>
      </c>
      <c r="D39" s="53" t="s">
        <v>170</v>
      </c>
      <c r="E39" s="53" t="n">
        <v>4</v>
      </c>
      <c r="F39" s="53" t="s">
        <v>243</v>
      </c>
      <c r="G39" s="53" t="n">
        <v>9</v>
      </c>
      <c r="H39" s="53" t="s">
        <v>286</v>
      </c>
      <c r="I39" s="53" t="n">
        <v>2</v>
      </c>
      <c r="J39" s="104" t="s">
        <v>209</v>
      </c>
      <c r="L39" s="1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3046875" defaultRowHeight="15" customHeight="true" zeroHeight="false" outlineLevelRow="0" outlineLevelCol="0"/>
  <cols>
    <col collapsed="false" customWidth="true" hidden="false" outlineLevel="0" max="1" min="1" style="0" width="26.18"/>
    <col collapsed="false" customWidth="true" hidden="false" outlineLevel="0" max="2" min="2" style="0" width="43.45"/>
    <col collapsed="false" customWidth="true" hidden="false" outlineLevel="0" max="3" min="3" style="0" width="1.82"/>
  </cols>
  <sheetData>
    <row r="1" customFormat="false" ht="15" hidden="false" customHeight="false" outlineLevel="0" collapsed="false">
      <c r="A1" s="105" t="s">
        <v>4</v>
      </c>
      <c r="B1" s="105" t="s">
        <v>5</v>
      </c>
      <c r="C1" s="105" t="s">
        <v>6</v>
      </c>
    </row>
    <row r="2" customFormat="false" ht="15" hidden="false" customHeight="false" outlineLevel="0" collapsed="false">
      <c r="A2" s="0" t="s">
        <v>24</v>
      </c>
      <c r="B2" s="0" t="s">
        <v>929</v>
      </c>
      <c r="C2" s="0" t="n">
        <v>1</v>
      </c>
    </row>
    <row r="3" customFormat="false" ht="15" hidden="false" customHeight="false" outlineLevel="0" collapsed="false">
      <c r="A3" s="0" t="s">
        <v>187</v>
      </c>
      <c r="B3" s="0" t="s">
        <v>684</v>
      </c>
      <c r="C3" s="0" t="n">
        <v>2</v>
      </c>
    </row>
    <row r="4" customFormat="false" ht="15" hidden="false" customHeight="false" outlineLevel="0" collapsed="false">
      <c r="A4" s="0" t="s">
        <v>180</v>
      </c>
      <c r="B4" s="0" t="s">
        <v>982</v>
      </c>
      <c r="C4" s="0" t="n">
        <v>3</v>
      </c>
    </row>
    <row r="5" customFormat="false" ht="15" hidden="false" customHeight="false" outlineLevel="0" collapsed="false">
      <c r="A5" s="0" t="s">
        <v>184</v>
      </c>
      <c r="B5" s="0" t="s">
        <v>185</v>
      </c>
      <c r="C5" s="0" t="n">
        <v>4</v>
      </c>
    </row>
    <row r="6" customFormat="false" ht="15" hidden="false" customHeight="false" outlineLevel="0" collapsed="false">
      <c r="A6" s="0" t="s">
        <v>293</v>
      </c>
      <c r="B6" s="0" t="s">
        <v>294</v>
      </c>
      <c r="C6" s="0" t="n">
        <v>5</v>
      </c>
    </row>
    <row r="7" customFormat="false" ht="15" hidden="false" customHeight="false" outlineLevel="0" collapsed="false">
      <c r="A7" s="0" t="s">
        <v>1066</v>
      </c>
      <c r="B7" s="0" t="s">
        <v>297</v>
      </c>
      <c r="C7" s="0" t="n">
        <v>6</v>
      </c>
    </row>
    <row r="8" customFormat="false" ht="15" hidden="false" customHeight="false" outlineLevel="0" collapsed="false">
      <c r="A8" s="0" t="s">
        <v>1067</v>
      </c>
      <c r="B8" s="0" t="s">
        <v>1068</v>
      </c>
      <c r="C8" s="0" t="n">
        <v>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33" activeCellId="0" sqref="P33"/>
    </sheetView>
  </sheetViews>
  <sheetFormatPr defaultColWidth="8.73046875" defaultRowHeight="15" customHeight="true" zeroHeight="false" outlineLevelRow="0" outlineLevelCol="0"/>
  <cols>
    <col collapsed="false" customWidth="true" hidden="false" outlineLevel="0" max="1" min="1" style="0" width="37.54"/>
    <col collapsed="false" customWidth="true" hidden="false" outlineLevel="0" max="2" min="2" style="0" width="42.18"/>
    <col collapsed="false" customWidth="true" hidden="false" outlineLevel="0" max="3" min="3" style="0" width="33.18"/>
    <col collapsed="false" customWidth="true" hidden="false" outlineLevel="0" max="4" min="4" style="0" width="66.18"/>
  </cols>
  <sheetData>
    <row r="1" customFormat="false" ht="15" hidden="false" customHeight="false" outlineLevel="0" collapsed="false">
      <c r="A1" s="106" t="s">
        <v>298</v>
      </c>
      <c r="B1" s="106" t="s">
        <v>299</v>
      </c>
      <c r="C1" s="106" t="s">
        <v>300</v>
      </c>
      <c r="D1" s="106" t="s">
        <v>1069</v>
      </c>
      <c r="E1" s="106"/>
      <c r="F1" s="106"/>
      <c r="G1" s="106"/>
      <c r="I1" s="106"/>
      <c r="J1" s="106"/>
      <c r="K1" s="106"/>
      <c r="L1" s="106"/>
      <c r="M1" s="106"/>
    </row>
    <row r="2" customFormat="false" ht="15" hidden="false" customHeight="false" outlineLevel="0" collapsed="false">
      <c r="A2" s="106" t="s">
        <v>930</v>
      </c>
      <c r="B2" s="69" t="s">
        <v>927</v>
      </c>
      <c r="C2" s="69" t="s">
        <v>928</v>
      </c>
      <c r="D2" s="106" t="s">
        <v>929</v>
      </c>
      <c r="E2" s="106"/>
      <c r="F2" s="106"/>
      <c r="G2" s="106"/>
      <c r="I2" s="106"/>
      <c r="J2" s="106"/>
      <c r="K2" s="106"/>
      <c r="L2" s="106"/>
      <c r="M2" s="106"/>
    </row>
    <row r="3" customFormat="false" ht="15" hidden="false" customHeight="false" outlineLevel="0" collapsed="false">
      <c r="A3" s="69" t="s">
        <v>931</v>
      </c>
      <c r="B3" s="69" t="s">
        <v>927</v>
      </c>
      <c r="C3" s="69" t="s">
        <v>928</v>
      </c>
      <c r="D3" s="69" t="s">
        <v>932</v>
      </c>
      <c r="E3" s="69"/>
      <c r="F3" s="69"/>
      <c r="G3" s="69"/>
      <c r="H3" s="69"/>
      <c r="I3" s="106"/>
      <c r="J3" s="106"/>
      <c r="K3" s="106"/>
      <c r="L3" s="106"/>
      <c r="M3" s="106"/>
    </row>
    <row r="4" customFormat="false" ht="15" hidden="false" customHeight="false" outlineLevel="0" collapsed="false">
      <c r="A4" s="69" t="s">
        <v>933</v>
      </c>
      <c r="B4" s="69" t="s">
        <v>927</v>
      </c>
      <c r="C4" s="69" t="s">
        <v>928</v>
      </c>
      <c r="D4" s="69" t="s">
        <v>934</v>
      </c>
      <c r="E4" s="69"/>
      <c r="F4" s="69"/>
      <c r="G4" s="69"/>
      <c r="H4" s="69"/>
      <c r="I4" s="106"/>
      <c r="J4" s="106"/>
      <c r="K4" s="106"/>
      <c r="L4" s="106"/>
      <c r="M4" s="106"/>
    </row>
    <row r="5" customFormat="false" ht="15" hidden="false" customHeight="false" outlineLevel="0" collapsed="false">
      <c r="A5" s="69" t="s">
        <v>935</v>
      </c>
      <c r="B5" s="69" t="s">
        <v>927</v>
      </c>
      <c r="C5" s="69" t="s">
        <v>928</v>
      </c>
      <c r="D5" s="69" t="s">
        <v>1070</v>
      </c>
      <c r="E5" s="69"/>
      <c r="F5" s="69"/>
      <c r="G5" s="69"/>
      <c r="H5" s="69"/>
      <c r="I5" s="106"/>
      <c r="J5" s="106"/>
      <c r="K5" s="106"/>
      <c r="L5" s="106"/>
      <c r="M5" s="106"/>
    </row>
    <row r="6" customFormat="false" ht="15" hidden="false" customHeight="false" outlineLevel="0" collapsed="false">
      <c r="A6" s="69" t="s">
        <v>556</v>
      </c>
      <c r="B6" s="69" t="s">
        <v>927</v>
      </c>
      <c r="C6" s="69" t="s">
        <v>928</v>
      </c>
      <c r="D6" s="69" t="s">
        <v>939</v>
      </c>
      <c r="E6" s="69"/>
      <c r="F6" s="69"/>
      <c r="G6" s="69"/>
      <c r="H6" s="69"/>
      <c r="I6" s="106"/>
      <c r="J6" s="106"/>
      <c r="K6" s="106"/>
      <c r="L6" s="106"/>
      <c r="M6" s="106"/>
    </row>
    <row r="7" customFormat="false" ht="15" hidden="false" customHeight="false" outlineLevel="0" collapsed="false">
      <c r="A7" s="69" t="s">
        <v>940</v>
      </c>
      <c r="B7" s="69" t="s">
        <v>927</v>
      </c>
      <c r="C7" s="69" t="s">
        <v>928</v>
      </c>
      <c r="D7" s="69" t="s">
        <v>941</v>
      </c>
      <c r="E7" s="69"/>
      <c r="F7" s="69"/>
      <c r="G7" s="69"/>
      <c r="H7" s="69"/>
      <c r="I7" s="106"/>
      <c r="J7" s="106"/>
      <c r="K7" s="106"/>
      <c r="L7" s="106"/>
      <c r="M7" s="106"/>
    </row>
    <row r="8" customFormat="false" ht="15" hidden="false" customHeight="false" outlineLevel="0" collapsed="false">
      <c r="A8" s="69" t="s">
        <v>942</v>
      </c>
      <c r="B8" s="69" t="s">
        <v>927</v>
      </c>
      <c r="C8" s="69" t="s">
        <v>928</v>
      </c>
      <c r="D8" s="69" t="s">
        <v>943</v>
      </c>
      <c r="E8" s="69"/>
      <c r="F8" s="69"/>
      <c r="G8" s="69"/>
      <c r="H8" s="69"/>
      <c r="I8" s="106"/>
      <c r="J8" s="106"/>
      <c r="K8" s="106"/>
      <c r="L8" s="106"/>
      <c r="M8" s="106"/>
    </row>
    <row r="9" customFormat="false" ht="15" hidden="false" customHeight="false" outlineLevel="0" collapsed="false">
      <c r="A9" s="69" t="s">
        <v>768</v>
      </c>
      <c r="B9" s="69" t="s">
        <v>970</v>
      </c>
      <c r="C9" s="69" t="s">
        <v>971</v>
      </c>
      <c r="D9" s="69" t="s">
        <v>1071</v>
      </c>
      <c r="E9" s="69"/>
      <c r="F9" s="69"/>
      <c r="G9" s="69"/>
      <c r="H9" s="69"/>
      <c r="I9" s="106"/>
      <c r="J9" s="106"/>
      <c r="K9" s="106"/>
      <c r="L9" s="106"/>
      <c r="M9" s="106"/>
    </row>
    <row r="10" customFormat="false" ht="15" hidden="false" customHeight="false" outlineLevel="0" collapsed="false">
      <c r="A10" s="69" t="s">
        <v>771</v>
      </c>
      <c r="B10" s="69" t="s">
        <v>970</v>
      </c>
      <c r="C10" s="69" t="s">
        <v>971</v>
      </c>
      <c r="D10" s="69" t="s">
        <v>1072</v>
      </c>
      <c r="E10" s="69"/>
      <c r="F10" s="69"/>
      <c r="G10" s="69"/>
      <c r="H10" s="69"/>
      <c r="I10" s="106"/>
      <c r="J10" s="106"/>
      <c r="K10" s="106"/>
      <c r="L10" s="106"/>
      <c r="M10" s="106"/>
    </row>
    <row r="11" customFormat="false" ht="15" hidden="false" customHeight="false" outlineLevel="0" collapsed="false">
      <c r="A11" s="69" t="s">
        <v>978</v>
      </c>
      <c r="B11" s="69" t="s">
        <v>970</v>
      </c>
      <c r="C11" s="69" t="s">
        <v>971</v>
      </c>
      <c r="D11" s="69" t="s">
        <v>1073</v>
      </c>
      <c r="E11" s="69"/>
      <c r="F11" s="69"/>
      <c r="G11" s="69"/>
      <c r="H11" s="69"/>
      <c r="I11" s="106"/>
      <c r="J11" s="106"/>
      <c r="K11" s="106"/>
      <c r="L11" s="106"/>
      <c r="M11" s="106"/>
    </row>
    <row r="12" customFormat="false" ht="15" hidden="false" customHeight="false" outlineLevel="0" collapsed="false">
      <c r="A12" s="69" t="s">
        <v>978</v>
      </c>
      <c r="B12" s="69" t="s">
        <v>970</v>
      </c>
      <c r="C12" s="69" t="s">
        <v>971</v>
      </c>
      <c r="D12" s="69" t="s">
        <v>1074</v>
      </c>
      <c r="E12" s="69"/>
      <c r="F12" s="69"/>
      <c r="G12" s="69"/>
      <c r="H12" s="69"/>
      <c r="I12" s="106"/>
      <c r="J12" s="106"/>
      <c r="K12" s="106"/>
      <c r="L12" s="106"/>
      <c r="M12" s="106"/>
    </row>
    <row r="13" customFormat="false" ht="15" hidden="false" customHeight="false" outlineLevel="0" collapsed="false">
      <c r="A13" s="69" t="s">
        <v>181</v>
      </c>
      <c r="B13" s="69" t="s">
        <v>981</v>
      </c>
      <c r="C13" s="69" t="s">
        <v>982</v>
      </c>
      <c r="D13" s="69" t="s">
        <v>982</v>
      </c>
      <c r="E13" s="69"/>
      <c r="F13" s="69"/>
      <c r="G13" s="69"/>
      <c r="H13" s="69"/>
      <c r="I13" s="106"/>
      <c r="J13" s="106"/>
      <c r="K13" s="106"/>
      <c r="L13" s="106"/>
      <c r="M13" s="106"/>
    </row>
    <row r="14" customFormat="false" ht="15" hidden="false" customHeight="false" outlineLevel="0" collapsed="false">
      <c r="A14" s="69" t="s">
        <v>326</v>
      </c>
      <c r="B14" s="69" t="s">
        <v>984</v>
      </c>
      <c r="C14" s="69" t="s">
        <v>985</v>
      </c>
      <c r="D14" s="69" t="s">
        <v>1075</v>
      </c>
      <c r="E14" s="69"/>
      <c r="F14" s="69"/>
      <c r="G14" s="69"/>
      <c r="H14" s="69"/>
      <c r="I14" s="106"/>
      <c r="J14" s="106"/>
      <c r="K14" s="106"/>
      <c r="L14" s="106"/>
      <c r="M14" s="106"/>
    </row>
    <row r="15" customFormat="false" ht="15" hidden="false" customHeight="false" outlineLevel="0" collapsed="false">
      <c r="A15" s="69" t="s">
        <v>323</v>
      </c>
      <c r="B15" s="69" t="s">
        <v>984</v>
      </c>
      <c r="C15" s="69" t="s">
        <v>985</v>
      </c>
      <c r="D15" s="69" t="s">
        <v>1076</v>
      </c>
      <c r="E15" s="69"/>
      <c r="F15" s="69"/>
      <c r="G15" s="69"/>
      <c r="H15" s="69"/>
      <c r="I15" s="106"/>
      <c r="J15" s="106"/>
      <c r="K15" s="106"/>
      <c r="L15" s="106"/>
      <c r="M15" s="106"/>
    </row>
    <row r="16" customFormat="false" ht="15" hidden="false" customHeight="false" outlineLevel="0" collapsed="false">
      <c r="A16" s="69" t="s">
        <v>990</v>
      </c>
      <c r="B16" s="69" t="s">
        <v>984</v>
      </c>
      <c r="C16" s="69" t="s">
        <v>985</v>
      </c>
      <c r="D16" s="69" t="s">
        <v>1077</v>
      </c>
      <c r="E16" s="69"/>
      <c r="F16" s="69"/>
      <c r="G16" s="69"/>
      <c r="H16" s="69"/>
      <c r="I16" s="106"/>
      <c r="J16" s="106"/>
      <c r="K16" s="106"/>
      <c r="L16" s="106"/>
      <c r="M16" s="106"/>
    </row>
    <row r="17" customFormat="false" ht="15" hidden="false" customHeight="false" outlineLevel="0" collapsed="false">
      <c r="A17" s="69" t="s">
        <v>329</v>
      </c>
      <c r="B17" s="69" t="s">
        <v>984</v>
      </c>
      <c r="C17" s="69" t="s">
        <v>985</v>
      </c>
      <c r="D17" s="69" t="s">
        <v>1078</v>
      </c>
      <c r="E17" s="69"/>
      <c r="F17" s="69"/>
      <c r="G17" s="69"/>
      <c r="H17" s="69"/>
      <c r="I17" s="106"/>
      <c r="J17" s="106"/>
      <c r="K17" s="106"/>
      <c r="L17" s="106"/>
      <c r="M17" s="106"/>
    </row>
    <row r="18" customFormat="false" ht="15" hidden="false" customHeight="false" outlineLevel="0" collapsed="false">
      <c r="A18" s="69" t="s">
        <v>332</v>
      </c>
      <c r="B18" s="69" t="s">
        <v>984</v>
      </c>
      <c r="C18" s="69" t="s">
        <v>985</v>
      </c>
      <c r="D18" s="69" t="s">
        <v>333</v>
      </c>
      <c r="E18" s="69"/>
      <c r="F18" s="69"/>
      <c r="G18" s="69"/>
      <c r="H18" s="69"/>
      <c r="I18" s="106"/>
      <c r="J18" s="106"/>
      <c r="K18" s="106"/>
      <c r="L18" s="106"/>
      <c r="M18" s="106"/>
    </row>
    <row r="19" customFormat="false" ht="15" hidden="false" customHeight="false" outlineLevel="0" collapsed="false">
      <c r="A19" s="69" t="s">
        <v>181</v>
      </c>
      <c r="B19" s="69" t="s">
        <v>1001</v>
      </c>
      <c r="C19" s="69" t="s">
        <v>1002</v>
      </c>
      <c r="D19" s="69" t="s">
        <v>1002</v>
      </c>
      <c r="E19" s="69"/>
      <c r="F19" s="69"/>
      <c r="G19" s="69"/>
      <c r="H19" s="69"/>
      <c r="I19" s="106"/>
      <c r="J19" s="106"/>
      <c r="K19" s="106"/>
      <c r="L19" s="106"/>
      <c r="M19" s="106"/>
    </row>
    <row r="20" customFormat="false" ht="15" hidden="false" customHeight="false" outlineLevel="0" collapsed="false">
      <c r="A20" s="69" t="s">
        <v>700</v>
      </c>
      <c r="B20" s="69" t="s">
        <v>944</v>
      </c>
      <c r="C20" s="69" t="s">
        <v>947</v>
      </c>
      <c r="D20" s="69" t="s">
        <v>945</v>
      </c>
      <c r="E20" s="69"/>
      <c r="F20" s="69"/>
      <c r="G20" s="69"/>
      <c r="H20" s="69"/>
      <c r="I20" s="106"/>
      <c r="J20" s="106"/>
      <c r="K20" s="106"/>
      <c r="L20" s="106"/>
      <c r="M20" s="106"/>
    </row>
    <row r="21" customFormat="false" ht="15" hidden="false" customHeight="false" outlineLevel="0" collapsed="false">
      <c r="A21" s="69" t="s">
        <v>949</v>
      </c>
      <c r="B21" s="69" t="s">
        <v>944</v>
      </c>
      <c r="C21" s="69" t="s">
        <v>947</v>
      </c>
      <c r="D21" s="69" t="s">
        <v>950</v>
      </c>
      <c r="E21" s="69"/>
      <c r="F21" s="69"/>
      <c r="G21" s="69"/>
      <c r="H21" s="69"/>
      <c r="I21" s="106"/>
      <c r="J21" s="106"/>
      <c r="K21" s="106"/>
      <c r="L21" s="106"/>
      <c r="M21" s="106"/>
    </row>
    <row r="22" customFormat="false" ht="15" hidden="false" customHeight="false" outlineLevel="0" collapsed="false">
      <c r="A22" s="69" t="s">
        <v>951</v>
      </c>
      <c r="B22" s="69" t="s">
        <v>944</v>
      </c>
      <c r="C22" s="69" t="s">
        <v>947</v>
      </c>
      <c r="D22" s="69" t="s">
        <v>952</v>
      </c>
      <c r="E22" s="69"/>
      <c r="F22" s="69"/>
      <c r="G22" s="69"/>
      <c r="H22" s="69"/>
      <c r="I22" s="106"/>
      <c r="J22" s="106"/>
      <c r="K22" s="106"/>
      <c r="L22" s="106"/>
      <c r="M22" s="106"/>
    </row>
    <row r="23" customFormat="false" ht="15" hidden="false" customHeight="false" outlineLevel="0" collapsed="false">
      <c r="A23" s="69" t="s">
        <v>720</v>
      </c>
      <c r="B23" s="69" t="s">
        <v>944</v>
      </c>
      <c r="C23" s="69" t="s">
        <v>947</v>
      </c>
      <c r="D23" s="69" t="s">
        <v>955</v>
      </c>
      <c r="E23" s="69"/>
      <c r="F23" s="69"/>
      <c r="G23" s="69"/>
      <c r="H23" s="69"/>
      <c r="I23" s="106"/>
      <c r="J23" s="106"/>
      <c r="K23" s="106"/>
      <c r="L23" s="106"/>
      <c r="M23" s="106"/>
    </row>
    <row r="24" customFormat="false" ht="15" hidden="false" customHeight="false" outlineLevel="0" collapsed="false">
      <c r="A24" s="69" t="s">
        <v>724</v>
      </c>
      <c r="B24" s="69" t="s">
        <v>944</v>
      </c>
      <c r="C24" s="69" t="s">
        <v>947</v>
      </c>
      <c r="D24" s="69" t="s">
        <v>956</v>
      </c>
      <c r="E24" s="69"/>
      <c r="F24" s="69"/>
      <c r="G24" s="69"/>
      <c r="H24" s="69"/>
      <c r="I24" s="106"/>
      <c r="J24" s="106"/>
      <c r="K24" s="106"/>
      <c r="L24" s="106"/>
      <c r="M24" s="106"/>
    </row>
    <row r="25" customFormat="false" ht="15" hidden="false" customHeight="false" outlineLevel="0" collapsed="false">
      <c r="A25" s="69" t="s">
        <v>1079</v>
      </c>
      <c r="B25" s="69" t="s">
        <v>944</v>
      </c>
      <c r="C25" s="69" t="s">
        <v>947</v>
      </c>
      <c r="D25" s="69" t="s">
        <v>1080</v>
      </c>
      <c r="E25" s="69"/>
      <c r="F25" s="69"/>
      <c r="G25" s="69"/>
      <c r="H25" s="69"/>
      <c r="I25" s="106"/>
      <c r="J25" s="106"/>
      <c r="K25" s="106"/>
      <c r="L25" s="106"/>
      <c r="M25" s="106"/>
    </row>
    <row r="26" customFormat="false" ht="15" hidden="false" customHeight="false" outlineLevel="0" collapsed="false">
      <c r="A26" s="69" t="s">
        <v>1081</v>
      </c>
      <c r="B26" s="69" t="s">
        <v>944</v>
      </c>
      <c r="C26" s="69" t="s">
        <v>947</v>
      </c>
      <c r="D26" s="69" t="s">
        <v>1082</v>
      </c>
      <c r="E26" s="69"/>
      <c r="F26" s="69"/>
      <c r="G26" s="69"/>
      <c r="H26" s="69"/>
      <c r="I26" s="106"/>
      <c r="J26" s="106"/>
      <c r="K26" s="106"/>
      <c r="L26" s="106"/>
      <c r="M26" s="106"/>
    </row>
    <row r="27" customFormat="false" ht="15" hidden="false" customHeight="false" outlineLevel="0" collapsed="false">
      <c r="A27" s="69" t="s">
        <v>957</v>
      </c>
      <c r="B27" s="69" t="e">
        <f aca="false">+VLOOKUP(A27,at_columnas!$A$3:$B$31,2,FALSE())</f>
        <v>#VALUE!</v>
      </c>
      <c r="C27" s="69" t="s">
        <v>947</v>
      </c>
      <c r="D27" s="69" t="s">
        <v>958</v>
      </c>
      <c r="E27" s="69"/>
      <c r="F27" s="69"/>
      <c r="G27" s="69"/>
      <c r="H27" s="69"/>
      <c r="I27" s="106"/>
      <c r="J27" s="106"/>
      <c r="K27" s="106"/>
      <c r="L27" s="106"/>
      <c r="M27" s="106"/>
    </row>
    <row r="28" customFormat="false" ht="15" hidden="false" customHeight="false" outlineLevel="0" collapsed="false">
      <c r="A28" s="69" t="s">
        <v>961</v>
      </c>
      <c r="B28" s="69" t="e">
        <f aca="false">+VLOOKUP(A28,at_columnas!$A$3:$B$31,2,FALSE())</f>
        <v>#VALUE!</v>
      </c>
      <c r="C28" s="69" t="s">
        <v>947</v>
      </c>
      <c r="D28" s="69" t="s">
        <v>962</v>
      </c>
      <c r="E28" s="69"/>
      <c r="F28" s="69"/>
      <c r="G28" s="69"/>
      <c r="H28" s="69"/>
      <c r="I28" s="106"/>
      <c r="J28" s="106"/>
      <c r="K28" s="106"/>
      <c r="L28" s="106"/>
      <c r="M28" s="106"/>
    </row>
    <row r="29" customFormat="false" ht="15" hidden="false" customHeight="false" outlineLevel="0" collapsed="false">
      <c r="A29" s="69" t="s">
        <v>738</v>
      </c>
      <c r="B29" s="69" t="s">
        <v>963</v>
      </c>
      <c r="C29" s="69" t="s">
        <v>735</v>
      </c>
      <c r="D29" s="69" t="s">
        <v>739</v>
      </c>
      <c r="E29" s="69"/>
      <c r="F29" s="69"/>
      <c r="G29" s="69"/>
      <c r="H29" s="69"/>
      <c r="I29" s="106"/>
      <c r="J29" s="106"/>
      <c r="K29" s="106"/>
      <c r="L29" s="106"/>
      <c r="M29" s="106"/>
    </row>
    <row r="30" customFormat="false" ht="15" hidden="false" customHeight="false" outlineLevel="0" collapsed="false">
      <c r="A30" s="69" t="s">
        <v>966</v>
      </c>
      <c r="B30" s="69" t="s">
        <v>963</v>
      </c>
      <c r="C30" s="69" t="s">
        <v>735</v>
      </c>
      <c r="D30" s="69" t="s">
        <v>967</v>
      </c>
      <c r="E30" s="69"/>
      <c r="F30" s="69"/>
      <c r="G30" s="69"/>
      <c r="H30" s="69"/>
      <c r="I30" s="106"/>
      <c r="J30" s="106"/>
      <c r="K30" s="106"/>
      <c r="L30" s="106"/>
      <c r="M30" s="106"/>
    </row>
    <row r="31" customFormat="false" ht="15" hidden="false" customHeight="false" outlineLevel="0" collapsed="false">
      <c r="A31" s="69" t="s">
        <v>748</v>
      </c>
      <c r="B31" s="69" t="s">
        <v>963</v>
      </c>
      <c r="C31" s="69" t="s">
        <v>735</v>
      </c>
      <c r="D31" s="69" t="s">
        <v>749</v>
      </c>
      <c r="E31" s="69"/>
      <c r="F31" s="69"/>
      <c r="G31" s="69"/>
      <c r="H31" s="69"/>
      <c r="I31" s="106"/>
      <c r="J31" s="106"/>
      <c r="K31" s="106"/>
      <c r="L31" s="106"/>
      <c r="M31" s="106"/>
    </row>
    <row r="32" customFormat="false" ht="15" hidden="false" customHeight="true" outlineLevel="0" collapsed="false">
      <c r="A32" s="69" t="s">
        <v>758</v>
      </c>
      <c r="B32" s="0" t="s">
        <v>963</v>
      </c>
      <c r="C32" s="69" t="s">
        <v>735</v>
      </c>
      <c r="D32" s="69" t="s">
        <v>968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45" activeCellId="0" sqref="I45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0" width="8.82"/>
    <col collapsed="false" customWidth="true" hidden="false" outlineLevel="0" max="3" min="3" style="0" width="68.82"/>
    <col collapsed="false" customWidth="true" hidden="false" outlineLevel="0" max="4" min="4" style="0" width="10.54"/>
    <col collapsed="false" customWidth="true" hidden="false" outlineLevel="0" max="5" min="5" style="0" width="7.82"/>
  </cols>
  <sheetData>
    <row r="1" customFormat="false" ht="14.25" hidden="false" customHeight="false" outlineLevel="0" collapsed="false">
      <c r="A1" s="0" t="s">
        <v>925</v>
      </c>
      <c r="B1" s="0" t="s">
        <v>1083</v>
      </c>
      <c r="C1" s="0" t="s">
        <v>1084</v>
      </c>
      <c r="D1" s="0" t="s">
        <v>926</v>
      </c>
      <c r="E1" s="0" t="s">
        <v>1085</v>
      </c>
      <c r="F1" s="0" t="s">
        <v>1086</v>
      </c>
      <c r="G1" s="0" t="s">
        <v>1087</v>
      </c>
    </row>
    <row r="2" customFormat="false" ht="14.25" hidden="false" customHeight="false" outlineLevel="0" collapsed="false">
      <c r="A2" s="0" t="n">
        <v>1</v>
      </c>
      <c r="B2" s="0" t="s">
        <v>931</v>
      </c>
      <c r="C2" s="0" t="s">
        <v>932</v>
      </c>
      <c r="D2" s="0" t="n">
        <v>1</v>
      </c>
      <c r="E2" s="0" t="n">
        <v>1</v>
      </c>
      <c r="F2" s="0" t="s">
        <v>930</v>
      </c>
      <c r="G2" s="0" t="s">
        <v>929</v>
      </c>
    </row>
    <row r="3" customFormat="false" ht="14.25" hidden="false" customHeight="false" outlineLevel="0" collapsed="false">
      <c r="A3" s="0" t="n">
        <v>2</v>
      </c>
      <c r="B3" s="0" t="s">
        <v>933</v>
      </c>
      <c r="C3" s="0" t="s">
        <v>934</v>
      </c>
      <c r="D3" s="0" t="n">
        <v>2</v>
      </c>
      <c r="E3" s="0" t="n">
        <v>1</v>
      </c>
      <c r="F3" s="0" t="s">
        <v>930</v>
      </c>
      <c r="G3" s="0" t="s">
        <v>929</v>
      </c>
    </row>
    <row r="4" customFormat="false" ht="14.25" hidden="false" customHeight="false" outlineLevel="0" collapsed="false">
      <c r="A4" s="0" t="n">
        <v>3</v>
      </c>
      <c r="B4" s="0" t="s">
        <v>935</v>
      </c>
      <c r="C4" s="0" t="s">
        <v>936</v>
      </c>
      <c r="D4" s="0" t="n">
        <v>3</v>
      </c>
      <c r="E4" s="0" t="n">
        <v>1</v>
      </c>
      <c r="F4" s="0" t="s">
        <v>930</v>
      </c>
      <c r="G4" s="0" t="s">
        <v>929</v>
      </c>
    </row>
    <row r="5" customFormat="false" ht="14.25" hidden="false" customHeight="false" outlineLevel="0" collapsed="false">
      <c r="A5" s="0" t="n">
        <v>4</v>
      </c>
      <c r="B5" s="0" t="s">
        <v>556</v>
      </c>
      <c r="C5" s="0" t="s">
        <v>939</v>
      </c>
      <c r="D5" s="0" t="n">
        <v>1</v>
      </c>
      <c r="E5" s="0" t="n">
        <v>2</v>
      </c>
      <c r="F5" s="0" t="s">
        <v>938</v>
      </c>
      <c r="G5" s="0" t="s">
        <v>684</v>
      </c>
    </row>
    <row r="6" customFormat="false" ht="14.25" hidden="false" customHeight="false" outlineLevel="0" collapsed="false">
      <c r="A6" s="0" t="n">
        <v>5</v>
      </c>
      <c r="B6" s="0" t="s">
        <v>940</v>
      </c>
      <c r="C6" s="0" t="s">
        <v>941</v>
      </c>
      <c r="D6" s="0" t="n">
        <v>2</v>
      </c>
      <c r="E6" s="0" t="n">
        <v>2</v>
      </c>
      <c r="F6" s="0" t="s">
        <v>938</v>
      </c>
      <c r="G6" s="0" t="s">
        <v>684</v>
      </c>
    </row>
    <row r="7" customFormat="false" ht="14.25" hidden="false" customHeight="false" outlineLevel="0" collapsed="false">
      <c r="A7" s="0" t="n">
        <v>6</v>
      </c>
      <c r="B7" s="0" t="s">
        <v>942</v>
      </c>
      <c r="C7" s="0" t="s">
        <v>943</v>
      </c>
      <c r="D7" s="0" t="n">
        <v>3</v>
      </c>
      <c r="E7" s="0" t="n">
        <v>2</v>
      </c>
      <c r="F7" s="0" t="s">
        <v>938</v>
      </c>
      <c r="G7" s="0" t="s">
        <v>684</v>
      </c>
    </row>
    <row r="8" customFormat="false" ht="14.25" hidden="false" customHeight="false" outlineLevel="0" collapsed="false">
      <c r="A8" s="0" t="n">
        <v>7</v>
      </c>
      <c r="B8" s="0" t="s">
        <v>700</v>
      </c>
      <c r="C8" s="0" t="s">
        <v>945</v>
      </c>
      <c r="D8" s="0" t="n">
        <v>9</v>
      </c>
      <c r="E8" s="0" t="n">
        <v>3</v>
      </c>
      <c r="F8" s="0" t="s">
        <v>946</v>
      </c>
      <c r="G8" s="0" t="s">
        <v>696</v>
      </c>
    </row>
    <row r="9" customFormat="false" ht="14.25" hidden="false" customHeight="false" outlineLevel="0" collapsed="false">
      <c r="A9" s="0" t="n">
        <v>8</v>
      </c>
      <c r="B9" s="0" t="s">
        <v>949</v>
      </c>
      <c r="C9" s="0" t="s">
        <v>950</v>
      </c>
      <c r="D9" s="0" t="n">
        <v>9</v>
      </c>
      <c r="E9" s="0" t="n">
        <v>3</v>
      </c>
      <c r="F9" s="0" t="s">
        <v>946</v>
      </c>
      <c r="G9" s="0" t="s">
        <v>696</v>
      </c>
    </row>
    <row r="10" customFormat="false" ht="14.25" hidden="false" customHeight="false" outlineLevel="0" collapsed="false">
      <c r="A10" s="0" t="n">
        <v>9</v>
      </c>
      <c r="B10" s="0" t="s">
        <v>951</v>
      </c>
      <c r="C10" s="0" t="s">
        <v>952</v>
      </c>
      <c r="D10" s="0" t="n">
        <v>9</v>
      </c>
      <c r="E10" s="0" t="n">
        <v>3</v>
      </c>
      <c r="F10" s="0" t="s">
        <v>946</v>
      </c>
      <c r="G10" s="0" t="s">
        <v>696</v>
      </c>
    </row>
    <row r="11" customFormat="false" ht="14.25" hidden="false" customHeight="false" outlineLevel="0" collapsed="false">
      <c r="A11" s="0" t="n">
        <v>10</v>
      </c>
      <c r="B11" s="0" t="s">
        <v>720</v>
      </c>
      <c r="C11" s="0" t="s">
        <v>955</v>
      </c>
      <c r="D11" s="0" t="n">
        <v>9</v>
      </c>
      <c r="E11" s="0" t="n">
        <v>3</v>
      </c>
      <c r="F11" s="0" t="s">
        <v>946</v>
      </c>
      <c r="G11" s="0" t="s">
        <v>696</v>
      </c>
    </row>
    <row r="12" customFormat="false" ht="14.25" hidden="false" customHeight="false" outlineLevel="0" collapsed="false">
      <c r="A12" s="0" t="n">
        <v>11</v>
      </c>
      <c r="B12" s="0" t="s">
        <v>724</v>
      </c>
      <c r="C12" s="0" t="s">
        <v>956</v>
      </c>
      <c r="D12" s="0" t="n">
        <v>9</v>
      </c>
      <c r="E12" s="0" t="n">
        <v>3</v>
      </c>
      <c r="F12" s="0" t="s">
        <v>946</v>
      </c>
      <c r="G12" s="0" t="s">
        <v>696</v>
      </c>
    </row>
    <row r="13" customFormat="false" ht="14.25" hidden="false" customHeight="false" outlineLevel="0" collapsed="false">
      <c r="A13" s="0" t="n">
        <v>12</v>
      </c>
      <c r="B13" s="0" t="s">
        <v>957</v>
      </c>
      <c r="C13" s="0" t="s">
        <v>958</v>
      </c>
      <c r="D13" s="0" t="n">
        <v>9</v>
      </c>
      <c r="E13" s="0" t="n">
        <v>4</v>
      </c>
      <c r="F13" s="0" t="s">
        <v>959</v>
      </c>
      <c r="G13" s="0" t="s">
        <v>960</v>
      </c>
    </row>
    <row r="14" customFormat="false" ht="14.25" hidden="false" customHeight="false" outlineLevel="0" collapsed="false">
      <c r="A14" s="0" t="n">
        <v>13</v>
      </c>
      <c r="B14" s="0" t="s">
        <v>961</v>
      </c>
      <c r="C14" s="0" t="s">
        <v>962</v>
      </c>
      <c r="D14" s="0" t="n">
        <v>9</v>
      </c>
      <c r="E14" s="0" t="n">
        <v>4</v>
      </c>
      <c r="F14" s="0" t="s">
        <v>959</v>
      </c>
      <c r="G14" s="0" t="s">
        <v>960</v>
      </c>
    </row>
    <row r="15" customFormat="false" ht="14.25" hidden="false" customHeight="false" outlineLevel="0" collapsed="false">
      <c r="A15" s="0" t="n">
        <v>14</v>
      </c>
      <c r="B15" s="0" t="s">
        <v>738</v>
      </c>
      <c r="C15" s="0" t="s">
        <v>739</v>
      </c>
      <c r="D15" s="0" t="n">
        <v>10</v>
      </c>
      <c r="E15" s="0" t="n">
        <v>5</v>
      </c>
      <c r="F15" s="0" t="s">
        <v>964</v>
      </c>
      <c r="G15" s="0" t="s">
        <v>965</v>
      </c>
    </row>
    <row r="16" customFormat="false" ht="14.25" hidden="false" customHeight="false" outlineLevel="0" collapsed="false">
      <c r="A16" s="0" t="n">
        <v>15</v>
      </c>
      <c r="B16" s="0" t="s">
        <v>966</v>
      </c>
      <c r="C16" s="0" t="s">
        <v>967</v>
      </c>
      <c r="D16" s="0" t="n">
        <v>10</v>
      </c>
      <c r="E16" s="0" t="n">
        <v>5</v>
      </c>
      <c r="F16" s="0" t="s">
        <v>964</v>
      </c>
      <c r="G16" s="0" t="s">
        <v>965</v>
      </c>
    </row>
    <row r="17" customFormat="false" ht="14.25" hidden="false" customHeight="false" outlineLevel="0" collapsed="false">
      <c r="A17" s="0" t="n">
        <v>16</v>
      </c>
      <c r="B17" s="0" t="s">
        <v>748</v>
      </c>
      <c r="C17" s="0" t="s">
        <v>749</v>
      </c>
      <c r="D17" s="0" t="n">
        <v>10</v>
      </c>
      <c r="E17" s="0" t="n">
        <v>5</v>
      </c>
      <c r="F17" s="0" t="s">
        <v>964</v>
      </c>
      <c r="G17" s="0" t="s">
        <v>965</v>
      </c>
    </row>
    <row r="18" customFormat="false" ht="14.25" hidden="false" customHeight="false" outlineLevel="0" collapsed="false">
      <c r="A18" s="0" t="n">
        <v>17</v>
      </c>
      <c r="B18" s="0" t="s">
        <v>758</v>
      </c>
      <c r="C18" s="0" t="s">
        <v>968</v>
      </c>
      <c r="D18" s="0" t="n">
        <v>10</v>
      </c>
      <c r="E18" s="0" t="n">
        <v>5</v>
      </c>
      <c r="F18" s="0" t="s">
        <v>964</v>
      </c>
      <c r="G18" s="0" t="s">
        <v>965</v>
      </c>
    </row>
    <row r="19" customFormat="false" ht="14.25" hidden="false" customHeight="false" outlineLevel="0" collapsed="false">
      <c r="A19" s="0" t="n">
        <v>18</v>
      </c>
      <c r="B19" s="0" t="s">
        <v>768</v>
      </c>
      <c r="C19" s="0" t="s">
        <v>974</v>
      </c>
      <c r="D19" s="0" t="n">
        <v>4</v>
      </c>
      <c r="E19" s="0" t="n">
        <v>6</v>
      </c>
      <c r="F19" s="0" t="s">
        <v>973</v>
      </c>
      <c r="G19" s="0" t="s">
        <v>972</v>
      </c>
    </row>
    <row r="20" customFormat="false" ht="14.25" hidden="false" customHeight="false" outlineLevel="0" collapsed="false">
      <c r="A20" s="0" t="n">
        <v>19</v>
      </c>
      <c r="B20" s="0" t="s">
        <v>771</v>
      </c>
      <c r="C20" s="0" t="s">
        <v>975</v>
      </c>
      <c r="D20" s="0" t="n">
        <v>4</v>
      </c>
      <c r="E20" s="0" t="n">
        <v>6</v>
      </c>
      <c r="F20" s="0" t="s">
        <v>973</v>
      </c>
      <c r="G20" s="0" t="s">
        <v>972</v>
      </c>
    </row>
    <row r="21" customFormat="false" ht="14.25" hidden="false" customHeight="false" outlineLevel="0" collapsed="false">
      <c r="A21" s="0" t="n">
        <v>20</v>
      </c>
      <c r="B21" s="0" t="s">
        <v>547</v>
      </c>
      <c r="C21" s="0" t="s">
        <v>979</v>
      </c>
      <c r="D21" s="0" t="n">
        <v>4</v>
      </c>
      <c r="E21" s="0" t="n">
        <v>7</v>
      </c>
      <c r="F21" s="0" t="s">
        <v>978</v>
      </c>
      <c r="G21" s="0" t="s">
        <v>977</v>
      </c>
    </row>
    <row r="22" customFormat="false" ht="14.25" hidden="false" customHeight="false" outlineLevel="0" collapsed="false">
      <c r="A22" s="0" t="n">
        <v>21</v>
      </c>
      <c r="B22" s="0" t="s">
        <v>550</v>
      </c>
      <c r="C22" s="0" t="s">
        <v>980</v>
      </c>
      <c r="D22" s="0" t="n">
        <v>4</v>
      </c>
      <c r="E22" s="0" t="n">
        <v>7</v>
      </c>
      <c r="F22" s="0" t="s">
        <v>978</v>
      </c>
      <c r="G22" s="0" t="s">
        <v>977</v>
      </c>
    </row>
    <row r="23" customFormat="false" ht="14.25" hidden="false" customHeight="false" outlineLevel="0" collapsed="false">
      <c r="A23" s="0" t="n">
        <v>22</v>
      </c>
      <c r="B23" s="0" t="s">
        <v>544</v>
      </c>
      <c r="C23" s="0" t="s">
        <v>983</v>
      </c>
      <c r="D23" s="0" t="n">
        <v>5</v>
      </c>
      <c r="E23" s="0" t="n">
        <v>8</v>
      </c>
      <c r="F23" s="0" t="s">
        <v>544</v>
      </c>
      <c r="G23" s="0" t="s">
        <v>983</v>
      </c>
    </row>
    <row r="24" customFormat="false" ht="14.25" hidden="false" customHeight="false" outlineLevel="0" collapsed="false">
      <c r="A24" s="0" t="n">
        <v>23</v>
      </c>
      <c r="B24" s="0" t="s">
        <v>326</v>
      </c>
      <c r="C24" s="0" t="s">
        <v>986</v>
      </c>
      <c r="D24" s="0" t="n">
        <v>6</v>
      </c>
      <c r="E24" s="0" t="n">
        <v>9</v>
      </c>
      <c r="F24" s="0" t="s">
        <v>987</v>
      </c>
      <c r="G24" s="0" t="s">
        <v>988</v>
      </c>
    </row>
    <row r="25" customFormat="false" ht="14.25" hidden="false" customHeight="false" outlineLevel="0" collapsed="false">
      <c r="A25" s="0" t="n">
        <v>24</v>
      </c>
      <c r="B25" s="0" t="s">
        <v>323</v>
      </c>
      <c r="C25" s="0" t="s">
        <v>989</v>
      </c>
      <c r="D25" s="0" t="n">
        <v>6</v>
      </c>
      <c r="E25" s="0" t="n">
        <v>9</v>
      </c>
      <c r="F25" s="0" t="s">
        <v>987</v>
      </c>
      <c r="G25" s="0" t="s">
        <v>988</v>
      </c>
    </row>
    <row r="26" customFormat="false" ht="14.25" hidden="false" customHeight="false" outlineLevel="0" collapsed="false">
      <c r="A26" s="0" t="n">
        <v>25</v>
      </c>
      <c r="B26" s="0" t="s">
        <v>990</v>
      </c>
      <c r="C26" s="0" t="s">
        <v>991</v>
      </c>
      <c r="D26" s="0" t="n">
        <v>6</v>
      </c>
      <c r="E26" s="0" t="n">
        <v>9</v>
      </c>
      <c r="F26" s="0" t="s">
        <v>987</v>
      </c>
      <c r="G26" s="0" t="s">
        <v>988</v>
      </c>
    </row>
    <row r="27" customFormat="false" ht="14.25" hidden="false" customHeight="false" outlineLevel="0" collapsed="false">
      <c r="A27" s="0" t="n">
        <v>26</v>
      </c>
      <c r="B27" s="0" t="s">
        <v>329</v>
      </c>
      <c r="C27" s="0" t="s">
        <v>992</v>
      </c>
      <c r="D27" s="0" t="n">
        <v>6</v>
      </c>
      <c r="E27" s="0" t="n">
        <v>9</v>
      </c>
      <c r="F27" s="0" t="s">
        <v>987</v>
      </c>
      <c r="G27" s="0" t="s">
        <v>988</v>
      </c>
    </row>
    <row r="28" customFormat="false" ht="14.25" hidden="false" customHeight="false" outlineLevel="0" collapsed="false">
      <c r="A28" s="0" t="n">
        <v>27</v>
      </c>
      <c r="B28" s="0" t="s">
        <v>993</v>
      </c>
      <c r="C28" s="0" t="s">
        <v>994</v>
      </c>
      <c r="D28" s="0" t="n">
        <v>6</v>
      </c>
      <c r="E28" s="0" t="n">
        <v>10</v>
      </c>
      <c r="F28" s="0" t="s">
        <v>995</v>
      </c>
      <c r="G28" s="0" t="s">
        <v>994</v>
      </c>
    </row>
    <row r="29" customFormat="false" ht="14.25" hidden="false" customHeight="false" outlineLevel="0" collapsed="false">
      <c r="A29" s="0" t="n">
        <v>28</v>
      </c>
      <c r="B29" s="0" t="s">
        <v>332</v>
      </c>
      <c r="C29" s="0" t="s">
        <v>333</v>
      </c>
      <c r="D29" s="0" t="n">
        <v>7</v>
      </c>
      <c r="E29" s="0" t="n">
        <v>11</v>
      </c>
      <c r="F29" s="0" t="s">
        <v>996</v>
      </c>
      <c r="G29" s="0" t="s">
        <v>997</v>
      </c>
    </row>
    <row r="30" customFormat="false" ht="14.25" hidden="false" customHeight="false" outlineLevel="0" collapsed="false">
      <c r="A30" s="0" t="n">
        <v>29</v>
      </c>
      <c r="B30" s="0" t="s">
        <v>998</v>
      </c>
      <c r="C30" s="0" t="s">
        <v>1000</v>
      </c>
      <c r="D30" s="0" t="n">
        <v>7</v>
      </c>
      <c r="E30" s="0" t="n">
        <v>11</v>
      </c>
      <c r="F30" s="0" t="s">
        <v>996</v>
      </c>
      <c r="G30" s="0" t="s">
        <v>997</v>
      </c>
    </row>
    <row r="31" customFormat="false" ht="14.25" hidden="false" customHeight="false" outlineLevel="0" collapsed="false">
      <c r="A31" s="0" t="n">
        <v>30</v>
      </c>
      <c r="B31" s="0" t="s">
        <v>316</v>
      </c>
      <c r="C31" s="0" t="s">
        <v>318</v>
      </c>
      <c r="D31" s="0" t="n">
        <v>8</v>
      </c>
      <c r="E31" s="0" t="n">
        <v>12</v>
      </c>
      <c r="F31" s="0" t="s">
        <v>1003</v>
      </c>
      <c r="G31" s="0" t="s">
        <v>1002</v>
      </c>
    </row>
    <row r="32" customFormat="false" ht="14.25" hidden="false" customHeight="false" outlineLevel="0" collapsed="false">
      <c r="A32" s="0" t="n">
        <v>31</v>
      </c>
      <c r="B32" s="0" t="s">
        <v>320</v>
      </c>
      <c r="C32" s="0" t="s">
        <v>321</v>
      </c>
      <c r="D32" s="0" t="n">
        <v>8</v>
      </c>
      <c r="E32" s="0" t="n">
        <v>12</v>
      </c>
      <c r="F32" s="0" t="s">
        <v>1003</v>
      </c>
      <c r="G32" s="0" t="s">
        <v>1002</v>
      </c>
    </row>
    <row r="33" customFormat="false" ht="14.25" hidden="false" customHeight="false" outlineLevel="0" collapsed="false">
      <c r="A33" s="0" t="n">
        <v>32</v>
      </c>
      <c r="B33" s="0" t="s">
        <v>1004</v>
      </c>
      <c r="C33" s="0" t="s">
        <v>1005</v>
      </c>
      <c r="D33" s="0" t="n">
        <v>8</v>
      </c>
      <c r="E33" s="0" t="n">
        <v>12</v>
      </c>
      <c r="F33" s="0" t="s">
        <v>1003</v>
      </c>
      <c r="G33" s="0" t="s">
        <v>1002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0" width="16.09"/>
  </cols>
  <sheetData>
    <row r="1" customFormat="false" ht="45.1" hidden="false" customHeight="false" outlineLevel="0" collapsed="false">
      <c r="A1" s="4" t="s">
        <v>1088</v>
      </c>
      <c r="B1" s="7" t="s">
        <v>13</v>
      </c>
      <c r="C1" s="7" t="s">
        <v>14</v>
      </c>
      <c r="D1" s="7" t="s">
        <v>15</v>
      </c>
      <c r="E1" s="7" t="s">
        <v>16</v>
      </c>
      <c r="F1" s="7" t="s">
        <v>17</v>
      </c>
      <c r="G1" s="7" t="s">
        <v>18</v>
      </c>
      <c r="H1" s="7" t="s">
        <v>19</v>
      </c>
      <c r="I1" s="7" t="s">
        <v>20</v>
      </c>
      <c r="J1" s="7" t="s">
        <v>21</v>
      </c>
      <c r="K1" s="8" t="s">
        <v>22</v>
      </c>
    </row>
    <row r="2" customFormat="false" ht="37.55" hidden="false" customHeight="false" outlineLevel="0" collapsed="false">
      <c r="A2" s="12" t="s">
        <v>25</v>
      </c>
      <c r="B2" s="13" t="n">
        <v>1</v>
      </c>
      <c r="C2" s="13" t="str">
        <f aca="false">VLOOKUP(B2,clasif_filas!$A$1:$J$39,2,FALSE())</f>
        <v>Productos de la agricultura, la horticultura y la jardinería comercial</v>
      </c>
      <c r="D2" s="13" t="n">
        <f aca="false">VLOOKUP(B2,clasif_filas!$A$1:$J$39,3,FALSE())</f>
        <v>1</v>
      </c>
      <c r="E2" s="13" t="str">
        <f aca="false">VLOOKUP(B2,clasif_filas!$A$1:$J$39,4,FALSE())</f>
        <v>Productos de la agricultura, la horticultura y la jardinería comercial</v>
      </c>
      <c r="F2" s="13" t="n">
        <f aca="false">VLOOKUP(B2,clasif_filas!$A$1:$J$39,5,FALSE())</f>
        <v>1</v>
      </c>
      <c r="G2" s="13" t="str">
        <f aca="false">VLOOKUP(B2,clasif_filas!$A$1:$J$39,6,FALSE())</f>
        <v>Biomasa que se cultiva para producir alimentos, forrajes, fibras y energía</v>
      </c>
      <c r="H2" s="13" t="n">
        <f aca="false">VLOOKUP(B2,clasif_filas!$A$1:$J$39,7,FALSE())</f>
        <v>0</v>
      </c>
      <c r="I2" s="13" t="str">
        <f aca="false">VLOOKUP(B2,clasif_filas!$A$1:$J$39,8,FALSE())</f>
        <v>Productos de la agricultura, la silvicultura yla pesca</v>
      </c>
      <c r="J2" s="13" t="n">
        <f aca="false">VLOOKUP(B2,clasif_filas!$A$1:$J$39,9,FALSE())</f>
        <v>1</v>
      </c>
      <c r="K2" s="14" t="str">
        <f aca="false">VLOOKUP(B2,clasif_filas!$A$1:$J$39,10,FALSE())</f>
        <v>Bioeconomía</v>
      </c>
    </row>
    <row r="3" customFormat="false" ht="37.55" hidden="false" customHeight="false" outlineLevel="0" collapsed="false">
      <c r="A3" s="17" t="s">
        <v>30</v>
      </c>
      <c r="B3" s="0" t="n">
        <v>2</v>
      </c>
      <c r="C3" s="0" t="str">
        <f aca="false">VLOOKUP(B3,clasif_filas!$A$1:$J$39,2,FALSE())</f>
        <v>Animales vivos y productos animales (excepto la carne)</v>
      </c>
      <c r="D3" s="0" t="n">
        <f aca="false">VLOOKUP(B3,clasif_filas!$A$1:$J$39,3,FALSE())</f>
        <v>2</v>
      </c>
      <c r="E3" s="0" t="str">
        <f aca="false">VLOOKUP(B3,clasif_filas!$A$1:$J$39,4,FALSE())</f>
        <v>Animales vivos y productos animales (excepto la carne)</v>
      </c>
      <c r="F3" s="0" t="n">
        <f aca="false">VLOOKUP(B3,clasif_filas!$A$1:$J$39,5,FALSE())</f>
        <v>1</v>
      </c>
      <c r="G3" s="0" t="str">
        <f aca="false">VLOOKUP(B3,clasif_filas!$A$1:$J$39,6,FALSE())</f>
        <v>Biomasa que se cultiva para producir alimentos, forrajes, fibras y energía</v>
      </c>
      <c r="H3" s="0" t="n">
        <f aca="false">VLOOKUP(B3,clasif_filas!$A$1:$J$39,7,FALSE())</f>
        <v>0</v>
      </c>
      <c r="I3" s="0" t="str">
        <f aca="false">VLOOKUP(B3,clasif_filas!$A$1:$J$39,8,FALSE())</f>
        <v>Productos de la agricultura, la silvicultura yla pesca</v>
      </c>
      <c r="J3" s="0" t="n">
        <f aca="false">VLOOKUP(B3,clasif_filas!$A$1:$J$39,9,FALSE())</f>
        <v>1</v>
      </c>
      <c r="K3" s="18" t="str">
        <f aca="false">VLOOKUP(B3,clasif_filas!$A$1:$J$39,10,FALSE())</f>
        <v>Bioeconomía</v>
      </c>
    </row>
    <row r="4" customFormat="false" ht="37.55" hidden="false" customHeight="false" outlineLevel="0" collapsed="false">
      <c r="A4" s="17" t="s">
        <v>32</v>
      </c>
      <c r="B4" s="0" t="n">
        <v>3</v>
      </c>
      <c r="C4" s="0" t="str">
        <f aca="false">VLOOKUP(B4,clasif_filas!$A$1:$J$39,2,FALSE())</f>
        <v>Productos forestales y de la tala</v>
      </c>
      <c r="D4" s="0" t="n">
        <f aca="false">VLOOKUP(B4,clasif_filas!$A$1:$J$39,3,FALSE())</f>
        <v>3</v>
      </c>
      <c r="E4" s="0" t="str">
        <f aca="false">VLOOKUP(B4,clasif_filas!$A$1:$J$39,4,FALSE())</f>
        <v>Productos forestales y de la tala</v>
      </c>
      <c r="F4" s="0" t="n">
        <f aca="false">VLOOKUP(B4,clasif_filas!$A$1:$J$39,5,FALSE())</f>
        <v>3</v>
      </c>
      <c r="G4" s="0" t="str">
        <f aca="false">VLOOKUP(B4,clasif_filas!$A$1:$J$39,6,FALSE())</f>
        <v>Biomasa forestal, sobre todo la que se cultiva para su aprovechamiento en las industrias forestal y del papel, y aquella extraída legalmente de ecosistemas naturales</v>
      </c>
      <c r="H4" s="0" t="n">
        <f aca="false">VLOOKUP(B4,clasif_filas!$A$1:$J$39,7,FALSE())</f>
        <v>0</v>
      </c>
      <c r="I4" s="0" t="str">
        <f aca="false">VLOOKUP(B4,clasif_filas!$A$1:$J$39,8,FALSE())</f>
        <v>Productos de la agricultura, la silvicultura yla pesca</v>
      </c>
      <c r="J4" s="0" t="n">
        <f aca="false">VLOOKUP(B4,clasif_filas!$A$1:$J$39,9,FALSE())</f>
        <v>1</v>
      </c>
      <c r="K4" s="18" t="str">
        <f aca="false">VLOOKUP(B4,clasif_filas!$A$1:$J$39,10,FALSE())</f>
        <v>Bioeconomía</v>
      </c>
    </row>
    <row r="5" customFormat="false" ht="25.55" hidden="false" customHeight="false" outlineLevel="0" collapsed="false">
      <c r="A5" s="17" t="s">
        <v>35</v>
      </c>
      <c r="B5" s="0" t="n">
        <v>4</v>
      </c>
      <c r="C5" s="0" t="str">
        <f aca="false">VLOOKUP(B5,clasif_filas!$A$1:$J$39,2,FALSE())</f>
        <v>Pescado y otros productos de la pesca</v>
      </c>
      <c r="D5" s="0" t="n">
        <f aca="false">VLOOKUP(B5,clasif_filas!$A$1:$J$39,3,FALSE())</f>
        <v>4</v>
      </c>
      <c r="E5" s="0" t="str">
        <f aca="false">VLOOKUP(B5,clasif_filas!$A$1:$J$39,4,FALSE())</f>
        <v>Pescado y otros productos de la pesca</v>
      </c>
      <c r="F5" s="0" t="n">
        <f aca="false">VLOOKUP(B5,clasif_filas!$A$1:$J$39,5,FALSE())</f>
        <v>2</v>
      </c>
      <c r="G5" s="0" t="str">
        <f aca="false">VLOOKUP(B5,clasif_filas!$A$1:$J$39,6,FALSE())</f>
        <v>Biomasa de los recursos marinos y la producida mediante la acuicultura</v>
      </c>
      <c r="H5" s="0" t="n">
        <f aca="false">VLOOKUP(B5,clasif_filas!$A$1:$J$39,7,FALSE())</f>
        <v>0</v>
      </c>
      <c r="I5" s="0" t="str">
        <f aca="false">VLOOKUP(B5,clasif_filas!$A$1:$J$39,8,FALSE())</f>
        <v>Productos de la agricultura, la silvicultura yla pesca</v>
      </c>
      <c r="J5" s="0" t="n">
        <f aca="false">VLOOKUP(B5,clasif_filas!$A$1:$J$39,9,FALSE())</f>
        <v>1</v>
      </c>
      <c r="K5" s="18" t="str">
        <f aca="false">VLOOKUP(B5,clasif_filas!$A$1:$J$39,10,FALSE())</f>
        <v>Bioeconomía</v>
      </c>
    </row>
    <row r="6" customFormat="false" ht="25.55" hidden="false" customHeight="false" outlineLevel="0" collapsed="false">
      <c r="A6" s="17" t="s">
        <v>37</v>
      </c>
      <c r="B6" s="0" t="n">
        <v>11</v>
      </c>
      <c r="C6" s="0" t="str">
        <f aca="false">VLOOKUP(B6,clasif_filas!$A$1:$J$39,2,FALSE())</f>
        <v>Minerales, combustibles y derivados</v>
      </c>
      <c r="D6" s="0" t="n">
        <f aca="false">VLOOKUP(B6,clasif_filas!$A$1:$J$39,3,FALSE())</f>
        <v>11</v>
      </c>
      <c r="E6" s="0" t="str">
        <f aca="false">VLOOKUP(B6,clasif_filas!$A$1:$J$39,4,FALSE())</f>
        <v>Minerales, combustibles y derivados</v>
      </c>
      <c r="F6" s="0" t="n">
        <f aca="false">VLOOKUP(B6,clasif_filas!$A$1:$J$39,5,FALSE())</f>
        <v>99</v>
      </c>
      <c r="G6" s="0" t="str">
        <f aca="false">VLOOKUP(B6,clasif_filas!$A$1:$J$39,6,FALSE())</f>
        <v>No Bioeconomía</v>
      </c>
      <c r="H6" s="0" t="n">
        <f aca="false">VLOOKUP(B6,clasif_filas!$A$1:$J$39,7,FALSE())</f>
        <v>1</v>
      </c>
      <c r="I6" s="0" t="str">
        <f aca="false">VLOOKUP(B6,clasif_filas!$A$1:$J$39,8,FALSE())</f>
        <v>Minerales; electricidad, gas y agua</v>
      </c>
      <c r="J6" s="0" t="n">
        <f aca="false">VLOOKUP(B6,clasif_filas!$A$1:$J$39,9,FALSE())</f>
        <v>3</v>
      </c>
      <c r="K6" s="18" t="str">
        <f aca="false">VLOOKUP(B6,clasif_filas!$A$1:$J$39,10,FALSE())</f>
        <v>No bioeconomía</v>
      </c>
    </row>
    <row r="7" customFormat="false" ht="49.6" hidden="false" customHeight="false" outlineLevel="0" collapsed="false">
      <c r="A7" s="17" t="s">
        <v>41</v>
      </c>
      <c r="B7" s="0" t="n">
        <v>11</v>
      </c>
      <c r="C7" s="0" t="str">
        <f aca="false">VLOOKUP(B7,clasif_filas!$A$1:$J$39,2,FALSE())</f>
        <v>Minerales, combustibles y derivados</v>
      </c>
      <c r="D7" s="0" t="n">
        <f aca="false">VLOOKUP(B7,clasif_filas!$A$1:$J$39,3,FALSE())</f>
        <v>11</v>
      </c>
      <c r="E7" s="0" t="str">
        <f aca="false">VLOOKUP(B7,clasif_filas!$A$1:$J$39,4,FALSE())</f>
        <v>Minerales, combustibles y derivados</v>
      </c>
      <c r="F7" s="0" t="n">
        <f aca="false">VLOOKUP(B7,clasif_filas!$A$1:$J$39,5,FALSE())</f>
        <v>99</v>
      </c>
      <c r="G7" s="0" t="str">
        <f aca="false">VLOOKUP(B7,clasif_filas!$A$1:$J$39,6,FALSE())</f>
        <v>No Bioeconomía</v>
      </c>
      <c r="H7" s="0" t="n">
        <f aca="false">VLOOKUP(B7,clasif_filas!$A$1:$J$39,7,FALSE())</f>
        <v>1</v>
      </c>
      <c r="I7" s="0" t="str">
        <f aca="false">VLOOKUP(B7,clasif_filas!$A$1:$J$39,8,FALSE())</f>
        <v>Minerales; electricidad, gas y agua</v>
      </c>
      <c r="J7" s="0" t="n">
        <f aca="false">VLOOKUP(B7,clasif_filas!$A$1:$J$39,9,FALSE())</f>
        <v>3</v>
      </c>
      <c r="K7" s="18" t="str">
        <f aca="false">VLOOKUP(B7,clasif_filas!$A$1:$J$39,10,FALSE())</f>
        <v>No bioeconomía</v>
      </c>
    </row>
    <row r="8" customFormat="false" ht="14.25" hidden="false" customHeight="false" outlineLevel="0" collapsed="false">
      <c r="A8" s="17" t="s">
        <v>43</v>
      </c>
      <c r="B8" s="0" t="n">
        <v>11</v>
      </c>
      <c r="C8" s="0" t="str">
        <f aca="false">VLOOKUP(B8,clasif_filas!$A$1:$J$39,2,FALSE())</f>
        <v>Minerales, combustibles y derivados</v>
      </c>
      <c r="D8" s="0" t="n">
        <f aca="false">VLOOKUP(B8,clasif_filas!$A$1:$J$39,3,FALSE())</f>
        <v>11</v>
      </c>
      <c r="E8" s="0" t="str">
        <f aca="false">VLOOKUP(B8,clasif_filas!$A$1:$J$39,4,FALSE())</f>
        <v>Minerales, combustibles y derivados</v>
      </c>
      <c r="F8" s="0" t="n">
        <f aca="false">VLOOKUP(B8,clasif_filas!$A$1:$J$39,5,FALSE())</f>
        <v>99</v>
      </c>
      <c r="G8" s="0" t="str">
        <f aca="false">VLOOKUP(B8,clasif_filas!$A$1:$J$39,6,FALSE())</f>
        <v>No Bioeconomía</v>
      </c>
      <c r="H8" s="0" t="n">
        <f aca="false">VLOOKUP(B8,clasif_filas!$A$1:$J$39,7,FALSE())</f>
        <v>1</v>
      </c>
      <c r="I8" s="0" t="str">
        <f aca="false">VLOOKUP(B8,clasif_filas!$A$1:$J$39,8,FALSE())</f>
        <v>Minerales; electricidad, gas y agua</v>
      </c>
      <c r="J8" s="0" t="n">
        <f aca="false">VLOOKUP(B8,clasif_filas!$A$1:$J$39,9,FALSE())</f>
        <v>3</v>
      </c>
      <c r="K8" s="18" t="str">
        <f aca="false">VLOOKUP(B8,clasif_filas!$A$1:$J$39,10,FALSE())</f>
        <v>No bioeconomía</v>
      </c>
    </row>
    <row r="9" customFormat="false" ht="14.25" hidden="false" customHeight="false" outlineLevel="0" collapsed="false">
      <c r="A9" s="17" t="s">
        <v>45</v>
      </c>
      <c r="B9" s="0" t="n">
        <v>11</v>
      </c>
      <c r="C9" s="0" t="str">
        <f aca="false">VLOOKUP(B9,clasif_filas!$A$1:$J$39,2,FALSE())</f>
        <v>Minerales, combustibles y derivados</v>
      </c>
      <c r="D9" s="0" t="n">
        <f aca="false">VLOOKUP(B9,clasif_filas!$A$1:$J$39,3,FALSE())</f>
        <v>11</v>
      </c>
      <c r="E9" s="0" t="str">
        <f aca="false">VLOOKUP(B9,clasif_filas!$A$1:$J$39,4,FALSE())</f>
        <v>Minerales, combustibles y derivados</v>
      </c>
      <c r="F9" s="0" t="n">
        <f aca="false">VLOOKUP(B9,clasif_filas!$A$1:$J$39,5,FALSE())</f>
        <v>99</v>
      </c>
      <c r="G9" s="0" t="str">
        <f aca="false">VLOOKUP(B9,clasif_filas!$A$1:$J$39,6,FALSE())</f>
        <v>No Bioeconomía</v>
      </c>
      <c r="H9" s="0" t="n">
        <f aca="false">VLOOKUP(B9,clasif_filas!$A$1:$J$39,7,FALSE())</f>
        <v>1</v>
      </c>
      <c r="I9" s="0" t="str">
        <f aca="false">VLOOKUP(B9,clasif_filas!$A$1:$J$39,8,FALSE())</f>
        <v>Minerales; electricidad, gas y agua</v>
      </c>
      <c r="J9" s="0" t="n">
        <f aca="false">VLOOKUP(B9,clasif_filas!$A$1:$J$39,9,FALSE())</f>
        <v>3</v>
      </c>
      <c r="K9" s="18" t="str">
        <f aca="false">VLOOKUP(B9,clasif_filas!$A$1:$J$39,10,FALSE())</f>
        <v>No bioeconomía</v>
      </c>
    </row>
    <row r="10" customFormat="false" ht="14.25" hidden="false" customHeight="false" outlineLevel="0" collapsed="false">
      <c r="A10" s="17" t="s">
        <v>47</v>
      </c>
      <c r="B10" s="0" t="n">
        <v>11</v>
      </c>
      <c r="C10" s="0" t="str">
        <f aca="false">VLOOKUP(B10,clasif_filas!$A$1:$J$39,2,FALSE())</f>
        <v>Minerales, combustibles y derivados</v>
      </c>
      <c r="D10" s="0" t="n">
        <f aca="false">VLOOKUP(B10,clasif_filas!$A$1:$J$39,3,FALSE())</f>
        <v>11</v>
      </c>
      <c r="E10" s="0" t="str">
        <f aca="false">VLOOKUP(B10,clasif_filas!$A$1:$J$39,4,FALSE())</f>
        <v>Minerales, combustibles y derivados</v>
      </c>
      <c r="F10" s="0" t="n">
        <f aca="false">VLOOKUP(B10,clasif_filas!$A$1:$J$39,5,FALSE())</f>
        <v>99</v>
      </c>
      <c r="G10" s="0" t="str">
        <f aca="false">VLOOKUP(B10,clasif_filas!$A$1:$J$39,6,FALSE())</f>
        <v>No Bioeconomía</v>
      </c>
      <c r="H10" s="0" t="n">
        <f aca="false">VLOOKUP(B10,clasif_filas!$A$1:$J$39,7,FALSE())</f>
        <v>1</v>
      </c>
      <c r="I10" s="0" t="str">
        <f aca="false">VLOOKUP(B10,clasif_filas!$A$1:$J$39,8,FALSE())</f>
        <v>Minerales; electricidad, gas y agua</v>
      </c>
      <c r="J10" s="0" t="n">
        <f aca="false">VLOOKUP(B10,clasif_filas!$A$1:$J$39,9,FALSE())</f>
        <v>3</v>
      </c>
      <c r="K10" s="18" t="str">
        <f aca="false">VLOOKUP(B10,clasif_filas!$A$1:$J$39,10,FALSE())</f>
        <v>No bioeconomía</v>
      </c>
    </row>
    <row r="11" customFormat="false" ht="37.55" hidden="false" customHeight="false" outlineLevel="0" collapsed="false">
      <c r="A11" s="17" t="s">
        <v>49</v>
      </c>
      <c r="B11" s="0" t="n">
        <v>11</v>
      </c>
      <c r="C11" s="0" t="str">
        <f aca="false">VLOOKUP(B11,clasif_filas!$A$1:$J$39,2,FALSE())</f>
        <v>Minerales, combustibles y derivados</v>
      </c>
      <c r="D11" s="0" t="n">
        <f aca="false">VLOOKUP(B11,clasif_filas!$A$1:$J$39,3,FALSE())</f>
        <v>11</v>
      </c>
      <c r="E11" s="0" t="str">
        <f aca="false">VLOOKUP(B11,clasif_filas!$A$1:$J$39,4,FALSE())</f>
        <v>Minerales, combustibles y derivados</v>
      </c>
      <c r="F11" s="0" t="n">
        <f aca="false">VLOOKUP(B11,clasif_filas!$A$1:$J$39,5,FALSE())</f>
        <v>99</v>
      </c>
      <c r="G11" s="0" t="str">
        <f aca="false">VLOOKUP(B11,clasif_filas!$A$1:$J$39,6,FALSE())</f>
        <v>No Bioeconomía</v>
      </c>
      <c r="H11" s="0" t="n">
        <f aca="false">VLOOKUP(B11,clasif_filas!$A$1:$J$39,7,FALSE())</f>
        <v>1</v>
      </c>
      <c r="I11" s="0" t="str">
        <f aca="false">VLOOKUP(B11,clasif_filas!$A$1:$J$39,8,FALSE())</f>
        <v>Minerales; electricidad, gas y agua</v>
      </c>
      <c r="J11" s="0" t="n">
        <f aca="false">VLOOKUP(B11,clasif_filas!$A$1:$J$39,9,FALSE())</f>
        <v>3</v>
      </c>
      <c r="K11" s="18" t="str">
        <f aca="false">VLOOKUP(B11,clasif_filas!$A$1:$J$39,10,FALSE())</f>
        <v>No bioeconomía</v>
      </c>
    </row>
    <row r="12" customFormat="false" ht="14.25" hidden="false" customHeight="false" outlineLevel="0" collapsed="false">
      <c r="A12" s="17" t="s">
        <v>51</v>
      </c>
      <c r="B12" s="0" t="n">
        <v>18</v>
      </c>
      <c r="C12" s="0" t="str">
        <f aca="false">VLOOKUP(B12,clasif_filas!$A$1:$J$39,2,FALSE())</f>
        <v>Agua natural</v>
      </c>
      <c r="D12" s="0" t="n">
        <f aca="false">VLOOKUP(B12,clasif_filas!$A$1:$J$39,3,FALSE())</f>
        <v>18</v>
      </c>
      <c r="E12" s="0" t="str">
        <f aca="false">VLOOKUP(B12,clasif_filas!$A$1:$J$39,4,FALSE())</f>
        <v>Agua natural</v>
      </c>
      <c r="F12" s="0" t="n">
        <f aca="false">VLOOKUP(B12,clasif_filas!$A$1:$J$39,5,FALSE())</f>
        <v>6</v>
      </c>
      <c r="G12" s="0" t="str">
        <f aca="false">VLOOKUP(B12,clasif_filas!$A$1:$J$39,6,FALSE())</f>
        <v>Conocimiento, procesos y servicios relacionados</v>
      </c>
      <c r="H12" s="0" t="n">
        <f aca="false">VLOOKUP(B12,clasif_filas!$A$1:$J$39,7,FALSE())</f>
        <v>1</v>
      </c>
      <c r="I12" s="0" t="str">
        <f aca="false">VLOOKUP(B12,clasif_filas!$A$1:$J$39,8,FALSE())</f>
        <v>Minerales; electricidad, gas y agua</v>
      </c>
      <c r="J12" s="0" t="n">
        <f aca="false">VLOOKUP(B12,clasif_filas!$A$1:$J$39,9,FALSE())</f>
        <v>2</v>
      </c>
      <c r="K12" s="18" t="str">
        <f aca="false">VLOOKUP(B12,clasif_filas!$A$1:$J$39,10,FALSE())</f>
        <v>Bioeconomía extendida</v>
      </c>
    </row>
    <row r="13" customFormat="false" ht="37.55" hidden="false" customHeight="false" outlineLevel="0" collapsed="false">
      <c r="A13" s="17" t="s">
        <v>53</v>
      </c>
      <c r="B13" s="0" t="n">
        <v>21</v>
      </c>
      <c r="C13" s="0" t="str">
        <f aca="false">VLOOKUP(B13,clasif_filas!$A$1:$J$39,2,FALSE())</f>
        <v>Carne, pescado, frutas, vegetales, aceites y grasas</v>
      </c>
      <c r="D13" s="0" t="n">
        <f aca="false">VLOOKUP(B13,clasif_filas!$A$1:$J$39,3,FALSE())</f>
        <v>21</v>
      </c>
      <c r="E13" s="0" t="str">
        <f aca="false">VLOOKUP(B13,clasif_filas!$A$1:$J$39,4,FALSE())</f>
        <v>Carne, pescado, frutas, vegetales, aceites y grasas</v>
      </c>
      <c r="F13" s="0" t="n">
        <f aca="false">VLOOKUP(B13,clasif_filas!$A$1:$J$39,5,FALSE())</f>
        <v>6</v>
      </c>
      <c r="G13" s="0" t="str">
        <f aca="false">VLOOKUP(B13,clasif_filas!$A$1:$J$39,6,FALSE())</f>
        <v>Conocimiento, procesos y servicios relacionados</v>
      </c>
      <c r="H13" s="0" t="n">
        <f aca="false">VLOOKUP(B13,clasif_filas!$A$1:$J$39,7,FALSE())</f>
        <v>2</v>
      </c>
      <c r="I13" s="0" t="str">
        <f aca="false">VLOOKUP(B13,clasif_filas!$A$1:$J$39,8,FALSE())</f>
        <v>Productos alimenticios, bebidas y tabaco; textiles, prendas de vestir y productos de cuero</v>
      </c>
      <c r="J13" s="0" t="n">
        <f aca="false">VLOOKUP(B13,clasif_filas!$A$1:$J$39,9,FALSE())</f>
        <v>1</v>
      </c>
      <c r="K13" s="18" t="str">
        <f aca="false">VLOOKUP(B13,clasif_filas!$A$1:$J$39,10,FALSE())</f>
        <v>Bioeconomía</v>
      </c>
    </row>
    <row r="14" customFormat="false" ht="25.55" hidden="false" customHeight="false" outlineLevel="0" collapsed="false">
      <c r="A14" s="17" t="s">
        <v>58</v>
      </c>
      <c r="B14" s="0" t="n">
        <v>22</v>
      </c>
      <c r="C14" s="0" t="str">
        <f aca="false">VLOOKUP(B14,clasif_filas!$A$1:$J$39,2,FALSE())</f>
        <v>Productos lácteos y productos de huevo</v>
      </c>
      <c r="D14" s="0" t="n">
        <f aca="false">VLOOKUP(B14,clasif_filas!$A$1:$J$39,3,FALSE())</f>
        <v>22</v>
      </c>
      <c r="E14" s="0" t="str">
        <f aca="false">VLOOKUP(B14,clasif_filas!$A$1:$J$39,4,FALSE())</f>
        <v>Productos lácteos y productos de huevo</v>
      </c>
      <c r="F14" s="0" t="n">
        <f aca="false">VLOOKUP(B14,clasif_filas!$A$1:$J$39,5,FALSE())</f>
        <v>6</v>
      </c>
      <c r="G14" s="0" t="str">
        <f aca="false">VLOOKUP(B14,clasif_filas!$A$1:$J$39,6,FALSE())</f>
        <v>Conocimiento, procesos y servicios relacionados</v>
      </c>
      <c r="H14" s="0" t="n">
        <f aca="false">VLOOKUP(B14,clasif_filas!$A$1:$J$39,7,FALSE())</f>
        <v>2</v>
      </c>
      <c r="I14" s="0" t="str">
        <f aca="false">VLOOKUP(B14,clasif_filas!$A$1:$J$39,8,FALSE())</f>
        <v>Productos alimenticios, bebidas y tabaco; textiles, prendas de vestir y productos de cuero</v>
      </c>
      <c r="J14" s="0" t="n">
        <f aca="false">VLOOKUP(B14,clasif_filas!$A$1:$J$39,9,FALSE())</f>
        <v>1</v>
      </c>
      <c r="K14" s="18" t="str">
        <f aca="false">VLOOKUP(B14,clasif_filas!$A$1:$J$39,10,FALSE())</f>
        <v>Bioeconomía</v>
      </c>
    </row>
    <row r="15" customFormat="false" ht="85.7" hidden="false" customHeight="false" outlineLevel="0" collapsed="false">
      <c r="A15" s="17" t="s">
        <v>61</v>
      </c>
      <c r="B15" s="0" t="n">
        <v>23</v>
      </c>
      <c r="C15" s="0" t="str">
        <f aca="false">VLOOKUP(B15,clasif_filas!$A$1:$J$39,2,FALSE())</f>
        <v>Productos de molienda, productos con almidón o maicena; otros productos de alimenticios</v>
      </c>
      <c r="D15" s="0" t="n">
        <f aca="false">VLOOKUP(B15,clasif_filas!$A$1:$J$39,3,FALSE())</f>
        <v>23</v>
      </c>
      <c r="E15" s="0" t="str">
        <f aca="false">VLOOKUP(B15,clasif_filas!$A$1:$J$39,4,FALSE())</f>
        <v>Productos de molienda, productos con almidón o maicena; otros productos de alimenticios</v>
      </c>
      <c r="F15" s="0" t="n">
        <f aca="false">VLOOKUP(B15,clasif_filas!$A$1:$J$39,5,FALSE())</f>
        <v>6</v>
      </c>
      <c r="G15" s="0" t="str">
        <f aca="false">VLOOKUP(B15,clasif_filas!$A$1:$J$39,6,FALSE())</f>
        <v>Conocimiento, procesos y servicios relacionados</v>
      </c>
      <c r="H15" s="0" t="n">
        <f aca="false">VLOOKUP(B15,clasif_filas!$A$1:$J$39,7,FALSE())</f>
        <v>2</v>
      </c>
      <c r="I15" s="0" t="str">
        <f aca="false">VLOOKUP(B15,clasif_filas!$A$1:$J$39,8,FALSE())</f>
        <v>Productos alimenticios, bebidas y tabaco; textiles, prendas de vestir y productos de cuero</v>
      </c>
      <c r="J15" s="0" t="n">
        <f aca="false">VLOOKUP(B15,clasif_filas!$A$1:$J$39,9,FALSE())</f>
        <v>1</v>
      </c>
      <c r="K15" s="18" t="str">
        <f aca="false">VLOOKUP(B15,clasif_filas!$A$1:$J$39,10,FALSE())</f>
        <v>Bioeconomía</v>
      </c>
    </row>
    <row r="16" customFormat="false" ht="14.25" hidden="false" customHeight="false" outlineLevel="0" collapsed="false">
      <c r="A16" s="17" t="s">
        <v>64</v>
      </c>
      <c r="B16" s="0" t="n">
        <v>24</v>
      </c>
      <c r="C16" s="0" t="str">
        <f aca="false">VLOOKUP(B16,clasif_filas!$A$1:$J$39,2,FALSE())</f>
        <v>Bebidas</v>
      </c>
      <c r="D16" s="0" t="n">
        <f aca="false">VLOOKUP(B16,clasif_filas!$A$1:$J$39,3,FALSE())</f>
        <v>24</v>
      </c>
      <c r="E16" s="0" t="str">
        <f aca="false">VLOOKUP(B16,clasif_filas!$A$1:$J$39,4,FALSE())</f>
        <v>Bebidas</v>
      </c>
      <c r="F16" s="0" t="n">
        <f aca="false">VLOOKUP(B16,clasif_filas!$A$1:$J$39,5,FALSE())</f>
        <v>6</v>
      </c>
      <c r="G16" s="0" t="str">
        <f aca="false">VLOOKUP(B16,clasif_filas!$A$1:$J$39,6,FALSE())</f>
        <v>Conocimiento, procesos y servicios relacionados</v>
      </c>
      <c r="H16" s="0" t="n">
        <f aca="false">VLOOKUP(B16,clasif_filas!$A$1:$J$39,7,FALSE())</f>
        <v>2</v>
      </c>
      <c r="I16" s="0" t="str">
        <f aca="false">VLOOKUP(B16,clasif_filas!$A$1:$J$39,8,FALSE())</f>
        <v>Productos alimenticios, bebidas y tabaco; textiles, prendas de vestir y productos de cuero</v>
      </c>
      <c r="J16" s="0" t="n">
        <f aca="false">VLOOKUP(B16,clasif_filas!$A$1:$J$39,9,FALSE())</f>
        <v>1</v>
      </c>
      <c r="K16" s="18" t="str">
        <f aca="false">VLOOKUP(B16,clasif_filas!$A$1:$J$39,10,FALSE())</f>
        <v>Bioeconomía</v>
      </c>
    </row>
    <row r="17" customFormat="false" ht="14.25" hidden="false" customHeight="false" outlineLevel="0" collapsed="false">
      <c r="A17" s="17" t="s">
        <v>67</v>
      </c>
      <c r="B17" s="0" t="n">
        <v>25</v>
      </c>
      <c r="C17" s="0" t="str">
        <f aca="false">VLOOKUP(B17,clasif_filas!$A$1:$J$39,2,FALSE())</f>
        <v>Productos del tabaco</v>
      </c>
      <c r="D17" s="0" t="n">
        <f aca="false">VLOOKUP(B17,clasif_filas!$A$1:$J$39,3,FALSE())</f>
        <v>25</v>
      </c>
      <c r="E17" s="0" t="str">
        <f aca="false">VLOOKUP(B17,clasif_filas!$A$1:$J$39,4,FALSE())</f>
        <v>Productos del tabaco</v>
      </c>
      <c r="F17" s="0" t="n">
        <f aca="false">VLOOKUP(B17,clasif_filas!$A$1:$J$39,5,FALSE())</f>
        <v>6</v>
      </c>
      <c r="G17" s="0" t="str">
        <f aca="false">VLOOKUP(B17,clasif_filas!$A$1:$J$39,6,FALSE())</f>
        <v>Conocimiento, procesos y servicios relacionados</v>
      </c>
      <c r="H17" s="0" t="n">
        <f aca="false">VLOOKUP(B17,clasif_filas!$A$1:$J$39,7,FALSE())</f>
        <v>2</v>
      </c>
      <c r="I17" s="0" t="str">
        <f aca="false">VLOOKUP(B17,clasif_filas!$A$1:$J$39,8,FALSE())</f>
        <v>Productos alimenticios, bebidas y tabaco; textiles, prendas de vestir y productos de cuero</v>
      </c>
      <c r="J17" s="0" t="n">
        <f aca="false">VLOOKUP(B17,clasif_filas!$A$1:$J$39,9,FALSE())</f>
        <v>1</v>
      </c>
      <c r="K17" s="18" t="str">
        <f aca="false">VLOOKUP(B17,clasif_filas!$A$1:$J$39,10,FALSE())</f>
        <v>Bioeconomía</v>
      </c>
    </row>
    <row r="18" customFormat="false" ht="49.6" hidden="false" customHeight="false" outlineLevel="0" collapsed="false">
      <c r="A18" s="17" t="s">
        <v>70</v>
      </c>
      <c r="B18" s="0" t="n">
        <v>26</v>
      </c>
      <c r="C18" s="0" t="str">
        <f aca="false">VLOOKUP(B18,clasif_filas!$A$1:$J$39,2,FALSE())</f>
        <v>Hilados e hilos; tejidos y telas afelpadas</v>
      </c>
      <c r="D18" s="0" t="n">
        <f aca="false">VLOOKUP(B18,clasif_filas!$A$1:$J$39,3,FALSE())</f>
        <v>26</v>
      </c>
      <c r="E18" s="0" t="str">
        <f aca="false">VLOOKUP(B18,clasif_filas!$A$1:$J$39,4,FALSE())</f>
        <v>Hilados e hilos; tejidos y telas afelpadas</v>
      </c>
      <c r="F18" s="0" t="n">
        <f aca="false">VLOOKUP(B18,clasif_filas!$A$1:$J$39,5,FALSE())</f>
        <v>6</v>
      </c>
      <c r="G18" s="0" t="str">
        <f aca="false">VLOOKUP(B18,clasif_filas!$A$1:$J$39,6,FALSE())</f>
        <v>Conocimiento, procesos y servicios relacionados</v>
      </c>
      <c r="H18" s="0" t="n">
        <f aca="false">VLOOKUP(B18,clasif_filas!$A$1:$J$39,7,FALSE())</f>
        <v>2</v>
      </c>
      <c r="I18" s="0" t="str">
        <f aca="false">VLOOKUP(B18,clasif_filas!$A$1:$J$39,8,FALSE())</f>
        <v>Productos alimenticios, bebidas y tabaco; textiles, prendas de vestir y productos de cuero</v>
      </c>
      <c r="J18" s="0" t="n">
        <f aca="false">VLOOKUP(B18,clasif_filas!$A$1:$J$39,9,FALSE())</f>
        <v>2</v>
      </c>
      <c r="K18" s="18" t="str">
        <f aca="false">VLOOKUP(B18,clasif_filas!$A$1:$J$39,10,FALSE())</f>
        <v>Bioeconomía extendida</v>
      </c>
    </row>
    <row r="19" customFormat="false" ht="37.55" hidden="false" customHeight="false" outlineLevel="0" collapsed="false">
      <c r="A19" s="17" t="s">
        <v>73</v>
      </c>
      <c r="B19" s="0" t="n">
        <v>27</v>
      </c>
      <c r="C19" s="0" t="str">
        <f aca="false">VLOOKUP(B19,clasif_filas!$A$1:$J$39,2,FALSE())</f>
        <v>Artículos textiles que no sean prendas de vestir</v>
      </c>
      <c r="D19" s="0" t="n">
        <f aca="false">VLOOKUP(B19,clasif_filas!$A$1:$J$39,3,FALSE())</f>
        <v>27</v>
      </c>
      <c r="E19" s="0" t="str">
        <f aca="false">VLOOKUP(B19,clasif_filas!$A$1:$J$39,4,FALSE())</f>
        <v>Artículos textiles que no sean prendas de vestir</v>
      </c>
      <c r="F19" s="0" t="n">
        <f aca="false">VLOOKUP(B19,clasif_filas!$A$1:$J$39,5,FALSE())</f>
        <v>6</v>
      </c>
      <c r="G19" s="0" t="str">
        <f aca="false">VLOOKUP(B19,clasif_filas!$A$1:$J$39,6,FALSE())</f>
        <v>Conocimiento, procesos y servicios relacionados</v>
      </c>
      <c r="H19" s="0" t="n">
        <f aca="false">VLOOKUP(B19,clasif_filas!$A$1:$J$39,7,FALSE())</f>
        <v>2</v>
      </c>
      <c r="I19" s="0" t="str">
        <f aca="false">VLOOKUP(B19,clasif_filas!$A$1:$J$39,8,FALSE())</f>
        <v>Productos alimenticios, bebidas y tabaco; textiles, prendas de vestir y productos de cuero</v>
      </c>
      <c r="J19" s="0" t="n">
        <f aca="false">VLOOKUP(B19,clasif_filas!$A$1:$J$39,9,FALSE())</f>
        <v>2</v>
      </c>
      <c r="K19" s="18" t="str">
        <f aca="false">VLOOKUP(B19,clasif_filas!$A$1:$J$39,10,FALSE())</f>
        <v>Bioeconomía extendida</v>
      </c>
    </row>
    <row r="20" customFormat="false" ht="37.55" hidden="false" customHeight="false" outlineLevel="0" collapsed="false">
      <c r="A20" s="17" t="s">
        <v>75</v>
      </c>
      <c r="B20" s="0" t="n">
        <v>28</v>
      </c>
      <c r="C20" s="0" t="str">
        <f aca="false">VLOOKUP(B20,clasif_filas!$A$1:$J$39,2,FALSE())</f>
        <v>Tejidos de punto o ganchillo; prendas de vestir</v>
      </c>
      <c r="D20" s="0" t="n">
        <f aca="false">VLOOKUP(B20,clasif_filas!$A$1:$J$39,3,FALSE())</f>
        <v>28</v>
      </c>
      <c r="E20" s="0" t="str">
        <f aca="false">VLOOKUP(B20,clasif_filas!$A$1:$J$39,4,FALSE())</f>
        <v>Tejidos de punto o ganchillo; prendas de vestir</v>
      </c>
      <c r="F20" s="0" t="n">
        <f aca="false">VLOOKUP(B20,clasif_filas!$A$1:$J$39,5,FALSE())</f>
        <v>6</v>
      </c>
      <c r="G20" s="0" t="str">
        <f aca="false">VLOOKUP(B20,clasif_filas!$A$1:$J$39,6,FALSE())</f>
        <v>Conocimiento, procesos y servicios relacionados</v>
      </c>
      <c r="H20" s="0" t="n">
        <f aca="false">VLOOKUP(B20,clasif_filas!$A$1:$J$39,7,FALSE())</f>
        <v>2</v>
      </c>
      <c r="I20" s="0" t="str">
        <f aca="false">VLOOKUP(B20,clasif_filas!$A$1:$J$39,8,FALSE())</f>
        <v>Productos alimenticios, bebidas y tabaco; textiles, prendas de vestir y productos de cuero</v>
      </c>
      <c r="J20" s="0" t="n">
        <f aca="false">VLOOKUP(B20,clasif_filas!$A$1:$J$39,9,FALSE())</f>
        <v>2</v>
      </c>
      <c r="K20" s="18" t="str">
        <f aca="false">VLOOKUP(B20,clasif_filas!$A$1:$J$39,10,FALSE())</f>
        <v>Bioeconomía extendida</v>
      </c>
    </row>
    <row r="21" customFormat="false" ht="25.55" hidden="false" customHeight="false" outlineLevel="0" collapsed="false">
      <c r="A21" s="17" t="s">
        <v>77</v>
      </c>
      <c r="B21" s="0" t="n">
        <v>29</v>
      </c>
      <c r="C21" s="0" t="str">
        <f aca="false">VLOOKUP(B21,clasif_filas!$A$1:$J$39,2,FALSE())</f>
        <v>Cuero y productos de cuero; calzado</v>
      </c>
      <c r="D21" s="0" t="n">
        <f aca="false">VLOOKUP(B21,clasif_filas!$A$1:$J$39,3,FALSE())</f>
        <v>29</v>
      </c>
      <c r="E21" s="0" t="str">
        <f aca="false">VLOOKUP(B21,clasif_filas!$A$1:$J$39,4,FALSE())</f>
        <v>Cuero y productos de cuero; calzado</v>
      </c>
      <c r="F21" s="0" t="n">
        <f aca="false">VLOOKUP(B21,clasif_filas!$A$1:$J$39,5,FALSE())</f>
        <v>6</v>
      </c>
      <c r="G21" s="0" t="str">
        <f aca="false">VLOOKUP(B21,clasif_filas!$A$1:$J$39,6,FALSE())</f>
        <v>Conocimiento, procesos y servicios relacionados</v>
      </c>
      <c r="H21" s="0" t="n">
        <f aca="false">VLOOKUP(B21,clasif_filas!$A$1:$J$39,7,FALSE())</f>
        <v>2</v>
      </c>
      <c r="I21" s="0" t="str">
        <f aca="false">VLOOKUP(B21,clasif_filas!$A$1:$J$39,8,FALSE())</f>
        <v>Productos alimenticios, bebidas y tabaco; textiles, prendas de vestir y productos de cuero</v>
      </c>
      <c r="J21" s="0" t="n">
        <f aca="false">VLOOKUP(B21,clasif_filas!$A$1:$J$39,9,FALSE())</f>
        <v>2</v>
      </c>
      <c r="K21" s="18" t="str">
        <f aca="false">VLOOKUP(B21,clasif_filas!$A$1:$J$39,10,FALSE())</f>
        <v>Bioeconomía extendida</v>
      </c>
    </row>
    <row r="22" customFormat="false" ht="37.55" hidden="false" customHeight="false" outlineLevel="0" collapsed="false">
      <c r="A22" s="17" t="s">
        <v>79</v>
      </c>
      <c r="B22" s="0" t="n">
        <v>31</v>
      </c>
      <c r="C22" s="0" t="str">
        <f aca="false">VLOOKUP(B22,clasif_filas!$A$1:$J$39,2,FALSE())</f>
        <v>Productos de materiales de madera, corcho, cestería y espartería</v>
      </c>
      <c r="D22" s="0" t="n">
        <f aca="false">VLOOKUP(B22,clasif_filas!$A$1:$J$39,3,FALSE())</f>
        <v>31</v>
      </c>
      <c r="E22" s="0" t="str">
        <f aca="false">VLOOKUP(B22,clasif_filas!$A$1:$J$39,4,FALSE())</f>
        <v>Productos de materiales de madera, corcho, cestería y espartería</v>
      </c>
      <c r="F22" s="0" t="n">
        <f aca="false">VLOOKUP(B22,clasif_filas!$A$1:$J$39,5,FALSE())</f>
        <v>6</v>
      </c>
      <c r="G22" s="0" t="str">
        <f aca="false">VLOOKUP(B22,clasif_filas!$A$1:$J$39,6,FALSE())</f>
        <v>Conocimiento, procesos y servicios relacionados</v>
      </c>
      <c r="H22" s="0" t="n">
        <f aca="false">VLOOKUP(B22,clasif_filas!$A$1:$J$39,7,FALSE())</f>
        <v>3</v>
      </c>
      <c r="I22" s="0" t="str">
        <f aca="false">VLOOKUP(B22,clasif_filas!$A$1:$J$39,8,FALSE())</f>
        <v>Otros bienes transportables, excepto productos metálicos, maquinaria y equipo</v>
      </c>
      <c r="J22" s="0" t="n">
        <f aca="false">VLOOKUP(B22,clasif_filas!$A$1:$J$39,9,FALSE())</f>
        <v>1</v>
      </c>
      <c r="K22" s="18" t="str">
        <f aca="false">VLOOKUP(B22,clasif_filas!$A$1:$J$39,10,FALSE())</f>
        <v>Bioeconomía</v>
      </c>
    </row>
    <row r="23" customFormat="false" ht="49.6" hidden="false" customHeight="false" outlineLevel="0" collapsed="false">
      <c r="A23" s="17" t="s">
        <v>82</v>
      </c>
      <c r="B23" s="0" t="n">
        <v>32</v>
      </c>
      <c r="C23" s="0" t="str">
        <f aca="false">VLOOKUP(B23,clasif_filas!$A$1:$J$39,2,FALSE())</f>
        <v>Pulpa de papel, papel y productos de papel; impresos, y artículos similares</v>
      </c>
      <c r="D23" s="0" t="n">
        <f aca="false">VLOOKUP(B23,clasif_filas!$A$1:$J$39,3,FALSE())</f>
        <v>32</v>
      </c>
      <c r="E23" s="0" t="str">
        <f aca="false">VLOOKUP(B23,clasif_filas!$A$1:$J$39,4,FALSE())</f>
        <v>Pulpa de papel, papel y productos de papel; impresos, y artículos similares</v>
      </c>
      <c r="F23" s="0" t="n">
        <f aca="false">VLOOKUP(B23,clasif_filas!$A$1:$J$39,5,FALSE())</f>
        <v>6</v>
      </c>
      <c r="G23" s="0" t="str">
        <f aca="false">VLOOKUP(B23,clasif_filas!$A$1:$J$39,6,FALSE())</f>
        <v>Conocimiento, procesos y servicios relacionados</v>
      </c>
      <c r="H23" s="0" t="n">
        <f aca="false">VLOOKUP(B23,clasif_filas!$A$1:$J$39,7,FALSE())</f>
        <v>3</v>
      </c>
      <c r="I23" s="0" t="str">
        <f aca="false">VLOOKUP(B23,clasif_filas!$A$1:$J$39,8,FALSE())</f>
        <v>Otros bienes transportables, excepto productos metálicos, maquinaria y equipo</v>
      </c>
      <c r="J23" s="0" t="n">
        <f aca="false">VLOOKUP(B23,clasif_filas!$A$1:$J$39,9,FALSE())</f>
        <v>1</v>
      </c>
      <c r="K23" s="18" t="str">
        <f aca="false">VLOOKUP(B23,clasif_filas!$A$1:$J$39,10,FALSE())</f>
        <v>Bioeconomía</v>
      </c>
    </row>
    <row r="24" customFormat="false" ht="61.65" hidden="false" customHeight="false" outlineLevel="0" collapsed="false">
      <c r="A24" s="17" t="s">
        <v>85</v>
      </c>
      <c r="B24" s="0" t="n">
        <v>11</v>
      </c>
      <c r="C24" s="0" t="str">
        <f aca="false">VLOOKUP(B24,clasif_filas!$A$1:$J$39,2,FALSE())</f>
        <v>Minerales, combustibles y derivados</v>
      </c>
      <c r="D24" s="0" t="n">
        <f aca="false">VLOOKUP(B24,clasif_filas!$A$1:$J$39,3,FALSE())</f>
        <v>11</v>
      </c>
      <c r="E24" s="0" t="str">
        <f aca="false">VLOOKUP(B24,clasif_filas!$A$1:$J$39,4,FALSE())</f>
        <v>Minerales, combustibles y derivados</v>
      </c>
      <c r="F24" s="0" t="n">
        <f aca="false">VLOOKUP(B24,clasif_filas!$A$1:$J$39,5,FALSE())</f>
        <v>99</v>
      </c>
      <c r="G24" s="0" t="str">
        <f aca="false">VLOOKUP(B24,clasif_filas!$A$1:$J$39,6,FALSE())</f>
        <v>No Bioeconomía</v>
      </c>
      <c r="H24" s="0" t="n">
        <f aca="false">VLOOKUP(B24,clasif_filas!$A$1:$J$39,7,FALSE())</f>
        <v>1</v>
      </c>
      <c r="I24" s="0" t="str">
        <f aca="false">VLOOKUP(B24,clasif_filas!$A$1:$J$39,8,FALSE())</f>
        <v>Minerales; electricidad, gas y agua</v>
      </c>
      <c r="J24" s="0" t="n">
        <f aca="false">VLOOKUP(B24,clasif_filas!$A$1:$J$39,9,FALSE())</f>
        <v>3</v>
      </c>
      <c r="K24" s="18" t="str">
        <f aca="false">VLOOKUP(B24,clasif_filas!$A$1:$J$39,10,FALSE())</f>
        <v>No bioeconomía</v>
      </c>
    </row>
    <row r="25" customFormat="false" ht="14.25" hidden="false" customHeight="false" outlineLevel="0" collapsed="false">
      <c r="A25" s="17" t="s">
        <v>87</v>
      </c>
      <c r="B25" s="0" t="n">
        <v>341</v>
      </c>
      <c r="C25" s="0" t="str">
        <f aca="false">VLOOKUP(B25,clasif_filas!$A$1:$J$39,2,FALSE())</f>
        <v>Químicos orgánicos básicos</v>
      </c>
      <c r="D25" s="0" t="n">
        <f aca="false">VLOOKUP(B25,clasif_filas!$A$1:$J$39,3,FALSE())</f>
        <v>34</v>
      </c>
      <c r="E25" s="0" t="str">
        <f aca="false">VLOOKUP(B25,clasif_filas!$A$1:$J$39,4,FALSE())</f>
        <v>Químicos básicos</v>
      </c>
      <c r="F25" s="0" t="n">
        <f aca="false">VLOOKUP(B25,clasif_filas!$A$1:$J$39,5,FALSE())</f>
        <v>6</v>
      </c>
      <c r="G25" s="0" t="str">
        <f aca="false">VLOOKUP(B25,clasif_filas!$A$1:$J$39,6,FALSE())</f>
        <v>Conocimiento, procesos y servicios relacionados</v>
      </c>
      <c r="H25" s="0" t="n">
        <f aca="false">VLOOKUP(B25,clasif_filas!$A$1:$J$39,7,FALSE())</f>
        <v>3</v>
      </c>
      <c r="I25" s="0" t="str">
        <f aca="false">VLOOKUP(B25,clasif_filas!$A$1:$J$39,8,FALSE())</f>
        <v>Otros bienes transportables, excepto productos metálicos, maquinaria y equipo</v>
      </c>
      <c r="J25" s="0" t="n">
        <f aca="false">VLOOKUP(B25,clasif_filas!$A$1:$J$39,9,FALSE())</f>
        <v>2</v>
      </c>
      <c r="K25" s="18" t="str">
        <f aca="false">VLOOKUP(B25,clasif_filas!$A$1:$J$39,10,FALSE())</f>
        <v>Bioeconomía extendida</v>
      </c>
    </row>
    <row r="26" customFormat="false" ht="61.65" hidden="false" customHeight="false" outlineLevel="0" collapsed="false">
      <c r="A26" s="17" t="s">
        <v>91</v>
      </c>
      <c r="B26" s="0" t="n">
        <v>342</v>
      </c>
      <c r="C26" s="0" t="str">
        <f aca="false">VLOOKUP(B26,clasif_filas!$A$1:$J$39,2,FALSE())</f>
        <v>Otros químicos, plásticos, caucho y fibras sintéticas</v>
      </c>
      <c r="D26" s="0" t="n">
        <f aca="false">VLOOKUP(B26,clasif_filas!$A$1:$J$39,3,FALSE())</f>
        <v>34</v>
      </c>
      <c r="E26" s="0" t="str">
        <f aca="false">VLOOKUP(B26,clasif_filas!$A$1:$J$39,4,FALSE())</f>
        <v>Químicos básicos</v>
      </c>
      <c r="F26" s="0" t="n">
        <f aca="false">VLOOKUP(B26,clasif_filas!$A$1:$J$39,5,FALSE())</f>
        <v>99</v>
      </c>
      <c r="G26" s="0" t="str">
        <f aca="false">VLOOKUP(B26,clasif_filas!$A$1:$J$39,6,FALSE())</f>
        <v>No Bioeconomía</v>
      </c>
      <c r="H26" s="0" t="n">
        <f aca="false">VLOOKUP(B26,clasif_filas!$A$1:$J$39,7,FALSE())</f>
        <v>3</v>
      </c>
      <c r="I26" s="0" t="str">
        <f aca="false">VLOOKUP(B26,clasif_filas!$A$1:$J$39,8,FALSE())</f>
        <v>Otros bienes transportables, excepto productos metálicos, maquinaria y equipo</v>
      </c>
      <c r="J26" s="0" t="n">
        <f aca="false">VLOOKUP(B26,clasif_filas!$A$1:$J$39,9,FALSE())</f>
        <v>3</v>
      </c>
      <c r="K26" s="18" t="str">
        <f aca="false">VLOOKUP(B26,clasif_filas!$A$1:$J$39,10,FALSE())</f>
        <v>No bioeconomía</v>
      </c>
    </row>
    <row r="27" customFormat="false" ht="25.55" hidden="false" customHeight="false" outlineLevel="0" collapsed="false">
      <c r="A27" s="17" t="s">
        <v>93</v>
      </c>
      <c r="B27" s="0" t="n">
        <v>342</v>
      </c>
      <c r="C27" s="0" t="str">
        <f aca="false">VLOOKUP(B27,clasif_filas!$A$1:$J$39,2,FALSE())</f>
        <v>Otros químicos, plásticos, caucho y fibras sintéticas</v>
      </c>
      <c r="D27" s="0" t="n">
        <f aca="false">VLOOKUP(B27,clasif_filas!$A$1:$J$39,3,FALSE())</f>
        <v>34</v>
      </c>
      <c r="E27" s="0" t="str">
        <f aca="false">VLOOKUP(B27,clasif_filas!$A$1:$J$39,4,FALSE())</f>
        <v>Químicos básicos</v>
      </c>
      <c r="F27" s="0" t="n">
        <f aca="false">VLOOKUP(B27,clasif_filas!$A$1:$J$39,5,FALSE())</f>
        <v>99</v>
      </c>
      <c r="G27" s="0" t="str">
        <f aca="false">VLOOKUP(B27,clasif_filas!$A$1:$J$39,6,FALSE())</f>
        <v>No Bioeconomía</v>
      </c>
      <c r="H27" s="0" t="n">
        <f aca="false">VLOOKUP(B27,clasif_filas!$A$1:$J$39,7,FALSE())</f>
        <v>3</v>
      </c>
      <c r="I27" s="0" t="str">
        <f aca="false">VLOOKUP(B27,clasif_filas!$A$1:$J$39,8,FALSE())</f>
        <v>Otros bienes transportables, excepto productos metálicos, maquinaria y equipo</v>
      </c>
      <c r="J27" s="0" t="n">
        <f aca="false">VLOOKUP(B27,clasif_filas!$A$1:$J$39,9,FALSE())</f>
        <v>3</v>
      </c>
      <c r="K27" s="18" t="str">
        <f aca="false">VLOOKUP(B27,clasif_filas!$A$1:$J$39,10,FALSE())</f>
        <v>No bioeconomía</v>
      </c>
    </row>
    <row r="28" customFormat="false" ht="49.6" hidden="false" customHeight="false" outlineLevel="0" collapsed="false">
      <c r="A28" s="17" t="s">
        <v>95</v>
      </c>
      <c r="B28" s="0" t="n">
        <v>37</v>
      </c>
      <c r="C28" s="0" t="str">
        <f aca="false">VLOOKUP(B28,clasif_filas!$A$1:$J$39,2,FALSE())</f>
        <v>Vidrios y productos de vidrio y otros productos no metálicos n.c.p.</v>
      </c>
      <c r="D28" s="0" t="n">
        <f aca="false">VLOOKUP(B28,clasif_filas!$A$1:$J$39,3,FALSE())</f>
        <v>37</v>
      </c>
      <c r="E28" s="0" t="str">
        <f aca="false">VLOOKUP(B28,clasif_filas!$A$1:$J$39,4,FALSE())</f>
        <v>Vidrios y productos de vidrio y otros productos no metálicos n.c.p.</v>
      </c>
      <c r="F28" s="0" t="n">
        <f aca="false">VLOOKUP(B28,clasif_filas!$A$1:$J$39,5,FALSE())</f>
        <v>99</v>
      </c>
      <c r="G28" s="0" t="str">
        <f aca="false">VLOOKUP(B28,clasif_filas!$A$1:$J$39,6,FALSE())</f>
        <v>No Bioeconomía</v>
      </c>
      <c r="H28" s="0" t="n">
        <f aca="false">VLOOKUP(B28,clasif_filas!$A$1:$J$39,7,FALSE())</f>
        <v>3</v>
      </c>
      <c r="I28" s="0" t="str">
        <f aca="false">VLOOKUP(B28,clasif_filas!$A$1:$J$39,8,FALSE())</f>
        <v>Otros bienes transportables, excepto productos metálicos, maquinaria y equipo</v>
      </c>
      <c r="J28" s="0" t="n">
        <f aca="false">VLOOKUP(B28,clasif_filas!$A$1:$J$39,9,FALSE())</f>
        <v>3</v>
      </c>
      <c r="K28" s="18" t="str">
        <f aca="false">VLOOKUP(B28,clasif_filas!$A$1:$J$39,10,FALSE())</f>
        <v>No bioeconomía</v>
      </c>
    </row>
    <row r="29" customFormat="false" ht="25.55" hidden="false" customHeight="false" outlineLevel="0" collapsed="false">
      <c r="A29" s="17" t="s">
        <v>97</v>
      </c>
      <c r="B29" s="0" t="n">
        <v>38</v>
      </c>
      <c r="C29" s="0" t="str">
        <f aca="false">VLOOKUP(B29,clasif_filas!$A$1:$J$39,2,FALSE())</f>
        <v>Muebles; otros bienes transportables n.c.p.</v>
      </c>
      <c r="D29" s="0" t="n">
        <f aca="false">VLOOKUP(B29,clasif_filas!$A$1:$J$39,3,FALSE())</f>
        <v>38</v>
      </c>
      <c r="E29" s="0" t="str">
        <f aca="false">VLOOKUP(B29,clasif_filas!$A$1:$J$39,4,FALSE())</f>
        <v>Muebles; otros bienes transportables n.c.p.</v>
      </c>
      <c r="F29" s="0" t="n">
        <f aca="false">VLOOKUP(B29,clasif_filas!$A$1:$J$39,5,FALSE())</f>
        <v>99</v>
      </c>
      <c r="G29" s="0" t="str">
        <f aca="false">VLOOKUP(B29,clasif_filas!$A$1:$J$39,6,FALSE())</f>
        <v>No Bioeconomía</v>
      </c>
      <c r="H29" s="0" t="n">
        <f aca="false">VLOOKUP(B29,clasif_filas!$A$1:$J$39,7,FALSE())</f>
        <v>3</v>
      </c>
      <c r="I29" s="0" t="str">
        <f aca="false">VLOOKUP(B29,clasif_filas!$A$1:$J$39,8,FALSE())</f>
        <v>Otros bienes transportables, excepto productos metálicos, maquinaria y equipo</v>
      </c>
      <c r="J29" s="0" t="n">
        <f aca="false">VLOOKUP(B29,clasif_filas!$A$1:$J$39,9,FALSE())</f>
        <v>3</v>
      </c>
      <c r="K29" s="18" t="str">
        <f aca="false">VLOOKUP(B29,clasif_filas!$A$1:$J$39,10,FALSE())</f>
        <v>No bioeconomía</v>
      </c>
    </row>
    <row r="30" customFormat="false" ht="25.55" hidden="false" customHeight="false" outlineLevel="0" collapsed="false">
      <c r="A30" s="17" t="s">
        <v>99</v>
      </c>
      <c r="B30" s="0" t="n">
        <v>39</v>
      </c>
      <c r="C30" s="0" t="str">
        <f aca="false">VLOOKUP(B30,clasif_filas!$A$1:$J$39,2,FALSE())</f>
        <v>Desperdicios o desechos</v>
      </c>
      <c r="D30" s="0" t="n">
        <f aca="false">VLOOKUP(B30,clasif_filas!$A$1:$J$39,3,FALSE())</f>
        <v>39</v>
      </c>
      <c r="E30" s="0" t="str">
        <f aca="false">VLOOKUP(B30,clasif_filas!$A$1:$J$39,4,FALSE())</f>
        <v>Desperdicios o desechos</v>
      </c>
      <c r="F30" s="0" t="n">
        <f aca="false">VLOOKUP(B30,clasif_filas!$A$1:$J$39,5,FALSE())</f>
        <v>4</v>
      </c>
      <c r="G30" s="0" t="str">
        <f aca="false">VLOOKUP(B30,clasif_filas!$A$1:$J$39,6,FALSE())</f>
        <v>Biomasa residual en los sectores agropecuario, pesca y acuacultura, forestal y agroindustrial</v>
      </c>
      <c r="H30" s="0" t="n">
        <f aca="false">VLOOKUP(B30,clasif_filas!$A$1:$J$39,7,FALSE())</f>
        <v>3</v>
      </c>
      <c r="I30" s="0" t="str">
        <f aca="false">VLOOKUP(B30,clasif_filas!$A$1:$J$39,8,FALSE())</f>
        <v>Otros bienes transportables, excepto productos metálicos, maquinaria y equipo</v>
      </c>
      <c r="J30" s="0" t="n">
        <f aca="false">VLOOKUP(B30,clasif_filas!$A$1:$J$39,9,FALSE())</f>
        <v>2</v>
      </c>
      <c r="K30" s="18" t="str">
        <f aca="false">VLOOKUP(B30,clasif_filas!$A$1:$J$39,10,FALSE())</f>
        <v>Bioeconomía extendida</v>
      </c>
    </row>
    <row r="31" customFormat="false" ht="14.25" hidden="false" customHeight="false" outlineLevel="0" collapsed="false">
      <c r="A31" s="17" t="s">
        <v>102</v>
      </c>
      <c r="B31" s="0" t="s">
        <v>103</v>
      </c>
      <c r="C31" s="0" t="str">
        <f aca="false">VLOOKUP(B31,clasif_filas!$A$1:$J$39,2,FALSE())</f>
        <v>Metales, Maquianria, equipos y transporte</v>
      </c>
      <c r="D31" s="0" t="str">
        <f aca="false">VLOOKUP(B31,clasif_filas!$A$1:$J$39,3,FALSE())</f>
        <v>41-49</v>
      </c>
      <c r="E31" s="0" t="str">
        <f aca="false">VLOOKUP(B31,clasif_filas!$A$1:$J$39,4,FALSE())</f>
        <v>Metales, Maquianria, equipos y transporte</v>
      </c>
      <c r="F31" s="0" t="n">
        <f aca="false">VLOOKUP(B31,clasif_filas!$A$1:$J$39,5,FALSE())</f>
        <v>99</v>
      </c>
      <c r="G31" s="0" t="str">
        <f aca="false">VLOOKUP(B31,clasif_filas!$A$1:$J$39,6,FALSE())</f>
        <v>No Bioeconomía</v>
      </c>
      <c r="H31" s="0" t="n">
        <f aca="false">VLOOKUP(B31,clasif_filas!$A$1:$J$39,7,FALSE())</f>
        <v>4</v>
      </c>
      <c r="I31" s="0" t="str">
        <f aca="false">VLOOKUP(B31,clasif_filas!$A$1:$J$39,8,FALSE())</f>
        <v>Productos metálicos, maquinaria y equipo</v>
      </c>
      <c r="J31" s="0" t="n">
        <f aca="false">VLOOKUP(B31,clasif_filas!$A$1:$J$39,9,FALSE())</f>
        <v>3</v>
      </c>
      <c r="K31" s="18" t="str">
        <f aca="false">VLOOKUP(B31,clasif_filas!$A$1:$J$39,10,FALSE())</f>
        <v>No bioeconomía</v>
      </c>
    </row>
    <row r="32" customFormat="false" ht="37.55" hidden="false" customHeight="false" outlineLevel="0" collapsed="false">
      <c r="A32" s="17" t="s">
        <v>105</v>
      </c>
      <c r="B32" s="0" t="s">
        <v>103</v>
      </c>
      <c r="C32" s="0" t="str">
        <f aca="false">VLOOKUP(B32,clasif_filas!$A$1:$J$39,2,FALSE())</f>
        <v>Metales, Maquianria, equipos y transporte</v>
      </c>
      <c r="D32" s="0" t="str">
        <f aca="false">VLOOKUP(B32,clasif_filas!$A$1:$J$39,3,FALSE())</f>
        <v>41-49</v>
      </c>
      <c r="E32" s="0" t="str">
        <f aca="false">VLOOKUP(B32,clasif_filas!$A$1:$J$39,4,FALSE())</f>
        <v>Metales, Maquianria, equipos y transporte</v>
      </c>
      <c r="F32" s="0" t="n">
        <f aca="false">VLOOKUP(B32,clasif_filas!$A$1:$J$39,5,FALSE())</f>
        <v>99</v>
      </c>
      <c r="G32" s="0" t="str">
        <f aca="false">VLOOKUP(B32,clasif_filas!$A$1:$J$39,6,FALSE())</f>
        <v>No Bioeconomía</v>
      </c>
      <c r="H32" s="0" t="n">
        <f aca="false">VLOOKUP(B32,clasif_filas!$A$1:$J$39,7,FALSE())</f>
        <v>4</v>
      </c>
      <c r="I32" s="0" t="str">
        <f aca="false">VLOOKUP(B32,clasif_filas!$A$1:$J$39,8,FALSE())</f>
        <v>Productos metálicos, maquinaria y equipo</v>
      </c>
      <c r="J32" s="0" t="n">
        <f aca="false">VLOOKUP(B32,clasif_filas!$A$1:$J$39,9,FALSE())</f>
        <v>3</v>
      </c>
      <c r="K32" s="18" t="str">
        <f aca="false">VLOOKUP(B32,clasif_filas!$A$1:$J$39,10,FALSE())</f>
        <v>No bioeconomía</v>
      </c>
    </row>
    <row r="33" customFormat="false" ht="25.55" hidden="false" customHeight="false" outlineLevel="0" collapsed="false">
      <c r="A33" s="17" t="s">
        <v>107</v>
      </c>
      <c r="B33" s="0" t="s">
        <v>103</v>
      </c>
      <c r="C33" s="0" t="str">
        <f aca="false">VLOOKUP(B33,clasif_filas!$A$1:$J$39,2,FALSE())</f>
        <v>Metales, Maquianria, equipos y transporte</v>
      </c>
      <c r="D33" s="0" t="str">
        <f aca="false">VLOOKUP(B33,clasif_filas!$A$1:$J$39,3,FALSE())</f>
        <v>41-49</v>
      </c>
      <c r="E33" s="0" t="str">
        <f aca="false">VLOOKUP(B33,clasif_filas!$A$1:$J$39,4,FALSE())</f>
        <v>Metales, Maquianria, equipos y transporte</v>
      </c>
      <c r="F33" s="0" t="n">
        <f aca="false">VLOOKUP(B33,clasif_filas!$A$1:$J$39,5,FALSE())</f>
        <v>99</v>
      </c>
      <c r="G33" s="0" t="str">
        <f aca="false">VLOOKUP(B33,clasif_filas!$A$1:$J$39,6,FALSE())</f>
        <v>No Bioeconomía</v>
      </c>
      <c r="H33" s="0" t="n">
        <f aca="false">VLOOKUP(B33,clasif_filas!$A$1:$J$39,7,FALSE())</f>
        <v>4</v>
      </c>
      <c r="I33" s="0" t="str">
        <f aca="false">VLOOKUP(B33,clasif_filas!$A$1:$J$39,8,FALSE())</f>
        <v>Productos metálicos, maquinaria y equipo</v>
      </c>
      <c r="J33" s="0" t="n">
        <f aca="false">VLOOKUP(B33,clasif_filas!$A$1:$J$39,9,FALSE())</f>
        <v>3</v>
      </c>
      <c r="K33" s="18" t="str">
        <f aca="false">VLOOKUP(B33,clasif_filas!$A$1:$J$39,10,FALSE())</f>
        <v>No bioeconomía</v>
      </c>
    </row>
    <row r="34" customFormat="false" ht="25.55" hidden="false" customHeight="false" outlineLevel="0" collapsed="false">
      <c r="A34" s="17" t="s">
        <v>109</v>
      </c>
      <c r="B34" s="0" t="s">
        <v>103</v>
      </c>
      <c r="C34" s="0" t="str">
        <f aca="false">VLOOKUP(B34,clasif_filas!$A$1:$J$39,2,FALSE())</f>
        <v>Metales, Maquianria, equipos y transporte</v>
      </c>
      <c r="D34" s="0" t="str">
        <f aca="false">VLOOKUP(B34,clasif_filas!$A$1:$J$39,3,FALSE())</f>
        <v>41-49</v>
      </c>
      <c r="E34" s="0" t="str">
        <f aca="false">VLOOKUP(B34,clasif_filas!$A$1:$J$39,4,FALSE())</f>
        <v>Metales, Maquianria, equipos y transporte</v>
      </c>
      <c r="F34" s="0" t="n">
        <f aca="false">VLOOKUP(B34,clasif_filas!$A$1:$J$39,5,FALSE())</f>
        <v>99</v>
      </c>
      <c r="G34" s="0" t="str">
        <f aca="false">VLOOKUP(B34,clasif_filas!$A$1:$J$39,6,FALSE())</f>
        <v>No Bioeconomía</v>
      </c>
      <c r="H34" s="0" t="n">
        <f aca="false">VLOOKUP(B34,clasif_filas!$A$1:$J$39,7,FALSE())</f>
        <v>4</v>
      </c>
      <c r="I34" s="0" t="str">
        <f aca="false">VLOOKUP(B34,clasif_filas!$A$1:$J$39,8,FALSE())</f>
        <v>Productos metálicos, maquinaria y equipo</v>
      </c>
      <c r="J34" s="0" t="n">
        <f aca="false">VLOOKUP(B34,clasif_filas!$A$1:$J$39,9,FALSE())</f>
        <v>3</v>
      </c>
      <c r="K34" s="18" t="str">
        <f aca="false">VLOOKUP(B34,clasif_filas!$A$1:$J$39,10,FALSE())</f>
        <v>No bioeconomía</v>
      </c>
    </row>
    <row r="35" customFormat="false" ht="37.55" hidden="false" customHeight="false" outlineLevel="0" collapsed="false">
      <c r="A35" s="17" t="s">
        <v>111</v>
      </c>
      <c r="B35" s="0" t="s">
        <v>103</v>
      </c>
      <c r="C35" s="0" t="str">
        <f aca="false">VLOOKUP(B35,clasif_filas!$A$1:$J$39,2,FALSE())</f>
        <v>Metales, Maquianria, equipos y transporte</v>
      </c>
      <c r="D35" s="0" t="str">
        <f aca="false">VLOOKUP(B35,clasif_filas!$A$1:$J$39,3,FALSE())</f>
        <v>41-49</v>
      </c>
      <c r="E35" s="0" t="str">
        <f aca="false">VLOOKUP(B35,clasif_filas!$A$1:$J$39,4,FALSE())</f>
        <v>Metales, Maquianria, equipos y transporte</v>
      </c>
      <c r="F35" s="0" t="n">
        <f aca="false">VLOOKUP(B35,clasif_filas!$A$1:$J$39,5,FALSE())</f>
        <v>99</v>
      </c>
      <c r="G35" s="0" t="str">
        <f aca="false">VLOOKUP(B35,clasif_filas!$A$1:$J$39,6,FALSE())</f>
        <v>No Bioeconomía</v>
      </c>
      <c r="H35" s="0" t="n">
        <f aca="false">VLOOKUP(B35,clasif_filas!$A$1:$J$39,7,FALSE())</f>
        <v>4</v>
      </c>
      <c r="I35" s="0" t="str">
        <f aca="false">VLOOKUP(B35,clasif_filas!$A$1:$J$39,8,FALSE())</f>
        <v>Productos metálicos, maquinaria y equipo</v>
      </c>
      <c r="J35" s="0" t="n">
        <f aca="false">VLOOKUP(B35,clasif_filas!$A$1:$J$39,9,FALSE())</f>
        <v>3</v>
      </c>
      <c r="K35" s="18" t="str">
        <f aca="false">VLOOKUP(B35,clasif_filas!$A$1:$J$39,10,FALSE())</f>
        <v>No bioeconomía</v>
      </c>
    </row>
    <row r="36" customFormat="false" ht="25.55" hidden="false" customHeight="false" outlineLevel="0" collapsed="false">
      <c r="A36" s="17" t="s">
        <v>113</v>
      </c>
      <c r="B36" s="0" t="s">
        <v>103</v>
      </c>
      <c r="C36" s="0" t="str">
        <f aca="false">VLOOKUP(B36,clasif_filas!$A$1:$J$39,2,FALSE())</f>
        <v>Metales, Maquianria, equipos y transporte</v>
      </c>
      <c r="D36" s="0" t="str">
        <f aca="false">VLOOKUP(B36,clasif_filas!$A$1:$J$39,3,FALSE())</f>
        <v>41-49</v>
      </c>
      <c r="E36" s="0" t="str">
        <f aca="false">VLOOKUP(B36,clasif_filas!$A$1:$J$39,4,FALSE())</f>
        <v>Metales, Maquianria, equipos y transporte</v>
      </c>
      <c r="F36" s="0" t="n">
        <f aca="false">VLOOKUP(B36,clasif_filas!$A$1:$J$39,5,FALSE())</f>
        <v>99</v>
      </c>
      <c r="G36" s="0" t="str">
        <f aca="false">VLOOKUP(B36,clasif_filas!$A$1:$J$39,6,FALSE())</f>
        <v>No Bioeconomía</v>
      </c>
      <c r="H36" s="0" t="n">
        <f aca="false">VLOOKUP(B36,clasif_filas!$A$1:$J$39,7,FALSE())</f>
        <v>4</v>
      </c>
      <c r="I36" s="0" t="str">
        <f aca="false">VLOOKUP(B36,clasif_filas!$A$1:$J$39,8,FALSE())</f>
        <v>Productos metálicos, maquinaria y equipo</v>
      </c>
      <c r="J36" s="0" t="n">
        <f aca="false">VLOOKUP(B36,clasif_filas!$A$1:$J$39,9,FALSE())</f>
        <v>3</v>
      </c>
      <c r="K36" s="18" t="str">
        <f aca="false">VLOOKUP(B36,clasif_filas!$A$1:$J$39,10,FALSE())</f>
        <v>No bioeconomía</v>
      </c>
    </row>
    <row r="37" customFormat="false" ht="37.55" hidden="false" customHeight="false" outlineLevel="0" collapsed="false">
      <c r="A37" s="17" t="s">
        <v>115</v>
      </c>
      <c r="B37" s="0" t="s">
        <v>103</v>
      </c>
      <c r="C37" s="0" t="str">
        <f aca="false">VLOOKUP(B37,clasif_filas!$A$1:$J$39,2,FALSE())</f>
        <v>Metales, Maquianria, equipos y transporte</v>
      </c>
      <c r="D37" s="0" t="str">
        <f aca="false">VLOOKUP(B37,clasif_filas!$A$1:$J$39,3,FALSE())</f>
        <v>41-49</v>
      </c>
      <c r="E37" s="0" t="str">
        <f aca="false">VLOOKUP(B37,clasif_filas!$A$1:$J$39,4,FALSE())</f>
        <v>Metales, Maquianria, equipos y transporte</v>
      </c>
      <c r="F37" s="0" t="n">
        <f aca="false">VLOOKUP(B37,clasif_filas!$A$1:$J$39,5,FALSE())</f>
        <v>99</v>
      </c>
      <c r="G37" s="0" t="str">
        <f aca="false">VLOOKUP(B37,clasif_filas!$A$1:$J$39,6,FALSE())</f>
        <v>No Bioeconomía</v>
      </c>
      <c r="H37" s="0" t="n">
        <f aca="false">VLOOKUP(B37,clasif_filas!$A$1:$J$39,7,FALSE())</f>
        <v>4</v>
      </c>
      <c r="I37" s="0" t="str">
        <f aca="false">VLOOKUP(B37,clasif_filas!$A$1:$J$39,8,FALSE())</f>
        <v>Productos metálicos, maquinaria y equipo</v>
      </c>
      <c r="J37" s="0" t="n">
        <f aca="false">VLOOKUP(B37,clasif_filas!$A$1:$J$39,9,FALSE())</f>
        <v>3</v>
      </c>
      <c r="K37" s="18" t="str">
        <f aca="false">VLOOKUP(B37,clasif_filas!$A$1:$J$39,10,FALSE())</f>
        <v>No bioeconomía</v>
      </c>
    </row>
    <row r="38" customFormat="false" ht="37.55" hidden="false" customHeight="false" outlineLevel="0" collapsed="false">
      <c r="A38" s="17" t="s">
        <v>117</v>
      </c>
      <c r="B38" s="0" t="s">
        <v>103</v>
      </c>
      <c r="C38" s="0" t="str">
        <f aca="false">VLOOKUP(B38,clasif_filas!$A$1:$J$39,2,FALSE())</f>
        <v>Metales, Maquianria, equipos y transporte</v>
      </c>
      <c r="D38" s="0" t="str">
        <f aca="false">VLOOKUP(B38,clasif_filas!$A$1:$J$39,3,FALSE())</f>
        <v>41-49</v>
      </c>
      <c r="E38" s="0" t="str">
        <f aca="false">VLOOKUP(B38,clasif_filas!$A$1:$J$39,4,FALSE())</f>
        <v>Metales, Maquianria, equipos y transporte</v>
      </c>
      <c r="F38" s="0" t="n">
        <f aca="false">VLOOKUP(B38,clasif_filas!$A$1:$J$39,5,FALSE())</f>
        <v>99</v>
      </c>
      <c r="G38" s="0" t="str">
        <f aca="false">VLOOKUP(B38,clasif_filas!$A$1:$J$39,6,FALSE())</f>
        <v>No Bioeconomía</v>
      </c>
      <c r="H38" s="0" t="n">
        <f aca="false">VLOOKUP(B38,clasif_filas!$A$1:$J$39,7,FALSE())</f>
        <v>4</v>
      </c>
      <c r="I38" s="0" t="str">
        <f aca="false">VLOOKUP(B38,clasif_filas!$A$1:$J$39,8,FALSE())</f>
        <v>Productos metálicos, maquinaria y equipo</v>
      </c>
      <c r="J38" s="0" t="n">
        <f aca="false">VLOOKUP(B38,clasif_filas!$A$1:$J$39,9,FALSE())</f>
        <v>3</v>
      </c>
      <c r="K38" s="18" t="str">
        <f aca="false">VLOOKUP(B38,clasif_filas!$A$1:$J$39,10,FALSE())</f>
        <v>No bioeconomía</v>
      </c>
    </row>
    <row r="39" customFormat="false" ht="14.25" hidden="false" customHeight="false" outlineLevel="0" collapsed="false">
      <c r="A39" s="17" t="s">
        <v>119</v>
      </c>
      <c r="B39" s="0" t="s">
        <v>103</v>
      </c>
      <c r="C39" s="0" t="str">
        <f aca="false">VLOOKUP(B39,clasif_filas!$A$1:$J$39,2,FALSE())</f>
        <v>Metales, Maquianria, equipos y transporte</v>
      </c>
      <c r="D39" s="0" t="str">
        <f aca="false">VLOOKUP(B39,clasif_filas!$A$1:$J$39,3,FALSE())</f>
        <v>41-49</v>
      </c>
      <c r="E39" s="0" t="str">
        <f aca="false">VLOOKUP(B39,clasif_filas!$A$1:$J$39,4,FALSE())</f>
        <v>Metales, Maquianria, equipos y transporte</v>
      </c>
      <c r="F39" s="0" t="n">
        <f aca="false">VLOOKUP(B39,clasif_filas!$A$1:$J$39,5,FALSE())</f>
        <v>99</v>
      </c>
      <c r="G39" s="0" t="str">
        <f aca="false">VLOOKUP(B39,clasif_filas!$A$1:$J$39,6,FALSE())</f>
        <v>No Bioeconomía</v>
      </c>
      <c r="H39" s="0" t="n">
        <f aca="false">VLOOKUP(B39,clasif_filas!$A$1:$J$39,7,FALSE())</f>
        <v>4</v>
      </c>
      <c r="I39" s="0" t="str">
        <f aca="false">VLOOKUP(B39,clasif_filas!$A$1:$J$39,8,FALSE())</f>
        <v>Productos metálicos, maquinaria y equipo</v>
      </c>
      <c r="J39" s="0" t="n">
        <f aca="false">VLOOKUP(B39,clasif_filas!$A$1:$J$39,9,FALSE())</f>
        <v>3</v>
      </c>
      <c r="K39" s="18" t="str">
        <f aca="false">VLOOKUP(B39,clasif_filas!$A$1:$J$39,10,FALSE())</f>
        <v>No bioeconomía</v>
      </c>
    </row>
    <row r="40" customFormat="false" ht="14.25" hidden="false" customHeight="false" outlineLevel="0" collapsed="false">
      <c r="A40" s="17" t="s">
        <v>121</v>
      </c>
      <c r="B40" s="0" t="n">
        <v>5</v>
      </c>
      <c r="C40" s="0" t="str">
        <f aca="false">VLOOKUP(B40,clasif_filas!$A$1:$J$39,2,FALSE())</f>
        <v>Construcciones y servicios de construcción</v>
      </c>
      <c r="D40" s="0" t="n">
        <f aca="false">VLOOKUP(B40,clasif_filas!$A$1:$J$39,3,FALSE())</f>
        <v>53</v>
      </c>
      <c r="E40" s="0" t="str">
        <f aca="false">VLOOKUP(B40,clasif_filas!$A$1:$J$39,4,FALSE())</f>
        <v>Construcciones</v>
      </c>
      <c r="F40" s="0" t="n">
        <f aca="false">VLOOKUP(B40,clasif_filas!$A$1:$J$39,5,FALSE())</f>
        <v>99</v>
      </c>
      <c r="G40" s="0" t="str">
        <f aca="false">VLOOKUP(B40,clasif_filas!$A$1:$J$39,6,FALSE())</f>
        <v>No Bioeconomía</v>
      </c>
      <c r="H40" s="0" t="n">
        <f aca="false">VLOOKUP(B40,clasif_filas!$A$1:$J$39,7,FALSE())</f>
        <v>5</v>
      </c>
      <c r="I40" s="0" t="str">
        <f aca="false">VLOOKUP(B40,clasif_filas!$A$1:$J$39,8,FALSE())</f>
        <v>Construcciones y servicios de construcción</v>
      </c>
      <c r="J40" s="0" t="n">
        <f aca="false">VLOOKUP(B40,clasif_filas!$A$1:$J$39,9,FALSE())</f>
        <v>3</v>
      </c>
      <c r="K40" s="18" t="str">
        <f aca="false">VLOOKUP(B40,clasif_filas!$A$1:$J$39,10,FALSE())</f>
        <v>No bioeconomía</v>
      </c>
    </row>
    <row r="41" customFormat="false" ht="25.55" hidden="false" customHeight="false" outlineLevel="0" collapsed="false">
      <c r="A41" s="17" t="s">
        <v>123</v>
      </c>
      <c r="B41" s="0" t="n">
        <v>5</v>
      </c>
      <c r="C41" s="0" t="str">
        <f aca="false">VLOOKUP(B41,clasif_filas!$A$1:$J$39,2,FALSE())</f>
        <v>Construcciones y servicios de construcción</v>
      </c>
      <c r="D41" s="0" t="n">
        <f aca="false">VLOOKUP(B41,clasif_filas!$A$1:$J$39,3,FALSE())</f>
        <v>53</v>
      </c>
      <c r="E41" s="0" t="str">
        <f aca="false">VLOOKUP(B41,clasif_filas!$A$1:$J$39,4,FALSE())</f>
        <v>Construcciones</v>
      </c>
      <c r="F41" s="0" t="n">
        <f aca="false">VLOOKUP(B41,clasif_filas!$A$1:$J$39,5,FALSE())</f>
        <v>99</v>
      </c>
      <c r="G41" s="0" t="str">
        <f aca="false">VLOOKUP(B41,clasif_filas!$A$1:$J$39,6,FALSE())</f>
        <v>No Bioeconomía</v>
      </c>
      <c r="H41" s="0" t="n">
        <f aca="false">VLOOKUP(B41,clasif_filas!$A$1:$J$39,7,FALSE())</f>
        <v>5</v>
      </c>
      <c r="I41" s="0" t="str">
        <f aca="false">VLOOKUP(B41,clasif_filas!$A$1:$J$39,8,FALSE())</f>
        <v>Construcciones y servicios de construcción</v>
      </c>
      <c r="J41" s="0" t="n">
        <f aca="false">VLOOKUP(B41,clasif_filas!$A$1:$J$39,9,FALSE())</f>
        <v>3</v>
      </c>
      <c r="K41" s="18" t="str">
        <f aca="false">VLOOKUP(B41,clasif_filas!$A$1:$J$39,10,FALSE())</f>
        <v>No bioeconomía</v>
      </c>
    </row>
    <row r="42" customFormat="false" ht="37.55" hidden="false" customHeight="false" outlineLevel="0" collapsed="false">
      <c r="A42" s="17" t="s">
        <v>126</v>
      </c>
      <c r="B42" s="0" t="n">
        <v>6</v>
      </c>
      <c r="C42" s="0" t="str">
        <f aca="false">VLOOKUP(B42,clasif_filas!$A$1:$J$39,2,FALSE())</f>
        <v>Otros servicios</v>
      </c>
      <c r="D42" s="0" t="n">
        <f aca="false">VLOOKUP(B42,clasif_filas!$A$1:$J$39,3,FALSE())</f>
        <v>6</v>
      </c>
      <c r="E42" s="0" t="str">
        <f aca="false">VLOOKUP(B42,clasif_filas!$A$1:$J$39,4,FALSE())</f>
        <v>Otros servicios</v>
      </c>
      <c r="F42" s="0" t="n">
        <f aca="false">VLOOKUP(B42,clasif_filas!$A$1:$J$39,5,FALSE())</f>
        <v>99</v>
      </c>
      <c r="G42" s="0" t="str">
        <f aca="false">VLOOKUP(B42,clasif_filas!$A$1:$J$39,6,FALSE())</f>
        <v>No Bioeconomía</v>
      </c>
      <c r="H42" s="0" t="n">
        <f aca="false">VLOOKUP(B42,clasif_filas!$A$1:$J$39,7,FALSE())</f>
        <v>6</v>
      </c>
      <c r="I42" s="0" t="str">
        <f aca="false">VLOOKUP(B42,clasif_filas!$A$1:$J$39,8,FALSE())</f>
        <v>Servicios comerciales de distribución; alojamiento, servicios de suministro de comidas y bebidas; servicios de transporte; y servicios de distribución de electricidad, gas y agua</v>
      </c>
      <c r="J42" s="0" t="n">
        <f aca="false">VLOOKUP(B42,clasif_filas!$A$1:$J$39,9,FALSE())</f>
        <v>3</v>
      </c>
      <c r="K42" s="18" t="str">
        <f aca="false">VLOOKUP(B42,clasif_filas!$A$1:$J$39,10,FALSE())</f>
        <v>No bioeconomía</v>
      </c>
    </row>
    <row r="43" customFormat="false" ht="37.55" hidden="false" customHeight="false" outlineLevel="0" collapsed="false">
      <c r="A43" s="17" t="s">
        <v>128</v>
      </c>
      <c r="B43" s="0" t="n">
        <v>63</v>
      </c>
      <c r="C43" s="0" t="str">
        <f aca="false">VLOOKUP(B43,clasif_filas!$A$1:$J$39,2,FALSE())</f>
        <v>Alojamiento, servicios de suministro de comidas y bebidas</v>
      </c>
      <c r="D43" s="0" t="n">
        <f aca="false">VLOOKUP(B43,clasif_filas!$A$1:$J$39,3,FALSE())</f>
        <v>63</v>
      </c>
      <c r="E43" s="0" t="str">
        <f aca="false">VLOOKUP(B43,clasif_filas!$A$1:$J$39,4,FALSE())</f>
        <v>Alojamiento, servicios de suministro de comidas y bebidas</v>
      </c>
      <c r="F43" s="0" t="n">
        <f aca="false">VLOOKUP(B43,clasif_filas!$A$1:$J$39,5,FALSE())</f>
        <v>6</v>
      </c>
      <c r="G43" s="0" t="str">
        <f aca="false">VLOOKUP(B43,clasif_filas!$A$1:$J$39,6,FALSE())</f>
        <v>Conocimiento, procesos y servicios relacionados</v>
      </c>
      <c r="H43" s="0" t="n">
        <f aca="false">VLOOKUP(B43,clasif_filas!$A$1:$J$39,7,FALSE())</f>
        <v>6</v>
      </c>
      <c r="I43" s="0" t="str">
        <f aca="false">VLOOKUP(B43,clasif_filas!$A$1:$J$39,8,FALSE())</f>
        <v>Servicios comerciales de distribución; alojamiento, servicios de suministro de comidas y bebidas; servicios de transporte; y servicios de distribución de electricidad, gas y agua</v>
      </c>
      <c r="J43" s="0" t="n">
        <f aca="false">VLOOKUP(B43,clasif_filas!$A$1:$J$39,9,FALSE())</f>
        <v>2</v>
      </c>
      <c r="K43" s="18" t="str">
        <f aca="false">VLOOKUP(B43,clasif_filas!$A$1:$J$39,10,FALSE())</f>
        <v>Bioeconomía extendida</v>
      </c>
    </row>
    <row r="44" customFormat="false" ht="97.7" hidden="false" customHeight="false" outlineLevel="0" collapsed="false">
      <c r="A44" s="17" t="s">
        <v>132</v>
      </c>
      <c r="B44" s="0" t="n">
        <v>6</v>
      </c>
      <c r="C44" s="0" t="str">
        <f aca="false">VLOOKUP(B44,clasif_filas!$A$1:$J$39,2,FALSE())</f>
        <v>Otros servicios</v>
      </c>
      <c r="D44" s="0" t="n">
        <f aca="false">VLOOKUP(B44,clasif_filas!$A$1:$J$39,3,FALSE())</f>
        <v>6</v>
      </c>
      <c r="E44" s="0" t="str">
        <f aca="false">VLOOKUP(B44,clasif_filas!$A$1:$J$39,4,FALSE())</f>
        <v>Otros servicios</v>
      </c>
      <c r="F44" s="0" t="n">
        <f aca="false">VLOOKUP(B44,clasif_filas!$A$1:$J$39,5,FALSE())</f>
        <v>99</v>
      </c>
      <c r="G44" s="0" t="str">
        <f aca="false">VLOOKUP(B44,clasif_filas!$A$1:$J$39,6,FALSE())</f>
        <v>No Bioeconomía</v>
      </c>
      <c r="H44" s="0" t="n">
        <f aca="false">VLOOKUP(B44,clasif_filas!$A$1:$J$39,7,FALSE())</f>
        <v>6</v>
      </c>
      <c r="I44" s="0" t="str">
        <f aca="false">VLOOKUP(B44,clasif_filas!$A$1:$J$39,8,FALSE())</f>
        <v>Servicios comerciales de distribución; alojamiento, servicios de suministro de comidas y bebidas; servicios de transporte; y servicios de distribución de electricidad, gas y agua</v>
      </c>
      <c r="J44" s="0" t="n">
        <f aca="false">VLOOKUP(B44,clasif_filas!$A$1:$J$39,9,FALSE())</f>
        <v>3</v>
      </c>
      <c r="K44" s="18" t="str">
        <f aca="false">VLOOKUP(B44,clasif_filas!$A$1:$J$39,10,FALSE())</f>
        <v>No bioeconomía</v>
      </c>
    </row>
    <row r="45" customFormat="false" ht="25.55" hidden="false" customHeight="false" outlineLevel="0" collapsed="false">
      <c r="A45" s="17" t="s">
        <v>134</v>
      </c>
      <c r="B45" s="0" t="n">
        <v>6</v>
      </c>
      <c r="C45" s="0" t="str">
        <f aca="false">VLOOKUP(B45,clasif_filas!$A$1:$J$39,2,FALSE())</f>
        <v>Otros servicios</v>
      </c>
      <c r="D45" s="0" t="n">
        <f aca="false">VLOOKUP(B45,clasif_filas!$A$1:$J$39,3,FALSE())</f>
        <v>6</v>
      </c>
      <c r="E45" s="0" t="str">
        <f aca="false">VLOOKUP(B45,clasif_filas!$A$1:$J$39,4,FALSE())</f>
        <v>Otros servicios</v>
      </c>
      <c r="F45" s="0" t="n">
        <f aca="false">VLOOKUP(B45,clasif_filas!$A$1:$J$39,5,FALSE())</f>
        <v>99</v>
      </c>
      <c r="G45" s="0" t="str">
        <f aca="false">VLOOKUP(B45,clasif_filas!$A$1:$J$39,6,FALSE())</f>
        <v>No Bioeconomía</v>
      </c>
      <c r="H45" s="0" t="n">
        <f aca="false">VLOOKUP(B45,clasif_filas!$A$1:$J$39,7,FALSE())</f>
        <v>6</v>
      </c>
      <c r="I45" s="0" t="str">
        <f aca="false">VLOOKUP(B45,clasif_filas!$A$1:$J$39,8,FALSE())</f>
        <v>Servicios comerciales de distribución; alojamiento, servicios de suministro de comidas y bebidas; servicios de transporte; y servicios de distribución de electricidad, gas y agua</v>
      </c>
      <c r="J45" s="0" t="n">
        <f aca="false">VLOOKUP(B45,clasif_filas!$A$1:$J$39,9,FALSE())</f>
        <v>3</v>
      </c>
      <c r="K45" s="18" t="str">
        <f aca="false">VLOOKUP(B45,clasif_filas!$A$1:$J$39,10,FALSE())</f>
        <v>No bioeconomía</v>
      </c>
    </row>
    <row r="46" customFormat="false" ht="25.55" hidden="false" customHeight="false" outlineLevel="0" collapsed="false">
      <c r="A46" s="17" t="s">
        <v>136</v>
      </c>
      <c r="B46" s="0" t="n">
        <v>6</v>
      </c>
      <c r="C46" s="0" t="str">
        <f aca="false">VLOOKUP(B46,clasif_filas!$A$1:$J$39,2,FALSE())</f>
        <v>Otros servicios</v>
      </c>
      <c r="D46" s="0" t="n">
        <f aca="false">VLOOKUP(B46,clasif_filas!$A$1:$J$39,3,FALSE())</f>
        <v>6</v>
      </c>
      <c r="E46" s="0" t="str">
        <f aca="false">VLOOKUP(B46,clasif_filas!$A$1:$J$39,4,FALSE())</f>
        <v>Otros servicios</v>
      </c>
      <c r="F46" s="0" t="n">
        <f aca="false">VLOOKUP(B46,clasif_filas!$A$1:$J$39,5,FALSE())</f>
        <v>99</v>
      </c>
      <c r="G46" s="0" t="str">
        <f aca="false">VLOOKUP(B46,clasif_filas!$A$1:$J$39,6,FALSE())</f>
        <v>No Bioeconomía</v>
      </c>
      <c r="H46" s="0" t="n">
        <f aca="false">VLOOKUP(B46,clasif_filas!$A$1:$J$39,7,FALSE())</f>
        <v>6</v>
      </c>
      <c r="I46" s="0" t="str">
        <f aca="false">VLOOKUP(B46,clasif_filas!$A$1:$J$39,8,FALSE())</f>
        <v>Servicios comerciales de distribución; alojamiento, servicios de suministro de comidas y bebidas; servicios de transporte; y servicios de distribución de electricidad, gas y agua</v>
      </c>
      <c r="J46" s="0" t="n">
        <f aca="false">VLOOKUP(B46,clasif_filas!$A$1:$J$39,9,FALSE())</f>
        <v>3</v>
      </c>
      <c r="K46" s="18" t="str">
        <f aca="false">VLOOKUP(B46,clasif_filas!$A$1:$J$39,10,FALSE())</f>
        <v>No bioeconomía</v>
      </c>
    </row>
    <row r="47" customFormat="false" ht="61.65" hidden="false" customHeight="false" outlineLevel="0" collapsed="false">
      <c r="A47" s="17" t="s">
        <v>138</v>
      </c>
      <c r="B47" s="0" t="n">
        <v>69</v>
      </c>
      <c r="C47" s="0" t="str">
        <f aca="false">VLOOKUP(B47,clasif_filas!$A$1:$J$39,2,FALSE())</f>
        <v>Distribución de electricidad, gas y agua (por cuenta propia)</v>
      </c>
      <c r="D47" s="0" t="n">
        <f aca="false">VLOOKUP(B47,clasif_filas!$A$1:$J$39,3,FALSE())</f>
        <v>69</v>
      </c>
      <c r="E47" s="0" t="str">
        <f aca="false">VLOOKUP(B47,clasif_filas!$A$1:$J$39,4,FALSE())</f>
        <v>Distribución de electricidad, gas y agua (por cuenta propia)</v>
      </c>
      <c r="F47" s="0" t="n">
        <f aca="false">VLOOKUP(B47,clasif_filas!$A$1:$J$39,5,FALSE())</f>
        <v>6</v>
      </c>
      <c r="G47" s="0" t="str">
        <f aca="false">VLOOKUP(B47,clasif_filas!$A$1:$J$39,6,FALSE())</f>
        <v>Conocimiento, procesos y servicios relacionados</v>
      </c>
      <c r="H47" s="0" t="n">
        <f aca="false">VLOOKUP(B47,clasif_filas!$A$1:$J$39,7,FALSE())</f>
        <v>6</v>
      </c>
      <c r="I47" s="0" t="str">
        <f aca="false">VLOOKUP(B47,clasif_filas!$A$1:$J$39,8,FALSE())</f>
        <v>Servicios comerciales de distribución; alojamiento, servicios de suministro de comidas y bebidas; servicios de transporte; y servicios de distribución de electricidad, gas y agua</v>
      </c>
      <c r="J47" s="0" t="n">
        <f aca="false">VLOOKUP(B47,clasif_filas!$A$1:$J$39,9,FALSE())</f>
        <v>2</v>
      </c>
      <c r="K47" s="18" t="str">
        <f aca="false">VLOOKUP(B47,clasif_filas!$A$1:$J$39,10,FALSE())</f>
        <v>Bioeconomía extendida</v>
      </c>
    </row>
    <row r="48" customFormat="false" ht="25.55" hidden="false" customHeight="false" outlineLevel="0" collapsed="false">
      <c r="A48" s="17" t="s">
        <v>140</v>
      </c>
      <c r="B48" s="0" t="n">
        <v>6</v>
      </c>
      <c r="C48" s="0" t="str">
        <f aca="false">VLOOKUP(B48,clasif_filas!$A$1:$J$39,2,FALSE())</f>
        <v>Otros servicios</v>
      </c>
      <c r="D48" s="0" t="n">
        <f aca="false">VLOOKUP(B48,clasif_filas!$A$1:$J$39,3,FALSE())</f>
        <v>6</v>
      </c>
      <c r="E48" s="0" t="str">
        <f aca="false">VLOOKUP(B48,clasif_filas!$A$1:$J$39,4,FALSE())</f>
        <v>Otros servicios</v>
      </c>
      <c r="F48" s="0" t="n">
        <f aca="false">VLOOKUP(B48,clasif_filas!$A$1:$J$39,5,FALSE())</f>
        <v>99</v>
      </c>
      <c r="G48" s="0" t="str">
        <f aca="false">VLOOKUP(B48,clasif_filas!$A$1:$J$39,6,FALSE())</f>
        <v>No Bioeconomía</v>
      </c>
      <c r="H48" s="0" t="n">
        <f aca="false">VLOOKUP(B48,clasif_filas!$A$1:$J$39,7,FALSE())</f>
        <v>6</v>
      </c>
      <c r="I48" s="0" t="str">
        <f aca="false">VLOOKUP(B48,clasif_filas!$A$1:$J$39,8,FALSE())</f>
        <v>Servicios comerciales de distribución; alojamiento, servicios de suministro de comidas y bebidas; servicios de transporte; y servicios de distribución de electricidad, gas y agua</v>
      </c>
      <c r="J48" s="0" t="n">
        <f aca="false">VLOOKUP(B48,clasif_filas!$A$1:$J$39,9,FALSE())</f>
        <v>3</v>
      </c>
      <c r="K48" s="18" t="str">
        <f aca="false">VLOOKUP(B48,clasif_filas!$A$1:$J$39,10,FALSE())</f>
        <v>No bioeconomía</v>
      </c>
    </row>
    <row r="49" customFormat="false" ht="14.25" hidden="false" customHeight="false" outlineLevel="0" collapsed="false">
      <c r="A49" s="17" t="s">
        <v>142</v>
      </c>
      <c r="B49" s="0" t="n">
        <v>6</v>
      </c>
      <c r="C49" s="0" t="str">
        <f aca="false">VLOOKUP(B49,clasif_filas!$A$1:$J$39,2,FALSE())</f>
        <v>Otros servicios</v>
      </c>
      <c r="D49" s="0" t="n">
        <f aca="false">VLOOKUP(B49,clasif_filas!$A$1:$J$39,3,FALSE())</f>
        <v>6</v>
      </c>
      <c r="E49" s="0" t="str">
        <f aca="false">VLOOKUP(B49,clasif_filas!$A$1:$J$39,4,FALSE())</f>
        <v>Otros servicios</v>
      </c>
      <c r="F49" s="0" t="n">
        <f aca="false">VLOOKUP(B49,clasif_filas!$A$1:$J$39,5,FALSE())</f>
        <v>99</v>
      </c>
      <c r="G49" s="0" t="str">
        <f aca="false">VLOOKUP(B49,clasif_filas!$A$1:$J$39,6,FALSE())</f>
        <v>No Bioeconomía</v>
      </c>
      <c r="H49" s="0" t="n">
        <f aca="false">VLOOKUP(B49,clasif_filas!$A$1:$J$39,7,FALSE())</f>
        <v>6</v>
      </c>
      <c r="I49" s="0" t="str">
        <f aca="false">VLOOKUP(B49,clasif_filas!$A$1:$J$39,8,FALSE())</f>
        <v>Servicios comerciales de distribución; alojamiento, servicios de suministro de comidas y bebidas; servicios de transporte; y servicios de distribución de electricidad, gas y agua</v>
      </c>
      <c r="J49" s="0" t="n">
        <f aca="false">VLOOKUP(B49,clasif_filas!$A$1:$J$39,9,FALSE())</f>
        <v>3</v>
      </c>
      <c r="K49" s="18" t="str">
        <f aca="false">VLOOKUP(B49,clasif_filas!$A$1:$J$39,10,FALSE())</f>
        <v>No bioeconomía</v>
      </c>
    </row>
    <row r="50" customFormat="false" ht="37.55" hidden="false" customHeight="false" outlineLevel="0" collapsed="false">
      <c r="A50" s="17" t="s">
        <v>144</v>
      </c>
      <c r="B50" s="0" t="n">
        <v>6</v>
      </c>
      <c r="C50" s="0" t="str">
        <f aca="false">VLOOKUP(B50,clasif_filas!$A$1:$J$39,2,FALSE())</f>
        <v>Otros servicios</v>
      </c>
      <c r="D50" s="0" t="n">
        <f aca="false">VLOOKUP(B50,clasif_filas!$A$1:$J$39,3,FALSE())</f>
        <v>6</v>
      </c>
      <c r="E50" s="0" t="str">
        <f aca="false">VLOOKUP(B50,clasif_filas!$A$1:$J$39,4,FALSE())</f>
        <v>Otros servicios</v>
      </c>
      <c r="F50" s="0" t="n">
        <f aca="false">VLOOKUP(B50,clasif_filas!$A$1:$J$39,5,FALSE())</f>
        <v>99</v>
      </c>
      <c r="G50" s="0" t="str">
        <f aca="false">VLOOKUP(B50,clasif_filas!$A$1:$J$39,6,FALSE())</f>
        <v>No Bioeconomía</v>
      </c>
      <c r="H50" s="0" t="n">
        <f aca="false">VLOOKUP(B50,clasif_filas!$A$1:$J$39,7,FALSE())</f>
        <v>6</v>
      </c>
      <c r="I50" s="0" t="str">
        <f aca="false">VLOOKUP(B50,clasif_filas!$A$1:$J$39,8,FALSE())</f>
        <v>Servicios comerciales de distribución; alojamiento, servicios de suministro de comidas y bebidas; servicios de transporte; y servicios de distribución de electricidad, gas y agua</v>
      </c>
      <c r="J50" s="0" t="n">
        <f aca="false">VLOOKUP(B50,clasif_filas!$A$1:$J$39,9,FALSE())</f>
        <v>3</v>
      </c>
      <c r="K50" s="18" t="str">
        <f aca="false">VLOOKUP(B50,clasif_filas!$A$1:$J$39,10,FALSE())</f>
        <v>No bioeconomía</v>
      </c>
    </row>
    <row r="51" customFormat="false" ht="37.55" hidden="false" customHeight="false" outlineLevel="0" collapsed="false">
      <c r="A51" s="17" t="s">
        <v>146</v>
      </c>
      <c r="B51" s="0" t="n">
        <v>81</v>
      </c>
      <c r="C51" s="0" t="str">
        <f aca="false">VLOOKUP(B51,clasif_filas!$A$1:$J$39,2,FALSE())</f>
        <v>Servicios de investigación y desarrollo</v>
      </c>
      <c r="D51" s="0" t="n">
        <f aca="false">VLOOKUP(B51,clasif_filas!$A$1:$J$39,3,FALSE())</f>
        <v>81</v>
      </c>
      <c r="E51" s="0" t="str">
        <f aca="false">VLOOKUP(B51,clasif_filas!$A$1:$J$39,4,FALSE())</f>
        <v>Servicios de investigación y desarrollo</v>
      </c>
      <c r="F51" s="0" t="n">
        <f aca="false">VLOOKUP(B51,clasif_filas!$A$1:$J$39,5,FALSE())</f>
        <v>6</v>
      </c>
      <c r="G51" s="0" t="str">
        <f aca="false">VLOOKUP(B51,clasif_filas!$A$1:$J$39,6,FALSE())</f>
        <v>Conocimiento, procesos y servicios relacionados</v>
      </c>
      <c r="H51" s="0" t="n">
        <f aca="false">VLOOKUP(B51,clasif_filas!$A$1:$J$39,7,FALSE())</f>
        <v>8</v>
      </c>
      <c r="I51" s="0" t="str">
        <f aca="false">VLOOKUP(B51,clasif_filas!$A$1:$J$39,8,FALSE())</f>
        <v>Servicios prestados a las empresas y servicios de producción</v>
      </c>
      <c r="J51" s="0" t="n">
        <f aca="false">VLOOKUP(B51,clasif_filas!$A$1:$J$39,9,FALSE())</f>
        <v>2</v>
      </c>
      <c r="K51" s="18" t="str">
        <f aca="false">VLOOKUP(B51,clasif_filas!$A$1:$J$39,10,FALSE())</f>
        <v>Bioeconomía extendida</v>
      </c>
    </row>
    <row r="52" customFormat="false" ht="25.55" hidden="false" customHeight="false" outlineLevel="0" collapsed="false">
      <c r="A52" s="17" t="s">
        <v>148</v>
      </c>
      <c r="B52" s="0" t="n">
        <v>6</v>
      </c>
      <c r="C52" s="0" t="str">
        <f aca="false">VLOOKUP(B52,clasif_filas!$A$1:$J$39,2,FALSE())</f>
        <v>Otros servicios</v>
      </c>
      <c r="D52" s="0" t="n">
        <f aca="false">VLOOKUP(B52,clasif_filas!$A$1:$J$39,3,FALSE())</f>
        <v>6</v>
      </c>
      <c r="E52" s="0" t="str">
        <f aca="false">VLOOKUP(B52,clasif_filas!$A$1:$J$39,4,FALSE())</f>
        <v>Otros servicios</v>
      </c>
      <c r="F52" s="0" t="n">
        <f aca="false">VLOOKUP(B52,clasif_filas!$A$1:$J$39,5,FALSE())</f>
        <v>99</v>
      </c>
      <c r="G52" s="0" t="str">
        <f aca="false">VLOOKUP(B52,clasif_filas!$A$1:$J$39,6,FALSE())</f>
        <v>No Bioeconomía</v>
      </c>
      <c r="H52" s="0" t="n">
        <f aca="false">VLOOKUP(B52,clasif_filas!$A$1:$J$39,7,FALSE())</f>
        <v>6</v>
      </c>
      <c r="I52" s="0" t="str">
        <f aca="false">VLOOKUP(B52,clasif_filas!$A$1:$J$39,8,FALSE())</f>
        <v>Servicios comerciales de distribución; alojamiento, servicios de suministro de comidas y bebidas; servicios de transporte; y servicios de distribución de electricidad, gas y agua</v>
      </c>
      <c r="J52" s="0" t="n">
        <f aca="false">VLOOKUP(B52,clasif_filas!$A$1:$J$39,9,FALSE())</f>
        <v>3</v>
      </c>
      <c r="K52" s="18" t="str">
        <f aca="false">VLOOKUP(B52,clasif_filas!$A$1:$J$39,10,FALSE())</f>
        <v>No bioeconomía</v>
      </c>
    </row>
    <row r="53" customFormat="false" ht="37.55" hidden="false" customHeight="false" outlineLevel="0" collapsed="false">
      <c r="A53" s="17" t="s">
        <v>150</v>
      </c>
      <c r="B53" s="0" t="n">
        <v>83</v>
      </c>
      <c r="C53" s="0" t="str">
        <f aca="false">VLOOKUP(B53,clasif_filas!$A$1:$J$39,2,FALSE())</f>
        <v>Otros servicios profesionales, científicos y técnicos</v>
      </c>
      <c r="D53" s="0" t="n">
        <f aca="false">VLOOKUP(B53,clasif_filas!$A$1:$J$39,3,FALSE())</f>
        <v>83</v>
      </c>
      <c r="E53" s="0" t="str">
        <f aca="false">VLOOKUP(B53,clasif_filas!$A$1:$J$39,4,FALSE())</f>
        <v>Otros servicios profesionales, científicos y técnicos</v>
      </c>
      <c r="F53" s="0" t="n">
        <f aca="false">VLOOKUP(B53,clasif_filas!$A$1:$J$39,5,FALSE())</f>
        <v>6</v>
      </c>
      <c r="G53" s="0" t="str">
        <f aca="false">VLOOKUP(B53,clasif_filas!$A$1:$J$39,6,FALSE())</f>
        <v>Conocimiento, procesos y servicios relacionados</v>
      </c>
      <c r="H53" s="0" t="n">
        <f aca="false">VLOOKUP(B53,clasif_filas!$A$1:$J$39,7,FALSE())</f>
        <v>8</v>
      </c>
      <c r="I53" s="0" t="str">
        <f aca="false">VLOOKUP(B53,clasif_filas!$A$1:$J$39,8,FALSE())</f>
        <v>Servicios prestados a las empresas y servicios de producción</v>
      </c>
      <c r="J53" s="0" t="n">
        <f aca="false">VLOOKUP(B53,clasif_filas!$A$1:$J$39,9,FALSE())</f>
        <v>2</v>
      </c>
      <c r="K53" s="18" t="str">
        <f aca="false">VLOOKUP(B53,clasif_filas!$A$1:$J$39,10,FALSE())</f>
        <v>Bioeconomía extendida</v>
      </c>
    </row>
    <row r="54" customFormat="false" ht="61.65" hidden="false" customHeight="false" outlineLevel="0" collapsed="false">
      <c r="A54" s="17" t="s">
        <v>152</v>
      </c>
      <c r="B54" s="0" t="n">
        <v>6</v>
      </c>
      <c r="C54" s="0" t="str">
        <f aca="false">VLOOKUP(B54,clasif_filas!$A$1:$J$39,2,FALSE())</f>
        <v>Otros servicios</v>
      </c>
      <c r="D54" s="0" t="n">
        <f aca="false">VLOOKUP(B54,clasif_filas!$A$1:$J$39,3,FALSE())</f>
        <v>6</v>
      </c>
      <c r="E54" s="0" t="str">
        <f aca="false">VLOOKUP(B54,clasif_filas!$A$1:$J$39,4,FALSE())</f>
        <v>Otros servicios</v>
      </c>
      <c r="F54" s="0" t="n">
        <f aca="false">VLOOKUP(B54,clasif_filas!$A$1:$J$39,5,FALSE())</f>
        <v>99</v>
      </c>
      <c r="G54" s="0" t="str">
        <f aca="false">VLOOKUP(B54,clasif_filas!$A$1:$J$39,6,FALSE())</f>
        <v>No Bioeconomía</v>
      </c>
      <c r="H54" s="0" t="n">
        <f aca="false">VLOOKUP(B54,clasif_filas!$A$1:$J$39,7,FALSE())</f>
        <v>6</v>
      </c>
      <c r="I54" s="0" t="str">
        <f aca="false">VLOOKUP(B54,clasif_filas!$A$1:$J$39,8,FALSE())</f>
        <v>Servicios comerciales de distribución; alojamiento, servicios de suministro de comidas y bebidas; servicios de transporte; y servicios de distribución de electricidad, gas y agua</v>
      </c>
      <c r="J54" s="0" t="n">
        <f aca="false">VLOOKUP(B54,clasif_filas!$A$1:$J$39,9,FALSE())</f>
        <v>3</v>
      </c>
      <c r="K54" s="18" t="str">
        <f aca="false">VLOOKUP(B54,clasif_filas!$A$1:$J$39,10,FALSE())</f>
        <v>No bioeconomía</v>
      </c>
    </row>
    <row r="55" customFormat="false" ht="14.25" hidden="false" customHeight="false" outlineLevel="0" collapsed="false">
      <c r="A55" s="17" t="s">
        <v>154</v>
      </c>
      <c r="B55" s="0" t="n">
        <v>6</v>
      </c>
      <c r="C55" s="0" t="str">
        <f aca="false">VLOOKUP(B55,clasif_filas!$A$1:$J$39,2,FALSE())</f>
        <v>Otros servicios</v>
      </c>
      <c r="D55" s="0" t="n">
        <f aca="false">VLOOKUP(B55,clasif_filas!$A$1:$J$39,3,FALSE())</f>
        <v>6</v>
      </c>
      <c r="E55" s="0" t="str">
        <f aca="false">VLOOKUP(B55,clasif_filas!$A$1:$J$39,4,FALSE())</f>
        <v>Otros servicios</v>
      </c>
      <c r="F55" s="0" t="n">
        <f aca="false">VLOOKUP(B55,clasif_filas!$A$1:$J$39,5,FALSE())</f>
        <v>99</v>
      </c>
      <c r="G55" s="0" t="str">
        <f aca="false">VLOOKUP(B55,clasif_filas!$A$1:$J$39,6,FALSE())</f>
        <v>No Bioeconomía</v>
      </c>
      <c r="H55" s="0" t="n">
        <f aca="false">VLOOKUP(B55,clasif_filas!$A$1:$J$39,7,FALSE())</f>
        <v>6</v>
      </c>
      <c r="I55" s="0" t="str">
        <f aca="false">VLOOKUP(B55,clasif_filas!$A$1:$J$39,8,FALSE())</f>
        <v>Servicios comerciales de distribución; alojamiento, servicios de suministro de comidas y bebidas; servicios de transporte; y servicios de distribución de electricidad, gas y agua</v>
      </c>
      <c r="J55" s="0" t="n">
        <f aca="false">VLOOKUP(B55,clasif_filas!$A$1:$J$39,9,FALSE())</f>
        <v>3</v>
      </c>
      <c r="K55" s="18" t="str">
        <f aca="false">VLOOKUP(B55,clasif_filas!$A$1:$J$39,10,FALSE())</f>
        <v>No bioeconomía</v>
      </c>
    </row>
    <row r="56" customFormat="false" ht="61.65" hidden="false" customHeight="false" outlineLevel="0" collapsed="false">
      <c r="A56" s="17" t="s">
        <v>156</v>
      </c>
      <c r="B56" s="0" t="n">
        <v>86</v>
      </c>
      <c r="C56" s="0" t="str">
        <f aca="false">VLOOKUP(B56,clasif_filas!$A$1:$J$39,2,FALSE())</f>
        <v>Servicios de apoyo a la agricultura,la caza, la silvicutura, la pesca, la minería y los servicios públicos</v>
      </c>
      <c r="D56" s="0" t="n">
        <f aca="false">VLOOKUP(B56,clasif_filas!$A$1:$J$39,3,FALSE())</f>
        <v>86</v>
      </c>
      <c r="E56" s="0" t="str">
        <f aca="false">VLOOKUP(B56,clasif_filas!$A$1:$J$39,4,FALSE())</f>
        <v>Servicios de apoyo a la agricultura,la caza, la silvicutura, la pesca, la minería y los servicios públicos</v>
      </c>
      <c r="F56" s="0" t="n">
        <f aca="false">VLOOKUP(B56,clasif_filas!$A$1:$J$39,5,FALSE())</f>
        <v>6</v>
      </c>
      <c r="G56" s="0" t="str">
        <f aca="false">VLOOKUP(B56,clasif_filas!$A$1:$J$39,6,FALSE())</f>
        <v>Conocimiento, procesos y servicios relacionados</v>
      </c>
      <c r="H56" s="0" t="n">
        <f aca="false">VLOOKUP(B56,clasif_filas!$A$1:$J$39,7,FALSE())</f>
        <v>8</v>
      </c>
      <c r="I56" s="0" t="str">
        <f aca="false">VLOOKUP(B56,clasif_filas!$A$1:$J$39,8,FALSE())</f>
        <v>Servicios prestados a las empresas y servicios de producción</v>
      </c>
      <c r="J56" s="0" t="n">
        <f aca="false">VLOOKUP(B56,clasif_filas!$A$1:$J$39,9,FALSE())</f>
        <v>2</v>
      </c>
      <c r="K56" s="18" t="str">
        <f aca="false">VLOOKUP(B56,clasif_filas!$A$1:$J$39,10,FALSE())</f>
        <v>Bioeconomía extendida</v>
      </c>
    </row>
    <row r="57" customFormat="false" ht="73.65" hidden="false" customHeight="false" outlineLevel="0" collapsed="false">
      <c r="A57" s="17" t="s">
        <v>158</v>
      </c>
      <c r="B57" s="0" t="n">
        <v>6</v>
      </c>
      <c r="C57" s="0" t="str">
        <f aca="false">VLOOKUP(B57,clasif_filas!$A$1:$J$39,2,FALSE())</f>
        <v>Otros servicios</v>
      </c>
      <c r="D57" s="0" t="n">
        <f aca="false">VLOOKUP(B57,clasif_filas!$A$1:$J$39,3,FALSE())</f>
        <v>6</v>
      </c>
      <c r="E57" s="0" t="str">
        <f aca="false">VLOOKUP(B57,clasif_filas!$A$1:$J$39,4,FALSE())</f>
        <v>Otros servicios</v>
      </c>
      <c r="F57" s="0" t="n">
        <f aca="false">VLOOKUP(B57,clasif_filas!$A$1:$J$39,5,FALSE())</f>
        <v>99</v>
      </c>
      <c r="G57" s="0" t="str">
        <f aca="false">VLOOKUP(B57,clasif_filas!$A$1:$J$39,6,FALSE())</f>
        <v>No Bioeconomía</v>
      </c>
      <c r="H57" s="0" t="n">
        <f aca="false">VLOOKUP(B57,clasif_filas!$A$1:$J$39,7,FALSE())</f>
        <v>6</v>
      </c>
      <c r="I57" s="0" t="str">
        <f aca="false">VLOOKUP(B57,clasif_filas!$A$1:$J$39,8,FALSE())</f>
        <v>Servicios comerciales de distribución; alojamiento, servicios de suministro de comidas y bebidas; servicios de transporte; y servicios de distribución de electricidad, gas y agua</v>
      </c>
      <c r="J57" s="0" t="n">
        <f aca="false">VLOOKUP(B57,clasif_filas!$A$1:$J$39,9,FALSE())</f>
        <v>3</v>
      </c>
      <c r="K57" s="18" t="str">
        <f aca="false">VLOOKUP(B57,clasif_filas!$A$1:$J$39,10,FALSE())</f>
        <v>No bioeconomía</v>
      </c>
    </row>
    <row r="58" customFormat="false" ht="61.65" hidden="false" customHeight="false" outlineLevel="0" collapsed="false">
      <c r="A58" s="17" t="s">
        <v>160</v>
      </c>
      <c r="B58" s="0" t="n">
        <v>6</v>
      </c>
      <c r="C58" s="0" t="str">
        <f aca="false">VLOOKUP(B58,clasif_filas!$A$1:$J$39,2,FALSE())</f>
        <v>Otros servicios</v>
      </c>
      <c r="D58" s="0" t="n">
        <f aca="false">VLOOKUP(B58,clasif_filas!$A$1:$J$39,3,FALSE())</f>
        <v>6</v>
      </c>
      <c r="E58" s="0" t="str">
        <f aca="false">VLOOKUP(B58,clasif_filas!$A$1:$J$39,4,FALSE())</f>
        <v>Otros servicios</v>
      </c>
      <c r="F58" s="0" t="n">
        <f aca="false">VLOOKUP(B58,clasif_filas!$A$1:$J$39,5,FALSE())</f>
        <v>99</v>
      </c>
      <c r="G58" s="0" t="str">
        <f aca="false">VLOOKUP(B58,clasif_filas!$A$1:$J$39,6,FALSE())</f>
        <v>No Bioeconomía</v>
      </c>
      <c r="H58" s="0" t="n">
        <f aca="false">VLOOKUP(B58,clasif_filas!$A$1:$J$39,7,FALSE())</f>
        <v>6</v>
      </c>
      <c r="I58" s="0" t="str">
        <f aca="false">VLOOKUP(B58,clasif_filas!$A$1:$J$39,8,FALSE())</f>
        <v>Servicios comerciales de distribución; alojamiento, servicios de suministro de comidas y bebidas; servicios de transporte; y servicios de distribución de electricidad, gas y agua</v>
      </c>
      <c r="J58" s="0" t="n">
        <f aca="false">VLOOKUP(B58,clasif_filas!$A$1:$J$39,9,FALSE())</f>
        <v>3</v>
      </c>
      <c r="K58" s="18" t="str">
        <f aca="false">VLOOKUP(B58,clasif_filas!$A$1:$J$39,10,FALSE())</f>
        <v>No bioeconomía</v>
      </c>
    </row>
    <row r="59" customFormat="false" ht="97.7" hidden="false" customHeight="false" outlineLevel="0" collapsed="false">
      <c r="A59" s="17" t="s">
        <v>162</v>
      </c>
      <c r="B59" s="0" t="n">
        <v>6</v>
      </c>
      <c r="C59" s="0" t="str">
        <f aca="false">VLOOKUP(B59,clasif_filas!$A$1:$J$39,2,FALSE())</f>
        <v>Otros servicios</v>
      </c>
      <c r="D59" s="0" t="n">
        <f aca="false">VLOOKUP(B59,clasif_filas!$A$1:$J$39,3,FALSE())</f>
        <v>6</v>
      </c>
      <c r="E59" s="0" t="str">
        <f aca="false">VLOOKUP(B59,clasif_filas!$A$1:$J$39,4,FALSE())</f>
        <v>Otros servicios</v>
      </c>
      <c r="F59" s="0" t="n">
        <f aca="false">VLOOKUP(B59,clasif_filas!$A$1:$J$39,5,FALSE())</f>
        <v>99</v>
      </c>
      <c r="G59" s="0" t="str">
        <f aca="false">VLOOKUP(B59,clasif_filas!$A$1:$J$39,6,FALSE())</f>
        <v>No Bioeconomía</v>
      </c>
      <c r="H59" s="0" t="n">
        <f aca="false">VLOOKUP(B59,clasif_filas!$A$1:$J$39,7,FALSE())</f>
        <v>6</v>
      </c>
      <c r="I59" s="0" t="str">
        <f aca="false">VLOOKUP(B59,clasif_filas!$A$1:$J$39,8,FALSE())</f>
        <v>Servicios comerciales de distribución; alojamiento, servicios de suministro de comidas y bebidas; servicios de transporte; y servicios de distribución de electricidad, gas y agua</v>
      </c>
      <c r="J59" s="0" t="n">
        <f aca="false">VLOOKUP(B59,clasif_filas!$A$1:$J$39,9,FALSE())</f>
        <v>3</v>
      </c>
      <c r="K59" s="18" t="str">
        <f aca="false">VLOOKUP(B59,clasif_filas!$A$1:$J$39,10,FALSE())</f>
        <v>No bioeconomía</v>
      </c>
    </row>
    <row r="60" customFormat="false" ht="97.7" hidden="false" customHeight="false" outlineLevel="0" collapsed="false">
      <c r="A60" s="17" t="s">
        <v>164</v>
      </c>
      <c r="B60" s="0" t="n">
        <v>6</v>
      </c>
      <c r="C60" s="0" t="str">
        <f aca="false">VLOOKUP(B60,clasif_filas!$A$1:$J$39,2,FALSE())</f>
        <v>Otros servicios</v>
      </c>
      <c r="D60" s="0" t="n">
        <f aca="false">VLOOKUP(B60,clasif_filas!$A$1:$J$39,3,FALSE())</f>
        <v>6</v>
      </c>
      <c r="E60" s="0" t="str">
        <f aca="false">VLOOKUP(B60,clasif_filas!$A$1:$J$39,4,FALSE())</f>
        <v>Otros servicios</v>
      </c>
      <c r="F60" s="0" t="n">
        <f aca="false">VLOOKUP(B60,clasif_filas!$A$1:$J$39,5,FALSE())</f>
        <v>99</v>
      </c>
      <c r="G60" s="0" t="str">
        <f aca="false">VLOOKUP(B60,clasif_filas!$A$1:$J$39,6,FALSE())</f>
        <v>No Bioeconomía</v>
      </c>
      <c r="H60" s="0" t="n">
        <f aca="false">VLOOKUP(B60,clasif_filas!$A$1:$J$39,7,FALSE())</f>
        <v>6</v>
      </c>
      <c r="I60" s="0" t="str">
        <f aca="false">VLOOKUP(B60,clasif_filas!$A$1:$J$39,8,FALSE())</f>
        <v>Servicios comerciales de distribución; alojamiento, servicios de suministro de comidas y bebidas; servicios de transporte; y servicios de distribución de electricidad, gas y agua</v>
      </c>
      <c r="J60" s="0" t="n">
        <f aca="false">VLOOKUP(B60,clasif_filas!$A$1:$J$39,9,FALSE())</f>
        <v>3</v>
      </c>
      <c r="K60" s="18" t="str">
        <f aca="false">VLOOKUP(B60,clasif_filas!$A$1:$J$39,10,FALSE())</f>
        <v>No bioeconomía</v>
      </c>
    </row>
    <row r="61" customFormat="false" ht="25.55" hidden="false" customHeight="false" outlineLevel="0" collapsed="false">
      <c r="A61" s="17" t="s">
        <v>166</v>
      </c>
      <c r="B61" s="0" t="n">
        <v>6</v>
      </c>
      <c r="C61" s="0" t="str">
        <f aca="false">VLOOKUP(B61,clasif_filas!$A$1:$J$39,2,FALSE())</f>
        <v>Otros servicios</v>
      </c>
      <c r="D61" s="0" t="n">
        <f aca="false">VLOOKUP(B61,clasif_filas!$A$1:$J$39,3,FALSE())</f>
        <v>6</v>
      </c>
      <c r="E61" s="0" t="str">
        <f aca="false">VLOOKUP(B61,clasif_filas!$A$1:$J$39,4,FALSE())</f>
        <v>Otros servicios</v>
      </c>
      <c r="F61" s="0" t="n">
        <f aca="false">VLOOKUP(B61,clasif_filas!$A$1:$J$39,5,FALSE())</f>
        <v>99</v>
      </c>
      <c r="G61" s="0" t="str">
        <f aca="false">VLOOKUP(B61,clasif_filas!$A$1:$J$39,6,FALSE())</f>
        <v>No Bioeconomía</v>
      </c>
      <c r="H61" s="0" t="n">
        <f aca="false">VLOOKUP(B61,clasif_filas!$A$1:$J$39,7,FALSE())</f>
        <v>6</v>
      </c>
      <c r="I61" s="0" t="str">
        <f aca="false">VLOOKUP(B61,clasif_filas!$A$1:$J$39,8,FALSE())</f>
        <v>Servicios comerciales de distribución; alojamiento, servicios de suministro de comidas y bebidas; servicios de transporte; y servicios de distribución de electricidad, gas y agua</v>
      </c>
      <c r="J61" s="0" t="n">
        <f aca="false">VLOOKUP(B61,clasif_filas!$A$1:$J$39,9,FALSE())</f>
        <v>3</v>
      </c>
      <c r="K61" s="18" t="str">
        <f aca="false">VLOOKUP(B61,clasif_filas!$A$1:$J$39,10,FALSE())</f>
        <v>No bioeconomía</v>
      </c>
    </row>
    <row r="62" customFormat="false" ht="49.6" hidden="false" customHeight="false" outlineLevel="0" collapsed="false">
      <c r="A62" s="17" t="s">
        <v>168</v>
      </c>
      <c r="B62" s="0" t="n">
        <v>6</v>
      </c>
      <c r="C62" s="0" t="str">
        <f aca="false">VLOOKUP(B62,clasif_filas!$A$1:$J$39,2,FALSE())</f>
        <v>Otros servicios</v>
      </c>
      <c r="D62" s="0" t="n">
        <f aca="false">VLOOKUP(B62,clasif_filas!$A$1:$J$39,3,FALSE())</f>
        <v>6</v>
      </c>
      <c r="E62" s="0" t="str">
        <f aca="false">VLOOKUP(B62,clasif_filas!$A$1:$J$39,4,FALSE())</f>
        <v>Otros servicios</v>
      </c>
      <c r="F62" s="0" t="n">
        <f aca="false">VLOOKUP(B62,clasif_filas!$A$1:$J$39,5,FALSE())</f>
        <v>99</v>
      </c>
      <c r="G62" s="0" t="str">
        <f aca="false">VLOOKUP(B62,clasif_filas!$A$1:$J$39,6,FALSE())</f>
        <v>No Bioeconomía</v>
      </c>
      <c r="H62" s="0" t="n">
        <f aca="false">VLOOKUP(B62,clasif_filas!$A$1:$J$39,7,FALSE())</f>
        <v>6</v>
      </c>
      <c r="I62" s="0" t="str">
        <f aca="false">VLOOKUP(B62,clasif_filas!$A$1:$J$39,8,FALSE())</f>
        <v>Servicios comerciales de distribución; alojamiento, servicios de suministro de comidas y bebidas; servicios de transporte; y servicios de distribución de electricidad, gas y agua</v>
      </c>
      <c r="J62" s="0" t="n">
        <f aca="false">VLOOKUP(B62,clasif_filas!$A$1:$J$39,9,FALSE())</f>
        <v>3</v>
      </c>
      <c r="K62" s="18" t="str">
        <f aca="false">VLOOKUP(B62,clasif_filas!$A$1:$J$39,10,FALSE())</f>
        <v>No bioeconomía</v>
      </c>
    </row>
    <row r="63" customFormat="false" ht="109.75" hidden="false" customHeight="false" outlineLevel="0" collapsed="false">
      <c r="A63" s="17" t="s">
        <v>170</v>
      </c>
      <c r="B63" s="0" t="n">
        <v>94</v>
      </c>
      <c r="C63" s="0" t="str">
        <f aca="false">VLOOKUP(B63,clasif_filas!$A$1:$J$39,2,FALSE())</f>
        <v>Servicios de alcantarillado, recolección, tratamiento y disposición de desechos y otros servicios de saneamiento ambiental</v>
      </c>
      <c r="D63" s="0" t="n">
        <f aca="false">VLOOKUP(B63,clasif_filas!$A$1:$J$39,3,FALSE())</f>
        <v>94</v>
      </c>
      <c r="E63" s="0" t="str">
        <f aca="false">VLOOKUP(B63,clasif_filas!$A$1:$J$39,4,FALSE())</f>
        <v>Servicios de alcantarillado, recolección, tratamiento y disposición de desechos y otros servicios de saneamiento ambiental</v>
      </c>
      <c r="F63" s="0" t="n">
        <f aca="false">VLOOKUP(B63,clasif_filas!$A$1:$J$39,5,FALSE())</f>
        <v>4</v>
      </c>
      <c r="G63" s="0" t="str">
        <f aca="false">VLOOKUP(B63,clasif_filas!$A$1:$J$39,6,FALSE())</f>
        <v>Biomasa residual en los sectores agropecuario, pesca y acuacultura, forestal y agroindustrial</v>
      </c>
      <c r="H63" s="0" t="n">
        <f aca="false">VLOOKUP(B63,clasif_filas!$A$1:$J$39,7,FALSE())</f>
        <v>9</v>
      </c>
      <c r="I63" s="0" t="str">
        <f aca="false">VLOOKUP(B63,clasif_filas!$A$1:$J$39,8,FALSE())</f>
        <v>Servicios para la comunidad, sociales y personales</v>
      </c>
      <c r="J63" s="0" t="n">
        <f aca="false">VLOOKUP(B63,clasif_filas!$A$1:$J$39,9,FALSE())</f>
        <v>2</v>
      </c>
      <c r="K63" s="18" t="str">
        <f aca="false">VLOOKUP(B63,clasif_filas!$A$1:$J$39,10,FALSE())</f>
        <v>Bioeconomía extendida</v>
      </c>
    </row>
    <row r="64" customFormat="false" ht="25.55" hidden="false" customHeight="false" outlineLevel="0" collapsed="false">
      <c r="A64" s="17" t="s">
        <v>172</v>
      </c>
      <c r="B64" s="0" t="n">
        <v>6</v>
      </c>
      <c r="C64" s="0" t="str">
        <f aca="false">VLOOKUP(B64,clasif_filas!$A$1:$J$39,2,FALSE())</f>
        <v>Otros servicios</v>
      </c>
      <c r="D64" s="0" t="n">
        <f aca="false">VLOOKUP(B64,clasif_filas!$A$1:$J$39,3,FALSE())</f>
        <v>6</v>
      </c>
      <c r="E64" s="0" t="str">
        <f aca="false">VLOOKUP(B64,clasif_filas!$A$1:$J$39,4,FALSE())</f>
        <v>Otros servicios</v>
      </c>
      <c r="F64" s="0" t="n">
        <f aca="false">VLOOKUP(B64,clasif_filas!$A$1:$J$39,5,FALSE())</f>
        <v>99</v>
      </c>
      <c r="G64" s="0" t="str">
        <f aca="false">VLOOKUP(B64,clasif_filas!$A$1:$J$39,6,FALSE())</f>
        <v>No Bioeconomía</v>
      </c>
      <c r="H64" s="0" t="n">
        <f aca="false">VLOOKUP(B64,clasif_filas!$A$1:$J$39,7,FALSE())</f>
        <v>6</v>
      </c>
      <c r="I64" s="0" t="str">
        <f aca="false">VLOOKUP(B64,clasif_filas!$A$1:$J$39,8,FALSE())</f>
        <v>Servicios comerciales de distribución; alojamiento, servicios de suministro de comidas y bebidas; servicios de transporte; y servicios de distribución de electricidad, gas y agua</v>
      </c>
      <c r="J64" s="0" t="n">
        <f aca="false">VLOOKUP(B64,clasif_filas!$A$1:$J$39,9,FALSE())</f>
        <v>3</v>
      </c>
      <c r="K64" s="18" t="str">
        <f aca="false">VLOOKUP(B64,clasif_filas!$A$1:$J$39,10,FALSE())</f>
        <v>No bioeconomía</v>
      </c>
    </row>
    <row r="65" customFormat="false" ht="49.6" hidden="false" customHeight="false" outlineLevel="0" collapsed="false">
      <c r="A65" s="17" t="s">
        <v>174</v>
      </c>
      <c r="B65" s="0" t="n">
        <v>6</v>
      </c>
      <c r="C65" s="0" t="str">
        <f aca="false">VLOOKUP(B65,clasif_filas!$A$1:$J$39,2,FALSE())</f>
        <v>Otros servicios</v>
      </c>
      <c r="D65" s="0" t="n">
        <f aca="false">VLOOKUP(B65,clasif_filas!$A$1:$J$39,3,FALSE())</f>
        <v>6</v>
      </c>
      <c r="E65" s="0" t="str">
        <f aca="false">VLOOKUP(B65,clasif_filas!$A$1:$J$39,4,FALSE())</f>
        <v>Otros servicios</v>
      </c>
      <c r="F65" s="0" t="n">
        <f aca="false">VLOOKUP(B65,clasif_filas!$A$1:$J$39,5,FALSE())</f>
        <v>99</v>
      </c>
      <c r="G65" s="0" t="str">
        <f aca="false">VLOOKUP(B65,clasif_filas!$A$1:$J$39,6,FALSE())</f>
        <v>No Bioeconomía</v>
      </c>
      <c r="H65" s="0" t="n">
        <f aca="false">VLOOKUP(B65,clasif_filas!$A$1:$J$39,7,FALSE())</f>
        <v>6</v>
      </c>
      <c r="I65" s="0" t="str">
        <f aca="false">VLOOKUP(B65,clasif_filas!$A$1:$J$39,8,FALSE())</f>
        <v>Servicios comerciales de distribución; alojamiento, servicios de suministro de comidas y bebidas; servicios de transporte; y servicios de distribución de electricidad, gas y agua</v>
      </c>
      <c r="J65" s="0" t="n">
        <f aca="false">VLOOKUP(B65,clasif_filas!$A$1:$J$39,9,FALSE())</f>
        <v>3</v>
      </c>
      <c r="K65" s="18" t="str">
        <f aca="false">VLOOKUP(B65,clasif_filas!$A$1:$J$39,10,FALSE())</f>
        <v>No bioeconomía</v>
      </c>
    </row>
    <row r="66" customFormat="false" ht="25.55" hidden="false" customHeight="false" outlineLevel="0" collapsed="false">
      <c r="A66" s="17" t="s">
        <v>176</v>
      </c>
      <c r="B66" s="0" t="n">
        <v>6</v>
      </c>
      <c r="C66" s="0" t="str">
        <f aca="false">VLOOKUP(B66,clasif_filas!$A$1:$J$39,2,FALSE())</f>
        <v>Otros servicios</v>
      </c>
      <c r="D66" s="0" t="n">
        <f aca="false">VLOOKUP(B66,clasif_filas!$A$1:$J$39,3,FALSE())</f>
        <v>6</v>
      </c>
      <c r="E66" s="0" t="str">
        <f aca="false">VLOOKUP(B66,clasif_filas!$A$1:$J$39,4,FALSE())</f>
        <v>Otros servicios</v>
      </c>
      <c r="F66" s="0" t="n">
        <f aca="false">VLOOKUP(B66,clasif_filas!$A$1:$J$39,5,FALSE())</f>
        <v>99</v>
      </c>
      <c r="G66" s="0" t="str">
        <f aca="false">VLOOKUP(B66,clasif_filas!$A$1:$J$39,6,FALSE())</f>
        <v>No Bioeconomía</v>
      </c>
      <c r="H66" s="0" t="n">
        <f aca="false">VLOOKUP(B66,clasif_filas!$A$1:$J$39,7,FALSE())</f>
        <v>6</v>
      </c>
      <c r="I66" s="0" t="str">
        <f aca="false">VLOOKUP(B66,clasif_filas!$A$1:$J$39,8,FALSE())</f>
        <v>Servicios comerciales de distribución; alojamiento, servicios de suministro de comidas y bebidas; servicios de transporte; y servicios de distribución de electricidad, gas y agua</v>
      </c>
      <c r="J66" s="0" t="n">
        <f aca="false">VLOOKUP(B66,clasif_filas!$A$1:$J$39,9,FALSE())</f>
        <v>3</v>
      </c>
      <c r="K66" s="18" t="str">
        <f aca="false">VLOOKUP(B66,clasif_filas!$A$1:$J$39,10,FALSE())</f>
        <v>No bioeconomía</v>
      </c>
    </row>
    <row r="67" customFormat="false" ht="14.25" hidden="false" customHeight="false" outlineLevel="0" collapsed="false">
      <c r="A67" s="17" t="s">
        <v>178</v>
      </c>
      <c r="B67" s="0" t="n">
        <v>6</v>
      </c>
      <c r="C67" s="0" t="str">
        <f aca="false">VLOOKUP(B67,clasif_filas!$A$1:$J$39,2,FALSE())</f>
        <v>Otros servicios</v>
      </c>
      <c r="D67" s="0" t="n">
        <f aca="false">VLOOKUP(B67,clasif_filas!$A$1:$J$39,3,FALSE())</f>
        <v>6</v>
      </c>
      <c r="E67" s="0" t="str">
        <f aca="false">VLOOKUP(B67,clasif_filas!$A$1:$J$39,4,FALSE())</f>
        <v>Otros servicios</v>
      </c>
      <c r="F67" s="0" t="n">
        <f aca="false">VLOOKUP(B67,clasif_filas!$A$1:$J$39,5,FALSE())</f>
        <v>99</v>
      </c>
      <c r="G67" s="0" t="str">
        <f aca="false">VLOOKUP(B67,clasif_filas!$A$1:$J$39,6,FALSE())</f>
        <v>No Bioeconomía</v>
      </c>
      <c r="H67" s="0" t="n">
        <f aca="false">VLOOKUP(B67,clasif_filas!$A$1:$J$39,7,FALSE())</f>
        <v>6</v>
      </c>
      <c r="I67" s="0" t="str">
        <f aca="false">VLOOKUP(B67,clasif_filas!$A$1:$J$39,8,FALSE())</f>
        <v>Servicios comerciales de distribución; alojamiento, servicios de suministro de comidas y bebidas; servicios de transporte; y servicios de distribución de electricidad, gas y agua</v>
      </c>
      <c r="J67" s="0" t="n">
        <f aca="false">VLOOKUP(B67,clasif_filas!$A$1:$J$39,9,FALSE())</f>
        <v>3</v>
      </c>
      <c r="K67" s="18" t="str">
        <f aca="false">VLOOKUP(B67,clasif_filas!$A$1:$J$39,10,FALSE())</f>
        <v>No bioeconomía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2022-10-18T17:15:59Z</dcterms:created>
  <dc:creator>Renato Vargas</dc:creator>
  <dc:description/>
  <dc:language>en-US</dc:language>
  <cp:lastModifiedBy/>
  <dcterms:modified xsi:type="dcterms:W3CDTF">2026-03-20T20:15:57Z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