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ows" sheetId="1" state="visible" r:id="rId3"/>
    <sheet name="columns" sheetId="2" state="visible" r:id="rId4"/>
    <sheet name="quadrants" sheetId="3" state="visible" r:id="rId5"/>
    <sheet name="columnas" sheetId="4" state="visible" r:id="rId6"/>
    <sheet name="Correl CIIU" sheetId="5" state="visible" r:id="rId7"/>
    <sheet name="transacciones " sheetId="6" state="visible" r:id="rId8"/>
    <sheet name="bio" sheetId="7" state="visible" r:id="rId9"/>
    <sheet name="at_columnas" sheetId="8" state="visible" r:id="rId10"/>
    <sheet name="filas" sheetId="9" state="visible" r:id="rId11"/>
    <sheet name="Base_filas" sheetId="10" state="visible" r:id="rId12"/>
    <sheet name="clasif_filas" sheetId="11" state="visible" r:id="rId13"/>
    <sheet name="AT_FILAS" sheetId="12" state="visible" r:id="rId14"/>
  </sheets>
  <definedNames>
    <definedName function="false" hidden="true" localSheetId="9" name="_xlnm._FilterDatabase" vbProcedure="false">Base_filas!$A$1:$K$129</definedName>
    <definedName function="false" hidden="true" localSheetId="3" name="_xlnm._FilterDatabase" vbProcedure="false">columnas!$A$1:$P$224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<sst xmlns="http://schemas.openxmlformats.org/spreadsheetml/2006/main" count="5653" uniqueCount="2143">
  <si>
    <t xml:space="preserve">row_id</t>
  </si>
  <si>
    <t xml:space="preserve">Filas</t>
  </si>
  <si>
    <t xml:space="preserve">bra_v01_q01_r0001</t>
  </si>
  <si>
    <t xml:space="preserve">BRAof001</t>
  </si>
  <si>
    <t xml:space="preserve">bra_v01_q01_r0002</t>
  </si>
  <si>
    <t xml:space="preserve">BRAof002</t>
  </si>
  <si>
    <t xml:space="preserve">bra_v01_q01_r0003</t>
  </si>
  <si>
    <t xml:space="preserve">BRAof003</t>
  </si>
  <si>
    <t xml:space="preserve">bra_v01_q01_r0004</t>
  </si>
  <si>
    <t xml:space="preserve">BRAof004</t>
  </si>
  <si>
    <t xml:space="preserve">bra_v01_q01_r0005</t>
  </si>
  <si>
    <t xml:space="preserve">BRAof005</t>
  </si>
  <si>
    <t xml:space="preserve">bra_v01_q01_r0006</t>
  </si>
  <si>
    <t xml:space="preserve">BRAof006</t>
  </si>
  <si>
    <t xml:space="preserve">bra_v01_q01_r0007</t>
  </si>
  <si>
    <t xml:space="preserve">BRAof007</t>
  </si>
  <si>
    <t xml:space="preserve">bra_v01_q01_r0008</t>
  </si>
  <si>
    <t xml:space="preserve">BRAof008</t>
  </si>
  <si>
    <t xml:space="preserve">bra_v01_q01_r0009</t>
  </si>
  <si>
    <t xml:space="preserve">BRAof009</t>
  </si>
  <si>
    <t xml:space="preserve">bra_v01_q01_r0010</t>
  </si>
  <si>
    <t xml:space="preserve">BRAof010</t>
  </si>
  <si>
    <t xml:space="preserve">bra_v01_q01_r0011</t>
  </si>
  <si>
    <t xml:space="preserve">BRAof011</t>
  </si>
  <si>
    <t xml:space="preserve">bra_v01_q01_r0012</t>
  </si>
  <si>
    <t xml:space="preserve">BRAof012</t>
  </si>
  <si>
    <t xml:space="preserve">bra_v01_q01_r0013</t>
  </si>
  <si>
    <t xml:space="preserve">BRAof013</t>
  </si>
  <si>
    <t xml:space="preserve">bra_v01_q01_r0014</t>
  </si>
  <si>
    <t xml:space="preserve">BRAof014</t>
  </si>
  <si>
    <t xml:space="preserve">bra_v01_q01_r0015</t>
  </si>
  <si>
    <t xml:space="preserve">BRAof015</t>
  </si>
  <si>
    <t xml:space="preserve">bra_v01_q01_r0016</t>
  </si>
  <si>
    <t xml:space="preserve">BRAof016</t>
  </si>
  <si>
    <t xml:space="preserve">bra_v01_q01_r0017</t>
  </si>
  <si>
    <t xml:space="preserve">BRAof017</t>
  </si>
  <si>
    <t xml:space="preserve">bra_v01_q01_r0018</t>
  </si>
  <si>
    <t xml:space="preserve">BRAof018</t>
  </si>
  <si>
    <t xml:space="preserve">bra_v01_q01_r0019</t>
  </si>
  <si>
    <t xml:space="preserve">BRAof019</t>
  </si>
  <si>
    <t xml:space="preserve">bra_v01_q01_r0020</t>
  </si>
  <si>
    <t xml:space="preserve">BRAof020</t>
  </si>
  <si>
    <t xml:space="preserve">bra_v01_q01_r0021</t>
  </si>
  <si>
    <t xml:space="preserve">BRAof021</t>
  </si>
  <si>
    <t xml:space="preserve">bra_v01_q01_r0022</t>
  </si>
  <si>
    <t xml:space="preserve">BRAof022</t>
  </si>
  <si>
    <t xml:space="preserve">bra_v01_q01_r0023</t>
  </si>
  <si>
    <t xml:space="preserve">BRAof023</t>
  </si>
  <si>
    <t xml:space="preserve">bra_v01_q01_r0024</t>
  </si>
  <si>
    <t xml:space="preserve">BRAof024</t>
  </si>
  <si>
    <t xml:space="preserve">bra_v01_q01_r0025</t>
  </si>
  <si>
    <t xml:space="preserve">BRAof025</t>
  </si>
  <si>
    <t xml:space="preserve">bra_v01_q01_r0026</t>
  </si>
  <si>
    <t xml:space="preserve">BRAof026</t>
  </si>
  <si>
    <t xml:space="preserve">bra_v01_q01_r0027</t>
  </si>
  <si>
    <t xml:space="preserve">BRAof027</t>
  </si>
  <si>
    <t xml:space="preserve">bra_v01_q01_r0028</t>
  </si>
  <si>
    <t xml:space="preserve">BRAof028</t>
  </si>
  <si>
    <t xml:space="preserve">bra_v01_q01_r0029</t>
  </si>
  <si>
    <t xml:space="preserve">BRAof029</t>
  </si>
  <si>
    <t xml:space="preserve">bra_v01_q01_r0030</t>
  </si>
  <si>
    <t xml:space="preserve">BRAof030</t>
  </si>
  <si>
    <t xml:space="preserve">bra_v01_q01_r0031</t>
  </si>
  <si>
    <t xml:space="preserve">BRAof031</t>
  </si>
  <si>
    <t xml:space="preserve">bra_v01_q01_r0032</t>
  </si>
  <si>
    <t xml:space="preserve">BRAof032</t>
  </si>
  <si>
    <t xml:space="preserve">bra_v01_q01_r0033</t>
  </si>
  <si>
    <t xml:space="preserve">BRAof033</t>
  </si>
  <si>
    <t xml:space="preserve">bra_v01_q01_r0034</t>
  </si>
  <si>
    <t xml:space="preserve">BRAof034</t>
  </si>
  <si>
    <t xml:space="preserve">bra_v01_q01_r0035</t>
  </si>
  <si>
    <t xml:space="preserve">BRAof035</t>
  </si>
  <si>
    <t xml:space="preserve">bra_v01_q01_r0036</t>
  </si>
  <si>
    <t xml:space="preserve">BRAof036</t>
  </si>
  <si>
    <t xml:space="preserve">bra_v01_q01_r0037</t>
  </si>
  <si>
    <t xml:space="preserve">BRAof037</t>
  </si>
  <si>
    <t xml:space="preserve">bra_v01_q01_r0038</t>
  </si>
  <si>
    <t xml:space="preserve">BRAof038</t>
  </si>
  <si>
    <t xml:space="preserve">bra_v01_q01_r0039</t>
  </si>
  <si>
    <t xml:space="preserve">BRAof039</t>
  </si>
  <si>
    <t xml:space="preserve">bra_v01_q01_r0040</t>
  </si>
  <si>
    <t xml:space="preserve">BRAof040</t>
  </si>
  <si>
    <t xml:space="preserve">bra_v01_q01_r0041</t>
  </si>
  <si>
    <t xml:space="preserve">BRAof041</t>
  </si>
  <si>
    <t xml:space="preserve">bra_v01_q01_r0042</t>
  </si>
  <si>
    <t xml:space="preserve">BRAof042</t>
  </si>
  <si>
    <t xml:space="preserve">bra_v01_q01_r0043</t>
  </si>
  <si>
    <t xml:space="preserve">BRAof043</t>
  </si>
  <si>
    <t xml:space="preserve">bra_v01_q01_r0044</t>
  </si>
  <si>
    <t xml:space="preserve">BRAof044</t>
  </si>
  <si>
    <t xml:space="preserve">bra_v01_q01_r0045</t>
  </si>
  <si>
    <t xml:space="preserve">BRAof045</t>
  </si>
  <si>
    <t xml:space="preserve">bra_v01_q01_r0046</t>
  </si>
  <si>
    <t xml:space="preserve">BRAof046</t>
  </si>
  <si>
    <t xml:space="preserve">bra_v01_q01_r0047</t>
  </si>
  <si>
    <t xml:space="preserve">BRAof047</t>
  </si>
  <si>
    <t xml:space="preserve">bra_v01_q01_r0048</t>
  </si>
  <si>
    <t xml:space="preserve">BRAof048</t>
  </si>
  <si>
    <t xml:space="preserve">bra_v01_q01_r0049</t>
  </si>
  <si>
    <t xml:space="preserve">BRAof049</t>
  </si>
  <si>
    <t xml:space="preserve">bra_v01_q01_r0050</t>
  </si>
  <si>
    <t xml:space="preserve">BRAof050</t>
  </si>
  <si>
    <t xml:space="preserve">bra_v01_q01_r0051</t>
  </si>
  <si>
    <t xml:space="preserve">BRAof051</t>
  </si>
  <si>
    <t xml:space="preserve">bra_v01_q01_r0052</t>
  </si>
  <si>
    <t xml:space="preserve">BRAof052</t>
  </si>
  <si>
    <t xml:space="preserve">bra_v01_q01_r0053</t>
  </si>
  <si>
    <t xml:space="preserve">BRAof053</t>
  </si>
  <si>
    <t xml:space="preserve">bra_v01_q01_r0054</t>
  </si>
  <si>
    <t xml:space="preserve">BRAof054</t>
  </si>
  <si>
    <t xml:space="preserve">bra_v01_q01_r0055</t>
  </si>
  <si>
    <t xml:space="preserve">BRAof055</t>
  </si>
  <si>
    <t xml:space="preserve">bra_v01_q01_r0056</t>
  </si>
  <si>
    <t xml:space="preserve">BRAof056</t>
  </si>
  <si>
    <t xml:space="preserve">bra_v01_q01_r0057</t>
  </si>
  <si>
    <t xml:space="preserve">BRAof057</t>
  </si>
  <si>
    <t xml:space="preserve">bra_v01_q01_r0058</t>
  </si>
  <si>
    <t xml:space="preserve">BRAof058</t>
  </si>
  <si>
    <t xml:space="preserve">bra_v01_q01_r0059</t>
  </si>
  <si>
    <t xml:space="preserve">BRAof059</t>
  </si>
  <si>
    <t xml:space="preserve">bra_v01_q01_r0060</t>
  </si>
  <si>
    <t xml:space="preserve">BRAof060</t>
  </si>
  <si>
    <t xml:space="preserve">bra_v01_q01_r0061</t>
  </si>
  <si>
    <t xml:space="preserve">BRAof061</t>
  </si>
  <si>
    <t xml:space="preserve">bra_v01_q01_r0062</t>
  </si>
  <si>
    <t xml:space="preserve">BRAof062</t>
  </si>
  <si>
    <t xml:space="preserve">bra_v01_q01_r0063</t>
  </si>
  <si>
    <t xml:space="preserve">BRAof063</t>
  </si>
  <si>
    <t xml:space="preserve">bra_v01_q01_r0064</t>
  </si>
  <si>
    <t xml:space="preserve">BRAof064</t>
  </si>
  <si>
    <t xml:space="preserve">bra_v01_q01_r0065</t>
  </si>
  <si>
    <t xml:space="preserve">BRAof065</t>
  </si>
  <si>
    <t xml:space="preserve">bra_v01_q01_r0066</t>
  </si>
  <si>
    <t xml:space="preserve">BRAof066</t>
  </si>
  <si>
    <t xml:space="preserve">bra_v01_q01_r0067</t>
  </si>
  <si>
    <t xml:space="preserve">BRAof067</t>
  </si>
  <si>
    <t xml:space="preserve">bra_v01_q01_r0068</t>
  </si>
  <si>
    <t xml:space="preserve">BRAof068</t>
  </si>
  <si>
    <t xml:space="preserve">bra_v01_q01_r0069</t>
  </si>
  <si>
    <t xml:space="preserve">BRAof069</t>
  </si>
  <si>
    <t xml:space="preserve">bra_v01_q01_r0070</t>
  </si>
  <si>
    <t xml:space="preserve">BRAof070</t>
  </si>
  <si>
    <t xml:space="preserve">bra_v01_q01_r0071</t>
  </si>
  <si>
    <t xml:space="preserve">BRAof071</t>
  </si>
  <si>
    <t xml:space="preserve">bra_v01_q01_r0072</t>
  </si>
  <si>
    <t xml:space="preserve">BRAof072</t>
  </si>
  <si>
    <t xml:space="preserve">bra_v01_q01_r0073</t>
  </si>
  <si>
    <t xml:space="preserve">BRAof073</t>
  </si>
  <si>
    <t xml:space="preserve">bra_v01_q01_r0074</t>
  </si>
  <si>
    <t xml:space="preserve">BRAof074</t>
  </si>
  <si>
    <t xml:space="preserve">bra_v01_q01_r0075</t>
  </si>
  <si>
    <t xml:space="preserve">BRAof075</t>
  </si>
  <si>
    <t xml:space="preserve">bra_v01_q01_r0076</t>
  </si>
  <si>
    <t xml:space="preserve">BRAof076</t>
  </si>
  <si>
    <t xml:space="preserve">bra_v01_q01_r0077</t>
  </si>
  <si>
    <t xml:space="preserve">BRAof077</t>
  </si>
  <si>
    <t xml:space="preserve">bra_v01_q01_r0078</t>
  </si>
  <si>
    <t xml:space="preserve">BRAof078</t>
  </si>
  <si>
    <t xml:space="preserve">bra_v01_q01_r0079</t>
  </si>
  <si>
    <t xml:space="preserve">BRAof079</t>
  </si>
  <si>
    <t xml:space="preserve">bra_v01_q01_r0080</t>
  </si>
  <si>
    <t xml:space="preserve">BRAof080</t>
  </si>
  <si>
    <t xml:space="preserve">bra_v01_q01_r0081</t>
  </si>
  <si>
    <t xml:space="preserve">BRAof081</t>
  </si>
  <si>
    <t xml:space="preserve">bra_v01_q01_r0082</t>
  </si>
  <si>
    <t xml:space="preserve">BRAof082</t>
  </si>
  <si>
    <t xml:space="preserve">bra_v01_q01_r0083</t>
  </si>
  <si>
    <t xml:space="preserve">BRAof083</t>
  </si>
  <si>
    <t xml:space="preserve">bra_v01_q01_r0084</t>
  </si>
  <si>
    <t xml:space="preserve">BRAof084</t>
  </si>
  <si>
    <t xml:space="preserve">bra_v01_q01_r0085</t>
  </si>
  <si>
    <t xml:space="preserve">BRAof085</t>
  </si>
  <si>
    <t xml:space="preserve">bra_v01_q01_r0086</t>
  </si>
  <si>
    <t xml:space="preserve">BRAof086</t>
  </si>
  <si>
    <t xml:space="preserve">bra_v01_q01_r0087</t>
  </si>
  <si>
    <t xml:space="preserve">BRAof087</t>
  </si>
  <si>
    <t xml:space="preserve">bra_v01_q01_r0088</t>
  </si>
  <si>
    <t xml:space="preserve">BRAof088</t>
  </si>
  <si>
    <t xml:space="preserve">bra_v01_q01_r0089</t>
  </si>
  <si>
    <t xml:space="preserve">BRAof089</t>
  </si>
  <si>
    <t xml:space="preserve">bra_v01_q01_r0090</t>
  </si>
  <si>
    <t xml:space="preserve">BRAof090</t>
  </si>
  <si>
    <t xml:space="preserve">bra_v01_q01_r0091</t>
  </si>
  <si>
    <t xml:space="preserve">BRAof091</t>
  </si>
  <si>
    <t xml:space="preserve">bra_v01_q01_r0092</t>
  </si>
  <si>
    <t xml:space="preserve">BRAof092</t>
  </si>
  <si>
    <t xml:space="preserve">bra_v01_q01_r0093</t>
  </si>
  <si>
    <t xml:space="preserve">BRAof093</t>
  </si>
  <si>
    <t xml:space="preserve">bra_v01_q01_r0094</t>
  </si>
  <si>
    <t xml:space="preserve">BRAof094</t>
  </si>
  <si>
    <t xml:space="preserve">bra_v01_q01_r0095</t>
  </si>
  <si>
    <t xml:space="preserve">BRAof095</t>
  </si>
  <si>
    <t xml:space="preserve">bra_v01_q01_r0096</t>
  </si>
  <si>
    <t xml:space="preserve">BRAof096</t>
  </si>
  <si>
    <t xml:space="preserve">bra_v01_q01_r0097</t>
  </si>
  <si>
    <t xml:space="preserve">BRAof097</t>
  </si>
  <si>
    <t xml:space="preserve">bra_v01_q01_r0098</t>
  </si>
  <si>
    <t xml:space="preserve">BRAof098</t>
  </si>
  <si>
    <t xml:space="preserve">bra_v01_q01_r0099</t>
  </si>
  <si>
    <t xml:space="preserve">BRAof099</t>
  </si>
  <si>
    <t xml:space="preserve">bra_v01_q01_r0100</t>
  </si>
  <si>
    <t xml:space="preserve">BRAof100</t>
  </si>
  <si>
    <t xml:space="preserve">bra_v01_q01_r0101</t>
  </si>
  <si>
    <t xml:space="preserve">BRAof101</t>
  </si>
  <si>
    <t xml:space="preserve">bra_v01_q01_r0102</t>
  </si>
  <si>
    <t xml:space="preserve">BRAof102</t>
  </si>
  <si>
    <t xml:space="preserve">bra_v01_q01_r0103</t>
  </si>
  <si>
    <t xml:space="preserve">BRAof103</t>
  </si>
  <si>
    <t xml:space="preserve">bra_v01_q01_r0104</t>
  </si>
  <si>
    <t xml:space="preserve">BRAof104</t>
  </si>
  <si>
    <t xml:space="preserve">bra_v01_q01_r0105</t>
  </si>
  <si>
    <t xml:space="preserve">BRAof105</t>
  </si>
  <si>
    <t xml:space="preserve">bra_v01_q01_r0106</t>
  </si>
  <si>
    <t xml:space="preserve">BRAof106</t>
  </si>
  <si>
    <t xml:space="preserve">bra_v01_q01_r0107</t>
  </si>
  <si>
    <t xml:space="preserve">BRAof107</t>
  </si>
  <si>
    <t xml:space="preserve">bra_v01_q01_r0108</t>
  </si>
  <si>
    <t xml:space="preserve">BRAof108</t>
  </si>
  <si>
    <t xml:space="preserve">bra_v01_q01_r0109</t>
  </si>
  <si>
    <t xml:space="preserve">BRAof109</t>
  </si>
  <si>
    <t xml:space="preserve">bra_v01_q01_r0110</t>
  </si>
  <si>
    <t xml:space="preserve">BRAof110</t>
  </si>
  <si>
    <t xml:space="preserve">bra_v01_q01_r0111</t>
  </si>
  <si>
    <t xml:space="preserve">BRAof111</t>
  </si>
  <si>
    <t xml:space="preserve">bra_v01_q01_r0112</t>
  </si>
  <si>
    <t xml:space="preserve">BRAof112</t>
  </si>
  <si>
    <t xml:space="preserve">bra_v01_q01_r0113</t>
  </si>
  <si>
    <t xml:space="preserve">BRAof113</t>
  </si>
  <si>
    <t xml:space="preserve">bra_v01_q01_r0114</t>
  </si>
  <si>
    <t xml:space="preserve">BRAof114</t>
  </si>
  <si>
    <t xml:space="preserve">bra_v01_q01_r0115</t>
  </si>
  <si>
    <t xml:space="preserve">BRAof115</t>
  </si>
  <si>
    <t xml:space="preserve">bra_v01_q01_r0116</t>
  </si>
  <si>
    <t xml:space="preserve">BRAof116</t>
  </si>
  <si>
    <t xml:space="preserve">bra_v01_q01_r0117</t>
  </si>
  <si>
    <t xml:space="preserve">BRAof117</t>
  </si>
  <si>
    <t xml:space="preserve">bra_v01_q01_r0118</t>
  </si>
  <si>
    <t xml:space="preserve">BRAof118</t>
  </si>
  <si>
    <t xml:space="preserve">bra_v01_q01_r0119</t>
  </si>
  <si>
    <t xml:space="preserve">BRAof119</t>
  </si>
  <si>
    <t xml:space="preserve">bra_v01_q01_r0120</t>
  </si>
  <si>
    <t xml:space="preserve">BRAof120</t>
  </si>
  <si>
    <t xml:space="preserve">bra_v01_q01_r0121</t>
  </si>
  <si>
    <t xml:space="preserve">BRAof121</t>
  </si>
  <si>
    <t xml:space="preserve">bra_v01_q01_r0122</t>
  </si>
  <si>
    <t xml:space="preserve">BRAof122</t>
  </si>
  <si>
    <t xml:space="preserve">bra_v01_q01_r0123</t>
  </si>
  <si>
    <t xml:space="preserve">BRAof123</t>
  </si>
  <si>
    <t xml:space="preserve">bra_v01_q01_r0124</t>
  </si>
  <si>
    <t xml:space="preserve">BRAof124</t>
  </si>
  <si>
    <t xml:space="preserve">bra_v01_q01_r0125</t>
  </si>
  <si>
    <t xml:space="preserve">BRAof125</t>
  </si>
  <si>
    <t xml:space="preserve">bra_v01_q01_r0126</t>
  </si>
  <si>
    <t xml:space="preserve">BRAof126</t>
  </si>
  <si>
    <t xml:space="preserve">bra_v01_q01_r0127</t>
  </si>
  <si>
    <t xml:space="preserve">BRAof127</t>
  </si>
  <si>
    <t xml:space="preserve">bra_v01_q01_r0128</t>
  </si>
  <si>
    <t xml:space="preserve">BRAof128</t>
  </si>
  <si>
    <t xml:space="preserve">bra_v01_q01_r0129</t>
  </si>
  <si>
    <t xml:space="preserve">bra_v01_q01_r0130</t>
  </si>
  <si>
    <t xml:space="preserve">bra_v01_q02_r0001</t>
  </si>
  <si>
    <t xml:space="preserve">bra_v01_q02_r0002</t>
  </si>
  <si>
    <t xml:space="preserve">bra_v01_q02_r0003</t>
  </si>
  <si>
    <t xml:space="preserve">bra_v01_q02_r0004</t>
  </si>
  <si>
    <t xml:space="preserve">bra_v01_q02_r0005</t>
  </si>
  <si>
    <t xml:space="preserve">bra_v01_q02_r0006</t>
  </si>
  <si>
    <t xml:space="preserve">bra_v01_q02_r0007</t>
  </si>
  <si>
    <t xml:space="preserve">bra_v01_q02_r0008</t>
  </si>
  <si>
    <t xml:space="preserve">bra_v01_q02_r0009</t>
  </si>
  <si>
    <t xml:space="preserve">bra_v01_q02_r0010</t>
  </si>
  <si>
    <t xml:space="preserve">bra_v01_q02_r0011</t>
  </si>
  <si>
    <t xml:space="preserve">bra_v01_q02_r0012</t>
  </si>
  <si>
    <t xml:space="preserve">bra_v01_q02_r0013</t>
  </si>
  <si>
    <t xml:space="preserve">bra_v01_q02_r0014</t>
  </si>
  <si>
    <t xml:space="preserve">bra_v01_q02_r0015</t>
  </si>
  <si>
    <t xml:space="preserve">bra_v01_q02_r0016</t>
  </si>
  <si>
    <t xml:space="preserve">bra_v01_q02_r0017</t>
  </si>
  <si>
    <t xml:space="preserve">bra_v01_q02_r0018</t>
  </si>
  <si>
    <t xml:space="preserve">bra_v01_q02_r0019</t>
  </si>
  <si>
    <t xml:space="preserve">bra_v01_q02_r0020</t>
  </si>
  <si>
    <t xml:space="preserve">bra_v01_q02_r0021</t>
  </si>
  <si>
    <t xml:space="preserve">bra_v01_q02_r0022</t>
  </si>
  <si>
    <t xml:space="preserve">bra_v01_q02_r0023</t>
  </si>
  <si>
    <t xml:space="preserve">bra_v01_q02_r0024</t>
  </si>
  <si>
    <t xml:space="preserve">bra_v01_q02_r0025</t>
  </si>
  <si>
    <t xml:space="preserve">bra_v01_q02_r0026</t>
  </si>
  <si>
    <t xml:space="preserve">bra_v01_q02_r0027</t>
  </si>
  <si>
    <t xml:space="preserve">bra_v01_q02_r0028</t>
  </si>
  <si>
    <t xml:space="preserve">bra_v01_q02_r0029</t>
  </si>
  <si>
    <t xml:space="preserve">bra_v01_q02_r0030</t>
  </si>
  <si>
    <t xml:space="preserve">bra_v01_q02_r0031</t>
  </si>
  <si>
    <t xml:space="preserve">bra_v01_q02_r0032</t>
  </si>
  <si>
    <t xml:space="preserve">bra_v01_q02_r0033</t>
  </si>
  <si>
    <t xml:space="preserve">bra_v01_q02_r0034</t>
  </si>
  <si>
    <t xml:space="preserve">bra_v01_q02_r0035</t>
  </si>
  <si>
    <t xml:space="preserve">bra_v01_q02_r0036</t>
  </si>
  <si>
    <t xml:space="preserve">bra_v01_q02_r0037</t>
  </si>
  <si>
    <t xml:space="preserve">bra_v01_q02_r0038</t>
  </si>
  <si>
    <t xml:space="preserve">bra_v01_q02_r0039</t>
  </si>
  <si>
    <t xml:space="preserve">bra_v01_q02_r0040</t>
  </si>
  <si>
    <t xml:space="preserve">bra_v01_q02_r0041</t>
  </si>
  <si>
    <t xml:space="preserve">bra_v01_q02_r0042</t>
  </si>
  <si>
    <t xml:space="preserve">bra_v01_q02_r0043</t>
  </si>
  <si>
    <t xml:space="preserve">bra_v01_q02_r0044</t>
  </si>
  <si>
    <t xml:space="preserve">bra_v01_q02_r0045</t>
  </si>
  <si>
    <t xml:space="preserve">bra_v01_q02_r0046</t>
  </si>
  <si>
    <t xml:space="preserve">bra_v01_q02_r0047</t>
  </si>
  <si>
    <t xml:space="preserve">bra_v01_q02_r0048</t>
  </si>
  <si>
    <t xml:space="preserve">bra_v01_q02_r0049</t>
  </si>
  <si>
    <t xml:space="preserve">bra_v01_q02_r0050</t>
  </si>
  <si>
    <t xml:space="preserve">bra_v01_q02_r0051</t>
  </si>
  <si>
    <t xml:space="preserve">bra_v01_q02_r0052</t>
  </si>
  <si>
    <t xml:space="preserve">bra_v01_q02_r0053</t>
  </si>
  <si>
    <t xml:space="preserve">bra_v01_q02_r0054</t>
  </si>
  <si>
    <t xml:space="preserve">bra_v01_q02_r0055</t>
  </si>
  <si>
    <t xml:space="preserve">bra_v01_q02_r0056</t>
  </si>
  <si>
    <t xml:space="preserve">bra_v01_q02_r0057</t>
  </si>
  <si>
    <t xml:space="preserve">bra_v01_q02_r0058</t>
  </si>
  <si>
    <t xml:space="preserve">bra_v01_q02_r0059</t>
  </si>
  <si>
    <t xml:space="preserve">bra_v01_q02_r0060</t>
  </si>
  <si>
    <t xml:space="preserve">bra_v01_q02_r0061</t>
  </si>
  <si>
    <t xml:space="preserve">bra_v01_q02_r0062</t>
  </si>
  <si>
    <t xml:space="preserve">bra_v01_q02_r0063</t>
  </si>
  <si>
    <t xml:space="preserve">bra_v01_q02_r0064</t>
  </si>
  <si>
    <t xml:space="preserve">bra_v01_q02_r0065</t>
  </si>
  <si>
    <t xml:space="preserve">bra_v01_q02_r0066</t>
  </si>
  <si>
    <t xml:space="preserve">bra_v01_q02_r0067</t>
  </si>
  <si>
    <t xml:space="preserve">bra_v01_q02_r0068</t>
  </si>
  <si>
    <t xml:space="preserve">bra_v01_q02_r0069</t>
  </si>
  <si>
    <t xml:space="preserve">bra_v01_q02_r0070</t>
  </si>
  <si>
    <t xml:space="preserve">bra_v01_q02_r0071</t>
  </si>
  <si>
    <t xml:space="preserve">bra_v01_q02_r0072</t>
  </si>
  <si>
    <t xml:space="preserve">bra_v01_q02_r0073</t>
  </si>
  <si>
    <t xml:space="preserve">bra_v01_q02_r0074</t>
  </si>
  <si>
    <t xml:space="preserve">bra_v01_q02_r0075</t>
  </si>
  <si>
    <t xml:space="preserve">bra_v01_q02_r0076</t>
  </si>
  <si>
    <t xml:space="preserve">bra_v01_q02_r0077</t>
  </si>
  <si>
    <t xml:space="preserve">bra_v01_q02_r0078</t>
  </si>
  <si>
    <t xml:space="preserve">bra_v01_q02_r0079</t>
  </si>
  <si>
    <t xml:space="preserve">bra_v01_q02_r0080</t>
  </si>
  <si>
    <t xml:space="preserve">bra_v01_q02_r0081</t>
  </si>
  <si>
    <t xml:space="preserve">bra_v01_q02_r0082</t>
  </si>
  <si>
    <t xml:space="preserve">bra_v01_q02_r0083</t>
  </si>
  <si>
    <t xml:space="preserve">bra_v01_q02_r0084</t>
  </si>
  <si>
    <t xml:space="preserve">bra_v01_q02_r0085</t>
  </si>
  <si>
    <t xml:space="preserve">bra_v01_q02_r0086</t>
  </si>
  <si>
    <t xml:space="preserve">bra_v01_q02_r0087</t>
  </si>
  <si>
    <t xml:space="preserve">bra_v01_q02_r0088</t>
  </si>
  <si>
    <t xml:space="preserve">bra_v01_q02_r0089</t>
  </si>
  <si>
    <t xml:space="preserve">bra_v01_q02_r0090</t>
  </si>
  <si>
    <t xml:space="preserve">bra_v01_q02_r0091</t>
  </si>
  <si>
    <t xml:space="preserve">bra_v01_q02_r0092</t>
  </si>
  <si>
    <t xml:space="preserve">bra_v01_q02_r0093</t>
  </si>
  <si>
    <t xml:space="preserve">bra_v01_q02_r0094</t>
  </si>
  <si>
    <t xml:space="preserve">bra_v01_q02_r0095</t>
  </si>
  <si>
    <t xml:space="preserve">bra_v01_q02_r0096</t>
  </si>
  <si>
    <t xml:space="preserve">bra_v01_q02_r0097</t>
  </si>
  <si>
    <t xml:space="preserve">bra_v01_q02_r0098</t>
  </si>
  <si>
    <t xml:space="preserve">bra_v01_q02_r0099</t>
  </si>
  <si>
    <t xml:space="preserve">bra_v01_q02_r0100</t>
  </si>
  <si>
    <t xml:space="preserve">bra_v01_q02_r0101</t>
  </si>
  <si>
    <t xml:space="preserve">bra_v01_q02_r0102</t>
  </si>
  <si>
    <t xml:space="preserve">bra_v01_q02_r0103</t>
  </si>
  <si>
    <t xml:space="preserve">bra_v01_q02_r0104</t>
  </si>
  <si>
    <t xml:space="preserve">bra_v01_q02_r0105</t>
  </si>
  <si>
    <t xml:space="preserve">bra_v01_q02_r0106</t>
  </si>
  <si>
    <t xml:space="preserve">bra_v01_q02_r0107</t>
  </si>
  <si>
    <t xml:space="preserve">bra_v01_q02_r0108</t>
  </si>
  <si>
    <t xml:space="preserve">bra_v01_q02_r0109</t>
  </si>
  <si>
    <t xml:space="preserve">bra_v01_q02_r0110</t>
  </si>
  <si>
    <t xml:space="preserve">bra_v01_q02_r0111</t>
  </si>
  <si>
    <t xml:space="preserve">bra_v01_q02_r0112</t>
  </si>
  <si>
    <t xml:space="preserve">bra_v01_q02_r0113</t>
  </si>
  <si>
    <t xml:space="preserve">bra_v01_q02_r0114</t>
  </si>
  <si>
    <t xml:space="preserve">bra_v01_q02_r0115</t>
  </si>
  <si>
    <t xml:space="preserve">bra_v01_q02_r0116</t>
  </si>
  <si>
    <t xml:space="preserve">bra_v01_q02_r0117</t>
  </si>
  <si>
    <t xml:space="preserve">bra_v01_q02_r0118</t>
  </si>
  <si>
    <t xml:space="preserve">bra_v01_q02_r0119</t>
  </si>
  <si>
    <t xml:space="preserve">bra_v01_q02_r0120</t>
  </si>
  <si>
    <t xml:space="preserve">bra_v01_q02_r0121</t>
  </si>
  <si>
    <t xml:space="preserve">bra_v01_q02_r0122</t>
  </si>
  <si>
    <t xml:space="preserve">bra_v01_q02_r0123</t>
  </si>
  <si>
    <t xml:space="preserve">bra_v01_q02_r0124</t>
  </si>
  <si>
    <t xml:space="preserve">bra_v01_q02_r0125</t>
  </si>
  <si>
    <t xml:space="preserve">bra_v01_q02_r0126</t>
  </si>
  <si>
    <t xml:space="preserve">bra_v01_q02_r0127</t>
  </si>
  <si>
    <t xml:space="preserve">bra_v01_q02_r0128</t>
  </si>
  <si>
    <t xml:space="preserve">bra_v01_q02_r0129</t>
  </si>
  <si>
    <t xml:space="preserve">bra_v01_q02_r0130</t>
  </si>
  <si>
    <t xml:space="preserve">bra_v01_q03_r0001</t>
  </si>
  <si>
    <t xml:space="preserve">bra_v01_q03_r0002</t>
  </si>
  <si>
    <t xml:space="preserve">bra_v01_q03_r0003</t>
  </si>
  <si>
    <t xml:space="preserve">bra_v01_q03_r0004</t>
  </si>
  <si>
    <t xml:space="preserve">bra_v01_q03_r0005</t>
  </si>
  <si>
    <t xml:space="preserve">bra_v01_q03_r0006</t>
  </si>
  <si>
    <t xml:space="preserve">bra_v01_q03_r0007</t>
  </si>
  <si>
    <t xml:space="preserve">bra_v01_q03_r0008</t>
  </si>
  <si>
    <t xml:space="preserve">bra_v01_q03_r0009</t>
  </si>
  <si>
    <t xml:space="preserve">bra_v01_q03_r0010</t>
  </si>
  <si>
    <t xml:space="preserve">bra_v01_q03_r0011</t>
  </si>
  <si>
    <t xml:space="preserve">bra_v01_q03_r0012</t>
  </si>
  <si>
    <t xml:space="preserve">bra_v01_q03_r0013</t>
  </si>
  <si>
    <t xml:space="preserve">bra_v01_q03_r0014</t>
  </si>
  <si>
    <t xml:space="preserve">bra_v01_q03_r0015</t>
  </si>
  <si>
    <t xml:space="preserve">bra_v01_q03_r0016</t>
  </si>
  <si>
    <t xml:space="preserve">bra_v01_q03_r0017</t>
  </si>
  <si>
    <t xml:space="preserve">bra_v01_q03_r0018</t>
  </si>
  <si>
    <t xml:space="preserve">bra_v01_q03_r0019</t>
  </si>
  <si>
    <t xml:space="preserve">bra_v01_q03_r0020</t>
  </si>
  <si>
    <t xml:space="preserve">bra_v01_q03_r0021</t>
  </si>
  <si>
    <t xml:space="preserve">bra_v01_q03_r0022</t>
  </si>
  <si>
    <t xml:space="preserve">bra_v01_q03_r0023</t>
  </si>
  <si>
    <t xml:space="preserve">bra_v01_q03_r0024</t>
  </si>
  <si>
    <t xml:space="preserve">bra_v01_q03_r0025</t>
  </si>
  <si>
    <t xml:space="preserve">bra_v01_q03_r0026</t>
  </si>
  <si>
    <t xml:space="preserve">bra_v01_q03_r0027</t>
  </si>
  <si>
    <t xml:space="preserve">bra_v01_q03_r0028</t>
  </si>
  <si>
    <t xml:space="preserve">bra_v01_q03_r0029</t>
  </si>
  <si>
    <t xml:space="preserve">bra_v01_q03_r0030</t>
  </si>
  <si>
    <t xml:space="preserve">bra_v01_q03_r0031</t>
  </si>
  <si>
    <t xml:space="preserve">bra_v01_q03_r0032</t>
  </si>
  <si>
    <t xml:space="preserve">bra_v01_q03_r0033</t>
  </si>
  <si>
    <t xml:space="preserve">bra_v01_q03_r0034</t>
  </si>
  <si>
    <t xml:space="preserve">bra_v01_q03_r0035</t>
  </si>
  <si>
    <t xml:space="preserve">bra_v01_q03_r0036</t>
  </si>
  <si>
    <t xml:space="preserve">bra_v01_q03_r0037</t>
  </si>
  <si>
    <t xml:space="preserve">bra_v01_q03_r0038</t>
  </si>
  <si>
    <t xml:space="preserve">bra_v01_q03_r0039</t>
  </si>
  <si>
    <t xml:space="preserve">bra_v01_q03_r0040</t>
  </si>
  <si>
    <t xml:space="preserve">bra_v01_q03_r0041</t>
  </si>
  <si>
    <t xml:space="preserve">bra_v01_q03_r0042</t>
  </si>
  <si>
    <t xml:space="preserve">bra_v01_q03_r0043</t>
  </si>
  <si>
    <t xml:space="preserve">bra_v01_q03_r0044</t>
  </si>
  <si>
    <t xml:space="preserve">bra_v01_q03_r0045</t>
  </si>
  <si>
    <t xml:space="preserve">bra_v01_q03_r0046</t>
  </si>
  <si>
    <t xml:space="preserve">bra_v01_q03_r0047</t>
  </si>
  <si>
    <t xml:space="preserve">bra_v01_q03_r0048</t>
  </si>
  <si>
    <t xml:space="preserve">bra_v01_q03_r0049</t>
  </si>
  <si>
    <t xml:space="preserve">bra_v01_q03_r0050</t>
  </si>
  <si>
    <t xml:space="preserve">bra_v01_q03_r0051</t>
  </si>
  <si>
    <t xml:space="preserve">bra_v01_q03_r0052</t>
  </si>
  <si>
    <t xml:space="preserve">bra_v01_q03_r0053</t>
  </si>
  <si>
    <t xml:space="preserve">bra_v01_q03_r0054</t>
  </si>
  <si>
    <t xml:space="preserve">bra_v01_q03_r0055</t>
  </si>
  <si>
    <t xml:space="preserve">bra_v01_q03_r0056</t>
  </si>
  <si>
    <t xml:space="preserve">bra_v01_q03_r0057</t>
  </si>
  <si>
    <t xml:space="preserve">bra_v01_q03_r0058</t>
  </si>
  <si>
    <t xml:space="preserve">bra_v01_q03_r0059</t>
  </si>
  <si>
    <t xml:space="preserve">bra_v01_q03_r0060</t>
  </si>
  <si>
    <t xml:space="preserve">bra_v01_q03_r0061</t>
  </si>
  <si>
    <t xml:space="preserve">bra_v01_q03_r0062</t>
  </si>
  <si>
    <t xml:space="preserve">bra_v01_q03_r0063</t>
  </si>
  <si>
    <t xml:space="preserve">bra_v01_q03_r0064</t>
  </si>
  <si>
    <t xml:space="preserve">bra_v01_q03_r0065</t>
  </si>
  <si>
    <t xml:space="preserve">bra_v01_q03_r0066</t>
  </si>
  <si>
    <t xml:space="preserve">bra_v01_q03_r0067</t>
  </si>
  <si>
    <t xml:space="preserve">bra_v01_q03_r0068</t>
  </si>
  <si>
    <t xml:space="preserve">bra_v01_q03_r0069</t>
  </si>
  <si>
    <t xml:space="preserve">bra_v01_q03_r0070</t>
  </si>
  <si>
    <t xml:space="preserve">bra_v01_q03_r0071</t>
  </si>
  <si>
    <t xml:space="preserve">bra_v01_q03_r0072</t>
  </si>
  <si>
    <t xml:space="preserve">bra_v01_q03_r0073</t>
  </si>
  <si>
    <t xml:space="preserve">bra_v01_q03_r0074</t>
  </si>
  <si>
    <t xml:space="preserve">bra_v01_q03_r0075</t>
  </si>
  <si>
    <t xml:space="preserve">bra_v01_q03_r0076</t>
  </si>
  <si>
    <t xml:space="preserve">bra_v01_q03_r0077</t>
  </si>
  <si>
    <t xml:space="preserve">bra_v01_q03_r0078</t>
  </si>
  <si>
    <t xml:space="preserve">bra_v01_q03_r0079</t>
  </si>
  <si>
    <t xml:space="preserve">bra_v01_q03_r0080</t>
  </si>
  <si>
    <t xml:space="preserve">bra_v01_q03_r0081</t>
  </si>
  <si>
    <t xml:space="preserve">bra_v01_q03_r0082</t>
  </si>
  <si>
    <t xml:space="preserve">bra_v01_q03_r0083</t>
  </si>
  <si>
    <t xml:space="preserve">bra_v01_q03_r0084</t>
  </si>
  <si>
    <t xml:space="preserve">bra_v01_q03_r0085</t>
  </si>
  <si>
    <t xml:space="preserve">bra_v01_q03_r0086</t>
  </si>
  <si>
    <t xml:space="preserve">bra_v01_q03_r0087</t>
  </si>
  <si>
    <t xml:space="preserve">bra_v01_q03_r0088</t>
  </si>
  <si>
    <t xml:space="preserve">bra_v01_q03_r0089</t>
  </si>
  <si>
    <t xml:space="preserve">bra_v01_q03_r0090</t>
  </si>
  <si>
    <t xml:space="preserve">bra_v01_q03_r0091</t>
  </si>
  <si>
    <t xml:space="preserve">bra_v01_q03_r0092</t>
  </si>
  <si>
    <t xml:space="preserve">bra_v01_q03_r0093</t>
  </si>
  <si>
    <t xml:space="preserve">bra_v01_q03_r0094</t>
  </si>
  <si>
    <t xml:space="preserve">bra_v01_q03_r0095</t>
  </si>
  <si>
    <t xml:space="preserve">bra_v01_q03_r0096</t>
  </si>
  <si>
    <t xml:space="preserve">bra_v01_q03_r0097</t>
  </si>
  <si>
    <t xml:space="preserve">bra_v01_q03_r0098</t>
  </si>
  <si>
    <t xml:space="preserve">bra_v01_q03_r0099</t>
  </si>
  <si>
    <t xml:space="preserve">bra_v01_q03_r0100</t>
  </si>
  <si>
    <t xml:space="preserve">bra_v01_q03_r0101</t>
  </si>
  <si>
    <t xml:space="preserve">bra_v01_q03_r0102</t>
  </si>
  <si>
    <t xml:space="preserve">bra_v01_q03_r0103</t>
  </si>
  <si>
    <t xml:space="preserve">bra_v01_q03_r0104</t>
  </si>
  <si>
    <t xml:space="preserve">bra_v01_q03_r0105</t>
  </si>
  <si>
    <t xml:space="preserve">bra_v01_q03_r0106</t>
  </si>
  <si>
    <t xml:space="preserve">bra_v01_q03_r0107</t>
  </si>
  <si>
    <t xml:space="preserve">bra_v01_q03_r0108</t>
  </si>
  <si>
    <t xml:space="preserve">bra_v01_q03_r0109</t>
  </si>
  <si>
    <t xml:space="preserve">bra_v01_q03_r0110</t>
  </si>
  <si>
    <t xml:space="preserve">bra_v01_q03_r0111</t>
  </si>
  <si>
    <t xml:space="preserve">bra_v01_q03_r0112</t>
  </si>
  <si>
    <t xml:space="preserve">bra_v01_q03_r0113</t>
  </si>
  <si>
    <t xml:space="preserve">bra_v01_q03_r0114</t>
  </si>
  <si>
    <t xml:space="preserve">bra_v01_q03_r0115</t>
  </si>
  <si>
    <t xml:space="preserve">bra_v01_q03_r0116</t>
  </si>
  <si>
    <t xml:space="preserve">bra_v01_q03_r0117</t>
  </si>
  <si>
    <t xml:space="preserve">bra_v01_q03_r0118</t>
  </si>
  <si>
    <t xml:space="preserve">bra_v01_q03_r0119</t>
  </si>
  <si>
    <t xml:space="preserve">bra_v01_q03_r0120</t>
  </si>
  <si>
    <t xml:space="preserve">bra_v01_q03_r0121</t>
  </si>
  <si>
    <t xml:space="preserve">bra_v01_q03_r0122</t>
  </si>
  <si>
    <t xml:space="preserve">bra_v01_q03_r0123</t>
  </si>
  <si>
    <t xml:space="preserve">bra_v01_q03_r0124</t>
  </si>
  <si>
    <t xml:space="preserve">bra_v01_q03_r0125</t>
  </si>
  <si>
    <t xml:space="preserve">bra_v01_q03_r0126</t>
  </si>
  <si>
    <t xml:space="preserve">bra_v01_q03_r0127</t>
  </si>
  <si>
    <t xml:space="preserve">bra_v01_q03_r0128</t>
  </si>
  <si>
    <t xml:space="preserve">bra_v01_q03_r0129</t>
  </si>
  <si>
    <t xml:space="preserve">bra_v01_q03_r0130</t>
  </si>
  <si>
    <t xml:space="preserve">bra_v01_q04_r0001</t>
  </si>
  <si>
    <t xml:space="preserve">BRAuf001</t>
  </si>
  <si>
    <t xml:space="preserve">bra_v01_q04_r0002</t>
  </si>
  <si>
    <t xml:space="preserve">BRAuf002</t>
  </si>
  <si>
    <t xml:space="preserve">bra_v01_q04_r0003</t>
  </si>
  <si>
    <t xml:space="preserve">BRAuf003</t>
  </si>
  <si>
    <t xml:space="preserve">bra_v01_q04_r0004</t>
  </si>
  <si>
    <t xml:space="preserve">BRAuf004</t>
  </si>
  <si>
    <t xml:space="preserve">bra_v01_q04_r0005</t>
  </si>
  <si>
    <t xml:space="preserve">BRAuf005</t>
  </si>
  <si>
    <t xml:space="preserve">bra_v01_q04_r0006</t>
  </si>
  <si>
    <t xml:space="preserve">BRAuf006</t>
  </si>
  <si>
    <t xml:space="preserve">bra_v01_q04_r0007</t>
  </si>
  <si>
    <t xml:space="preserve">BRAuf007</t>
  </si>
  <si>
    <t xml:space="preserve">bra_v01_q04_r0008</t>
  </si>
  <si>
    <t xml:space="preserve">BRAuf008</t>
  </si>
  <si>
    <t xml:space="preserve">bra_v01_q04_r0009</t>
  </si>
  <si>
    <t xml:space="preserve">BRAuf009</t>
  </si>
  <si>
    <t xml:space="preserve">bra_v01_q04_r0010</t>
  </si>
  <si>
    <t xml:space="preserve">BRAuf010</t>
  </si>
  <si>
    <t xml:space="preserve">bra_v01_q04_r0011</t>
  </si>
  <si>
    <t xml:space="preserve">BRAuf011</t>
  </si>
  <si>
    <t xml:space="preserve">bra_v01_q04_r0012</t>
  </si>
  <si>
    <t xml:space="preserve">BRAuf012</t>
  </si>
  <si>
    <t xml:space="preserve">bra_v01_q04_r0013</t>
  </si>
  <si>
    <t xml:space="preserve">BRAuf013</t>
  </si>
  <si>
    <t xml:space="preserve">bra_v01_q04_r0014</t>
  </si>
  <si>
    <t xml:space="preserve">BRAuf014</t>
  </si>
  <si>
    <t xml:space="preserve">bra_v01_q04_r0015</t>
  </si>
  <si>
    <t xml:space="preserve">BRAuf015</t>
  </si>
  <si>
    <t xml:space="preserve">bra_v01_q04_r0016</t>
  </si>
  <si>
    <t xml:space="preserve">BRAuf016</t>
  </si>
  <si>
    <t xml:space="preserve">bra_v01_q04_r0017</t>
  </si>
  <si>
    <t xml:space="preserve">BRAuf017</t>
  </si>
  <si>
    <t xml:space="preserve">bra_v01_q04_r0018</t>
  </si>
  <si>
    <t xml:space="preserve">BRAuf018</t>
  </si>
  <si>
    <t xml:space="preserve">bra_v01_q04_r0019</t>
  </si>
  <si>
    <t xml:space="preserve">BRAuf019</t>
  </si>
  <si>
    <t xml:space="preserve">bra_v01_q04_r0020</t>
  </si>
  <si>
    <t xml:space="preserve">BRAuf020</t>
  </si>
  <si>
    <t xml:space="preserve">bra_v01_q04_r0021</t>
  </si>
  <si>
    <t xml:space="preserve">BRAuf021</t>
  </si>
  <si>
    <t xml:space="preserve">bra_v01_q04_r0022</t>
  </si>
  <si>
    <t xml:space="preserve">BRAuf022</t>
  </si>
  <si>
    <t xml:space="preserve">bra_v01_q04_r0023</t>
  </si>
  <si>
    <t xml:space="preserve">BRAuf023</t>
  </si>
  <si>
    <t xml:space="preserve">bra_v01_q04_r0024</t>
  </si>
  <si>
    <t xml:space="preserve">BRAuf024</t>
  </si>
  <si>
    <t xml:space="preserve">bra_v01_q04_r0025</t>
  </si>
  <si>
    <t xml:space="preserve">BRAuf025</t>
  </si>
  <si>
    <t xml:space="preserve">bra_v01_q04_r0026</t>
  </si>
  <si>
    <t xml:space="preserve">BRAuf026</t>
  </si>
  <si>
    <t xml:space="preserve">bra_v01_q04_r0027</t>
  </si>
  <si>
    <t xml:space="preserve">BRAuf027</t>
  </si>
  <si>
    <t xml:space="preserve">bra_v01_q04_r0028</t>
  </si>
  <si>
    <t xml:space="preserve">BRAuf028</t>
  </si>
  <si>
    <t xml:space="preserve">bra_v01_q04_r0029</t>
  </si>
  <si>
    <t xml:space="preserve">BRAuf029</t>
  </si>
  <si>
    <t xml:space="preserve">bra_v01_q04_r0030</t>
  </si>
  <si>
    <t xml:space="preserve">BRAuf030</t>
  </si>
  <si>
    <t xml:space="preserve">bra_v01_q04_r0031</t>
  </si>
  <si>
    <t xml:space="preserve">BRAuf031</t>
  </si>
  <si>
    <t xml:space="preserve">bra_v01_q04_r0032</t>
  </si>
  <si>
    <t xml:space="preserve">BRAuf032</t>
  </si>
  <si>
    <t xml:space="preserve">bra_v01_q04_r0033</t>
  </si>
  <si>
    <t xml:space="preserve">BRAuf033</t>
  </si>
  <si>
    <t xml:space="preserve">bra_v01_q04_r0034</t>
  </si>
  <si>
    <t xml:space="preserve">BRAuf034</t>
  </si>
  <si>
    <t xml:space="preserve">bra_v01_q04_r0035</t>
  </si>
  <si>
    <t xml:space="preserve">BRAuf035</t>
  </si>
  <si>
    <t xml:space="preserve">bra_v01_q04_r0036</t>
  </si>
  <si>
    <t xml:space="preserve">BRAuf036</t>
  </si>
  <si>
    <t xml:space="preserve">bra_v01_q04_r0037</t>
  </si>
  <si>
    <t xml:space="preserve">BRAuf037</t>
  </si>
  <si>
    <t xml:space="preserve">bra_v01_q04_r0038</t>
  </si>
  <si>
    <t xml:space="preserve">BRAuf038</t>
  </si>
  <si>
    <t xml:space="preserve">bra_v01_q04_r0039</t>
  </si>
  <si>
    <t xml:space="preserve">BRAuf039</t>
  </si>
  <si>
    <t xml:space="preserve">bra_v01_q04_r0040</t>
  </si>
  <si>
    <t xml:space="preserve">BRAuf040</t>
  </si>
  <si>
    <t xml:space="preserve">bra_v01_q04_r0041</t>
  </si>
  <si>
    <t xml:space="preserve">BRAuf041</t>
  </si>
  <si>
    <t xml:space="preserve">bra_v01_q04_r0042</t>
  </si>
  <si>
    <t xml:space="preserve">BRAuf042</t>
  </si>
  <si>
    <t xml:space="preserve">bra_v01_q04_r0043</t>
  </si>
  <si>
    <t xml:space="preserve">BRAuf043</t>
  </si>
  <si>
    <t xml:space="preserve">bra_v01_q04_r0044</t>
  </si>
  <si>
    <t xml:space="preserve">BRAuf044</t>
  </si>
  <si>
    <t xml:space="preserve">bra_v01_q04_r0045</t>
  </si>
  <si>
    <t xml:space="preserve">BRAuf045</t>
  </si>
  <si>
    <t xml:space="preserve">bra_v01_q04_r0046</t>
  </si>
  <si>
    <t xml:space="preserve">BRAuf046</t>
  </si>
  <si>
    <t xml:space="preserve">bra_v01_q04_r0047</t>
  </si>
  <si>
    <t xml:space="preserve">BRAuf047</t>
  </si>
  <si>
    <t xml:space="preserve">bra_v01_q04_r0048</t>
  </si>
  <si>
    <t xml:space="preserve">BRAuf048</t>
  </si>
  <si>
    <t xml:space="preserve">bra_v01_q04_r0049</t>
  </si>
  <si>
    <t xml:space="preserve">BRAuf049</t>
  </si>
  <si>
    <t xml:space="preserve">bra_v01_q04_r0050</t>
  </si>
  <si>
    <t xml:space="preserve">BRAuf050</t>
  </si>
  <si>
    <t xml:space="preserve">bra_v01_q04_r0051</t>
  </si>
  <si>
    <t xml:space="preserve">BRAuf051</t>
  </si>
  <si>
    <t xml:space="preserve">bra_v01_q04_r0052</t>
  </si>
  <si>
    <t xml:space="preserve">BRAuf052</t>
  </si>
  <si>
    <t xml:space="preserve">bra_v01_q04_r0053</t>
  </si>
  <si>
    <t xml:space="preserve">BRAuf053</t>
  </si>
  <si>
    <t xml:space="preserve">bra_v01_q04_r0054</t>
  </si>
  <si>
    <t xml:space="preserve">BRAuf054</t>
  </si>
  <si>
    <t xml:space="preserve">bra_v01_q04_r0055</t>
  </si>
  <si>
    <t xml:space="preserve">BRAuf055</t>
  </si>
  <si>
    <t xml:space="preserve">bra_v01_q04_r0056</t>
  </si>
  <si>
    <t xml:space="preserve">BRAuf056</t>
  </si>
  <si>
    <t xml:space="preserve">bra_v01_q04_r0057</t>
  </si>
  <si>
    <t xml:space="preserve">BRAuf057</t>
  </si>
  <si>
    <t xml:space="preserve">bra_v01_q04_r0058</t>
  </si>
  <si>
    <t xml:space="preserve">BRAuf058</t>
  </si>
  <si>
    <t xml:space="preserve">bra_v01_q04_r0059</t>
  </si>
  <si>
    <t xml:space="preserve">BRAuf059</t>
  </si>
  <si>
    <t xml:space="preserve">bra_v01_q04_r0060</t>
  </si>
  <si>
    <t xml:space="preserve">BRAuf060</t>
  </si>
  <si>
    <t xml:space="preserve">bra_v01_q04_r0061</t>
  </si>
  <si>
    <t xml:space="preserve">BRAuf061</t>
  </si>
  <si>
    <t xml:space="preserve">bra_v01_q04_r0062</t>
  </si>
  <si>
    <t xml:space="preserve">BRAuf062</t>
  </si>
  <si>
    <t xml:space="preserve">bra_v01_q04_r0063</t>
  </si>
  <si>
    <t xml:space="preserve">BRAuf063</t>
  </si>
  <si>
    <t xml:space="preserve">bra_v01_q04_r0064</t>
  </si>
  <si>
    <t xml:space="preserve">BRAuf064</t>
  </si>
  <si>
    <t xml:space="preserve">bra_v01_q04_r0065</t>
  </si>
  <si>
    <t xml:space="preserve">BRAuf065</t>
  </si>
  <si>
    <t xml:space="preserve">bra_v01_q04_r0066</t>
  </si>
  <si>
    <t xml:space="preserve">BRAuf066</t>
  </si>
  <si>
    <t xml:space="preserve">bra_v01_q04_r0067</t>
  </si>
  <si>
    <t xml:space="preserve">BRAuf067</t>
  </si>
  <si>
    <t xml:space="preserve">bra_v01_q04_r0068</t>
  </si>
  <si>
    <t xml:space="preserve">BRAuf068</t>
  </si>
  <si>
    <t xml:space="preserve">bra_v01_q04_r0069</t>
  </si>
  <si>
    <t xml:space="preserve">BRAuf069</t>
  </si>
  <si>
    <t xml:space="preserve">bra_v01_q04_r0070</t>
  </si>
  <si>
    <t xml:space="preserve">BRAuf070</t>
  </si>
  <si>
    <t xml:space="preserve">bra_v01_q04_r0071</t>
  </si>
  <si>
    <t xml:space="preserve">BRAuf071</t>
  </si>
  <si>
    <t xml:space="preserve">bra_v01_q04_r0072</t>
  </si>
  <si>
    <t xml:space="preserve">BRAuf072</t>
  </si>
  <si>
    <t xml:space="preserve">bra_v01_q04_r0073</t>
  </si>
  <si>
    <t xml:space="preserve">BRAuf073</t>
  </si>
  <si>
    <t xml:space="preserve">bra_v01_q04_r0074</t>
  </si>
  <si>
    <t xml:space="preserve">BRAuf074</t>
  </si>
  <si>
    <t xml:space="preserve">bra_v01_q04_r0075</t>
  </si>
  <si>
    <t xml:space="preserve">BRAuf075</t>
  </si>
  <si>
    <t xml:space="preserve">bra_v01_q04_r0076</t>
  </si>
  <si>
    <t xml:space="preserve">BRAuf076</t>
  </si>
  <si>
    <t xml:space="preserve">bra_v01_q04_r0077</t>
  </si>
  <si>
    <t xml:space="preserve">BRAuf077</t>
  </si>
  <si>
    <t xml:space="preserve">bra_v01_q04_r0078</t>
  </si>
  <si>
    <t xml:space="preserve">BRAuf078</t>
  </si>
  <si>
    <t xml:space="preserve">bra_v01_q04_r0079</t>
  </si>
  <si>
    <t xml:space="preserve">BRAuf079</t>
  </si>
  <si>
    <t xml:space="preserve">bra_v01_q04_r0080</t>
  </si>
  <si>
    <t xml:space="preserve">BRAuf080</t>
  </si>
  <si>
    <t xml:space="preserve">bra_v01_q04_r0081</t>
  </si>
  <si>
    <t xml:space="preserve">BRAuf081</t>
  </si>
  <si>
    <t xml:space="preserve">bra_v01_q04_r0082</t>
  </si>
  <si>
    <t xml:space="preserve">BRAuf082</t>
  </si>
  <si>
    <t xml:space="preserve">bra_v01_q04_r0083</t>
  </si>
  <si>
    <t xml:space="preserve">BRAuf083</t>
  </si>
  <si>
    <t xml:space="preserve">bra_v01_q04_r0084</t>
  </si>
  <si>
    <t xml:space="preserve">BRAuf084</t>
  </si>
  <si>
    <t xml:space="preserve">bra_v01_q04_r0085</t>
  </si>
  <si>
    <t xml:space="preserve">BRAuf085</t>
  </si>
  <si>
    <t xml:space="preserve">bra_v01_q04_r0086</t>
  </si>
  <si>
    <t xml:space="preserve">BRAuf086</t>
  </si>
  <si>
    <t xml:space="preserve">bra_v01_q04_r0087</t>
  </si>
  <si>
    <t xml:space="preserve">BRAuf087</t>
  </si>
  <si>
    <t xml:space="preserve">bra_v01_q04_r0088</t>
  </si>
  <si>
    <t xml:space="preserve">BRAuf088</t>
  </si>
  <si>
    <t xml:space="preserve">bra_v01_q04_r0089</t>
  </si>
  <si>
    <t xml:space="preserve">BRAuf089</t>
  </si>
  <si>
    <t xml:space="preserve">bra_v01_q04_r0090</t>
  </si>
  <si>
    <t xml:space="preserve">BRAuf090</t>
  </si>
  <si>
    <t xml:space="preserve">bra_v01_q04_r0091</t>
  </si>
  <si>
    <t xml:space="preserve">BRAuf091</t>
  </si>
  <si>
    <t xml:space="preserve">bra_v01_q04_r0092</t>
  </si>
  <si>
    <t xml:space="preserve">BRAuf092</t>
  </si>
  <si>
    <t xml:space="preserve">bra_v01_q04_r0093</t>
  </si>
  <si>
    <t xml:space="preserve">BRAuf093</t>
  </si>
  <si>
    <t xml:space="preserve">bra_v01_q04_r0094</t>
  </si>
  <si>
    <t xml:space="preserve">BRAuf094</t>
  </si>
  <si>
    <t xml:space="preserve">bra_v01_q04_r0095</t>
  </si>
  <si>
    <t xml:space="preserve">BRAuf095</t>
  </si>
  <si>
    <t xml:space="preserve">bra_v01_q04_r0096</t>
  </si>
  <si>
    <t xml:space="preserve">BRAuf096</t>
  </si>
  <si>
    <t xml:space="preserve">bra_v01_q04_r0097</t>
  </si>
  <si>
    <t xml:space="preserve">BRAuf097</t>
  </si>
  <si>
    <t xml:space="preserve">bra_v01_q04_r0098</t>
  </si>
  <si>
    <t xml:space="preserve">BRAuf098</t>
  </si>
  <si>
    <t xml:space="preserve">bra_v01_q04_r0099</t>
  </si>
  <si>
    <t xml:space="preserve">BRAuf099</t>
  </si>
  <si>
    <t xml:space="preserve">bra_v01_q04_r0100</t>
  </si>
  <si>
    <t xml:space="preserve">BRAuf100</t>
  </si>
  <si>
    <t xml:space="preserve">bra_v01_q04_r0101</t>
  </si>
  <si>
    <t xml:space="preserve">BRAuf101</t>
  </si>
  <si>
    <t xml:space="preserve">bra_v01_q04_r0102</t>
  </si>
  <si>
    <t xml:space="preserve">BRAuf102</t>
  </si>
  <si>
    <t xml:space="preserve">bra_v01_q04_r0103</t>
  </si>
  <si>
    <t xml:space="preserve">BRAuf103</t>
  </si>
  <si>
    <t xml:space="preserve">bra_v01_q04_r0104</t>
  </si>
  <si>
    <t xml:space="preserve">BRAuf104</t>
  </si>
  <si>
    <t xml:space="preserve">bra_v01_q04_r0105</t>
  </si>
  <si>
    <t xml:space="preserve">BRAuf105</t>
  </si>
  <si>
    <t xml:space="preserve">bra_v01_q04_r0106</t>
  </si>
  <si>
    <t xml:space="preserve">BRAuf106</t>
  </si>
  <si>
    <t xml:space="preserve">bra_v01_q04_r0107</t>
  </si>
  <si>
    <t xml:space="preserve">BRAuf107</t>
  </si>
  <si>
    <t xml:space="preserve">bra_v01_q04_r0108</t>
  </si>
  <si>
    <t xml:space="preserve">BRAuf108</t>
  </si>
  <si>
    <t xml:space="preserve">bra_v01_q04_r0109</t>
  </si>
  <si>
    <t xml:space="preserve">BRAuf109</t>
  </si>
  <si>
    <t xml:space="preserve">bra_v01_q04_r0110</t>
  </si>
  <si>
    <t xml:space="preserve">BRAuf110</t>
  </si>
  <si>
    <t xml:space="preserve">bra_v01_q04_r0111</t>
  </si>
  <si>
    <t xml:space="preserve">BRAuf111</t>
  </si>
  <si>
    <t xml:space="preserve">bra_v01_q04_r0112</t>
  </si>
  <si>
    <t xml:space="preserve">BRAuf112</t>
  </si>
  <si>
    <t xml:space="preserve">bra_v01_q04_r0113</t>
  </si>
  <si>
    <t xml:space="preserve">BRAuf113</t>
  </si>
  <si>
    <t xml:space="preserve">bra_v01_q04_r0114</t>
  </si>
  <si>
    <t xml:space="preserve">BRAuf114</t>
  </si>
  <si>
    <t xml:space="preserve">bra_v01_q04_r0115</t>
  </si>
  <si>
    <t xml:space="preserve">BRAuf115</t>
  </si>
  <si>
    <t xml:space="preserve">bra_v01_q04_r0116</t>
  </si>
  <si>
    <t xml:space="preserve">BRAuf116</t>
  </si>
  <si>
    <t xml:space="preserve">bra_v01_q04_r0117</t>
  </si>
  <si>
    <t xml:space="preserve">BRAuf117</t>
  </si>
  <si>
    <t xml:space="preserve">bra_v01_q04_r0118</t>
  </si>
  <si>
    <t xml:space="preserve">BRAuf118</t>
  </si>
  <si>
    <t xml:space="preserve">bra_v01_q04_r0119</t>
  </si>
  <si>
    <t xml:space="preserve">BRAuf119</t>
  </si>
  <si>
    <t xml:space="preserve">bra_v01_q04_r0120</t>
  </si>
  <si>
    <t xml:space="preserve">BRAuf120</t>
  </si>
  <si>
    <t xml:space="preserve">bra_v01_q04_r0121</t>
  </si>
  <si>
    <t xml:space="preserve">BRAuf121</t>
  </si>
  <si>
    <t xml:space="preserve">bra_v01_q04_r0122</t>
  </si>
  <si>
    <t xml:space="preserve">BRAuf122</t>
  </si>
  <si>
    <t xml:space="preserve">bra_v01_q04_r0123</t>
  </si>
  <si>
    <t xml:space="preserve">BRAuf123</t>
  </si>
  <si>
    <t xml:space="preserve">bra_v01_q04_r0124</t>
  </si>
  <si>
    <t xml:space="preserve">BRAuf124</t>
  </si>
  <si>
    <t xml:space="preserve">bra_v01_q04_r0125</t>
  </si>
  <si>
    <t xml:space="preserve">BRAuf125</t>
  </si>
  <si>
    <t xml:space="preserve">bra_v01_q04_r0126</t>
  </si>
  <si>
    <t xml:space="preserve">BRAuf126</t>
  </si>
  <si>
    <t xml:space="preserve">bra_v01_q04_r0127</t>
  </si>
  <si>
    <t xml:space="preserve">BRAuf127</t>
  </si>
  <si>
    <t xml:space="preserve">bra_v01_q04_r0128</t>
  </si>
  <si>
    <t xml:space="preserve">BRAuf128</t>
  </si>
  <si>
    <t xml:space="preserve">bra_v01_q04_r0129</t>
  </si>
  <si>
    <t xml:space="preserve">bra_v01_q04_r0130</t>
  </si>
  <si>
    <t xml:space="preserve">bra_v01_q05_r0001</t>
  </si>
  <si>
    <t xml:space="preserve">bra_v01_q05_r0002</t>
  </si>
  <si>
    <t xml:space="preserve">bra_v01_q05_r0003</t>
  </si>
  <si>
    <t xml:space="preserve">bra_v01_q05_r0004</t>
  </si>
  <si>
    <t xml:space="preserve">bra_v01_q05_r0005</t>
  </si>
  <si>
    <t xml:space="preserve">bra_v01_q05_r0006</t>
  </si>
  <si>
    <t xml:space="preserve">bra_v01_q05_r0007</t>
  </si>
  <si>
    <t xml:space="preserve">bra_v01_q05_r0008</t>
  </si>
  <si>
    <t xml:space="preserve">bra_v01_q05_r0009</t>
  </si>
  <si>
    <t xml:space="preserve">bra_v01_q05_r0010</t>
  </si>
  <si>
    <t xml:space="preserve">bra_v01_q05_r0011</t>
  </si>
  <si>
    <t xml:space="preserve">bra_v01_q05_r0012</t>
  </si>
  <si>
    <t xml:space="preserve">bra_v01_q05_r0013</t>
  </si>
  <si>
    <t xml:space="preserve">bra_v01_q05_r0014</t>
  </si>
  <si>
    <t xml:space="preserve">bra_v01_q05_r0015</t>
  </si>
  <si>
    <t xml:space="preserve">bra_v01_q05_r0016</t>
  </si>
  <si>
    <t xml:space="preserve">bra_v01_q05_r0017</t>
  </si>
  <si>
    <t xml:space="preserve">bra_v01_q05_r0018</t>
  </si>
  <si>
    <t xml:space="preserve">bra_v01_q05_r0019</t>
  </si>
  <si>
    <t xml:space="preserve">bra_v01_q05_r0020</t>
  </si>
  <si>
    <t xml:space="preserve">bra_v01_q05_r0021</t>
  </si>
  <si>
    <t xml:space="preserve">bra_v01_q05_r0022</t>
  </si>
  <si>
    <t xml:space="preserve">bra_v01_q05_r0023</t>
  </si>
  <si>
    <t xml:space="preserve">bra_v01_q05_r0024</t>
  </si>
  <si>
    <t xml:space="preserve">bra_v01_q05_r0025</t>
  </si>
  <si>
    <t xml:space="preserve">bra_v01_q05_r0026</t>
  </si>
  <si>
    <t xml:space="preserve">bra_v01_q05_r0027</t>
  </si>
  <si>
    <t xml:space="preserve">bra_v01_q05_r0028</t>
  </si>
  <si>
    <t xml:space="preserve">bra_v01_q05_r0029</t>
  </si>
  <si>
    <t xml:space="preserve">bra_v01_q05_r0030</t>
  </si>
  <si>
    <t xml:space="preserve">bra_v01_q05_r0031</t>
  </si>
  <si>
    <t xml:space="preserve">bra_v01_q05_r0032</t>
  </si>
  <si>
    <t xml:space="preserve">bra_v01_q05_r0033</t>
  </si>
  <si>
    <t xml:space="preserve">bra_v01_q05_r0034</t>
  </si>
  <si>
    <t xml:space="preserve">bra_v01_q05_r0035</t>
  </si>
  <si>
    <t xml:space="preserve">bra_v01_q05_r0036</t>
  </si>
  <si>
    <t xml:space="preserve">bra_v01_q05_r0037</t>
  </si>
  <si>
    <t xml:space="preserve">bra_v01_q05_r0038</t>
  </si>
  <si>
    <t xml:space="preserve">bra_v01_q05_r0039</t>
  </si>
  <si>
    <t xml:space="preserve">bra_v01_q05_r0040</t>
  </si>
  <si>
    <t xml:space="preserve">bra_v01_q05_r0041</t>
  </si>
  <si>
    <t xml:space="preserve">bra_v01_q05_r0042</t>
  </si>
  <si>
    <t xml:space="preserve">bra_v01_q05_r0043</t>
  </si>
  <si>
    <t xml:space="preserve">bra_v01_q05_r0044</t>
  </si>
  <si>
    <t xml:space="preserve">bra_v01_q05_r0045</t>
  </si>
  <si>
    <t xml:space="preserve">bra_v01_q05_r0046</t>
  </si>
  <si>
    <t xml:space="preserve">bra_v01_q05_r0047</t>
  </si>
  <si>
    <t xml:space="preserve">bra_v01_q05_r0048</t>
  </si>
  <si>
    <t xml:space="preserve">bra_v01_q05_r0049</t>
  </si>
  <si>
    <t xml:space="preserve">bra_v01_q05_r0050</t>
  </si>
  <si>
    <t xml:space="preserve">bra_v01_q05_r0051</t>
  </si>
  <si>
    <t xml:space="preserve">bra_v01_q05_r0052</t>
  </si>
  <si>
    <t xml:space="preserve">bra_v01_q05_r0053</t>
  </si>
  <si>
    <t xml:space="preserve">bra_v01_q05_r0054</t>
  </si>
  <si>
    <t xml:space="preserve">bra_v01_q05_r0055</t>
  </si>
  <si>
    <t xml:space="preserve">bra_v01_q05_r0056</t>
  </si>
  <si>
    <t xml:space="preserve">bra_v01_q05_r0057</t>
  </si>
  <si>
    <t xml:space="preserve">bra_v01_q05_r0058</t>
  </si>
  <si>
    <t xml:space="preserve">bra_v01_q05_r0059</t>
  </si>
  <si>
    <t xml:space="preserve">bra_v01_q05_r0060</t>
  </si>
  <si>
    <t xml:space="preserve">bra_v01_q05_r0061</t>
  </si>
  <si>
    <t xml:space="preserve">bra_v01_q05_r0062</t>
  </si>
  <si>
    <t xml:space="preserve">bra_v01_q05_r0063</t>
  </si>
  <si>
    <t xml:space="preserve">bra_v01_q05_r0064</t>
  </si>
  <si>
    <t xml:space="preserve">bra_v01_q05_r0065</t>
  </si>
  <si>
    <t xml:space="preserve">bra_v01_q05_r0066</t>
  </si>
  <si>
    <t xml:space="preserve">bra_v01_q05_r0067</t>
  </si>
  <si>
    <t xml:space="preserve">bra_v01_q05_r0068</t>
  </si>
  <si>
    <t xml:space="preserve">bra_v01_q05_r0069</t>
  </si>
  <si>
    <t xml:space="preserve">bra_v01_q05_r0070</t>
  </si>
  <si>
    <t xml:space="preserve">bra_v01_q05_r0071</t>
  </si>
  <si>
    <t xml:space="preserve">bra_v01_q05_r0072</t>
  </si>
  <si>
    <t xml:space="preserve">bra_v01_q05_r0073</t>
  </si>
  <si>
    <t xml:space="preserve">bra_v01_q05_r0074</t>
  </si>
  <si>
    <t xml:space="preserve">bra_v01_q05_r0075</t>
  </si>
  <si>
    <t xml:space="preserve">bra_v01_q05_r0076</t>
  </si>
  <si>
    <t xml:space="preserve">bra_v01_q05_r0077</t>
  </si>
  <si>
    <t xml:space="preserve">bra_v01_q05_r0078</t>
  </si>
  <si>
    <t xml:space="preserve">bra_v01_q05_r0079</t>
  </si>
  <si>
    <t xml:space="preserve">bra_v01_q05_r0080</t>
  </si>
  <si>
    <t xml:space="preserve">bra_v01_q05_r0081</t>
  </si>
  <si>
    <t xml:space="preserve">bra_v01_q05_r0082</t>
  </si>
  <si>
    <t xml:space="preserve">bra_v01_q05_r0083</t>
  </si>
  <si>
    <t xml:space="preserve">bra_v01_q05_r0084</t>
  </si>
  <si>
    <t xml:space="preserve">bra_v01_q05_r0085</t>
  </si>
  <si>
    <t xml:space="preserve">bra_v01_q05_r0086</t>
  </si>
  <si>
    <t xml:space="preserve">bra_v01_q05_r0087</t>
  </si>
  <si>
    <t xml:space="preserve">bra_v01_q05_r0088</t>
  </si>
  <si>
    <t xml:space="preserve">bra_v01_q05_r0089</t>
  </si>
  <si>
    <t xml:space="preserve">bra_v01_q05_r0090</t>
  </si>
  <si>
    <t xml:space="preserve">bra_v01_q05_r0091</t>
  </si>
  <si>
    <t xml:space="preserve">bra_v01_q05_r0092</t>
  </si>
  <si>
    <t xml:space="preserve">bra_v01_q05_r0093</t>
  </si>
  <si>
    <t xml:space="preserve">bra_v01_q05_r0094</t>
  </si>
  <si>
    <t xml:space="preserve">bra_v01_q05_r0095</t>
  </si>
  <si>
    <t xml:space="preserve">bra_v01_q05_r0096</t>
  </si>
  <si>
    <t xml:space="preserve">bra_v01_q05_r0097</t>
  </si>
  <si>
    <t xml:space="preserve">bra_v01_q05_r0098</t>
  </si>
  <si>
    <t xml:space="preserve">bra_v01_q05_r0099</t>
  </si>
  <si>
    <t xml:space="preserve">bra_v01_q05_r0100</t>
  </si>
  <si>
    <t xml:space="preserve">bra_v01_q05_r0101</t>
  </si>
  <si>
    <t xml:space="preserve">bra_v01_q05_r0102</t>
  </si>
  <si>
    <t xml:space="preserve">bra_v01_q05_r0103</t>
  </si>
  <si>
    <t xml:space="preserve">bra_v01_q05_r0104</t>
  </si>
  <si>
    <t xml:space="preserve">bra_v01_q05_r0105</t>
  </si>
  <si>
    <t xml:space="preserve">bra_v01_q05_r0106</t>
  </si>
  <si>
    <t xml:space="preserve">bra_v01_q05_r0107</t>
  </si>
  <si>
    <t xml:space="preserve">bra_v01_q05_r0108</t>
  </si>
  <si>
    <t xml:space="preserve">bra_v01_q05_r0109</t>
  </si>
  <si>
    <t xml:space="preserve">bra_v01_q05_r0110</t>
  </si>
  <si>
    <t xml:space="preserve">bra_v01_q05_r0111</t>
  </si>
  <si>
    <t xml:space="preserve">bra_v01_q05_r0112</t>
  </si>
  <si>
    <t xml:space="preserve">bra_v01_q05_r0113</t>
  </si>
  <si>
    <t xml:space="preserve">bra_v01_q05_r0114</t>
  </si>
  <si>
    <t xml:space="preserve">bra_v01_q05_r0115</t>
  </si>
  <si>
    <t xml:space="preserve">bra_v01_q05_r0116</t>
  </si>
  <si>
    <t xml:space="preserve">bra_v01_q05_r0117</t>
  </si>
  <si>
    <t xml:space="preserve">bra_v01_q05_r0118</t>
  </si>
  <si>
    <t xml:space="preserve">bra_v01_q05_r0119</t>
  </si>
  <si>
    <t xml:space="preserve">bra_v01_q05_r0120</t>
  </si>
  <si>
    <t xml:space="preserve">bra_v01_q05_r0121</t>
  </si>
  <si>
    <t xml:space="preserve">bra_v01_q05_r0122</t>
  </si>
  <si>
    <t xml:space="preserve">bra_v01_q05_r0123</t>
  </si>
  <si>
    <t xml:space="preserve">bra_v01_q05_r0124</t>
  </si>
  <si>
    <t xml:space="preserve">bra_v01_q05_r0125</t>
  </si>
  <si>
    <t xml:space="preserve">bra_v01_q05_r0126</t>
  </si>
  <si>
    <t xml:space="preserve">bra_v01_q05_r0127</t>
  </si>
  <si>
    <t xml:space="preserve">bra_v01_q05_r0128</t>
  </si>
  <si>
    <t xml:space="preserve">bra_v01_q05_r0129</t>
  </si>
  <si>
    <t xml:space="preserve">bra_v01_q05_r0130</t>
  </si>
  <si>
    <t xml:space="preserve">bra_v01_q06_r0001</t>
  </si>
  <si>
    <t xml:space="preserve">BRAvf001</t>
  </si>
  <si>
    <t xml:space="preserve">col_id</t>
  </si>
  <si>
    <t xml:space="preserve">Columnas</t>
  </si>
  <si>
    <t xml:space="preserve">bra_v01_q01_c0001</t>
  </si>
  <si>
    <t xml:space="preserve">BRAoc001</t>
  </si>
  <si>
    <t xml:space="preserve">bra_v01_q01_c0002</t>
  </si>
  <si>
    <t xml:space="preserve">BRAoc002</t>
  </si>
  <si>
    <t xml:space="preserve">bra_v01_q01_c0003</t>
  </si>
  <si>
    <t xml:space="preserve">BRAoc003</t>
  </si>
  <si>
    <t xml:space="preserve">bra_v01_q01_c0004</t>
  </si>
  <si>
    <t xml:space="preserve">BRAoc004</t>
  </si>
  <si>
    <t xml:space="preserve">bra_v01_q01_c0005</t>
  </si>
  <si>
    <t xml:space="preserve">BRAoc005</t>
  </si>
  <si>
    <t xml:space="preserve">bra_v01_q01_c0006</t>
  </si>
  <si>
    <t xml:space="preserve">BRAoc006</t>
  </si>
  <si>
    <t xml:space="preserve">bra_v01_q01_c0007</t>
  </si>
  <si>
    <t xml:space="preserve">BRAoc007</t>
  </si>
  <si>
    <t xml:space="preserve">bra_v01_q01_c0008</t>
  </si>
  <si>
    <t xml:space="preserve">BRAoc008</t>
  </si>
  <si>
    <t xml:space="preserve">bra_v01_q01_c0009</t>
  </si>
  <si>
    <t xml:space="preserve">BRAoc009</t>
  </si>
  <si>
    <t xml:space="preserve">bra_v01_q01_c0010</t>
  </si>
  <si>
    <t xml:space="preserve">BRAoc010</t>
  </si>
  <si>
    <t xml:space="preserve">bra_v01_q01_c0011</t>
  </si>
  <si>
    <t xml:space="preserve">BRAoc011</t>
  </si>
  <si>
    <t xml:space="preserve">bra_v01_q01_c0012</t>
  </si>
  <si>
    <t xml:space="preserve">BRAoc012</t>
  </si>
  <si>
    <t xml:space="preserve">bra_v01_q01_c0013</t>
  </si>
  <si>
    <t xml:space="preserve">BRAoc013</t>
  </si>
  <si>
    <t xml:space="preserve">bra_v01_q01_c0014</t>
  </si>
  <si>
    <t xml:space="preserve">BRAoc014</t>
  </si>
  <si>
    <t xml:space="preserve">bra_v01_q01_c0015</t>
  </si>
  <si>
    <t xml:space="preserve">BRAoc015</t>
  </si>
  <si>
    <t xml:space="preserve">bra_v01_q01_c0016</t>
  </si>
  <si>
    <t xml:space="preserve">BRAoc016</t>
  </si>
  <si>
    <t xml:space="preserve">bra_v01_q01_c0017</t>
  </si>
  <si>
    <t xml:space="preserve">BRAoc017</t>
  </si>
  <si>
    <t xml:space="preserve">bra_v01_q01_c0018</t>
  </si>
  <si>
    <t xml:space="preserve">BRAoc018</t>
  </si>
  <si>
    <t xml:space="preserve">bra_v01_q01_c0019</t>
  </si>
  <si>
    <t xml:space="preserve">BRAoc019</t>
  </si>
  <si>
    <t xml:space="preserve">bra_v01_q01_c0020</t>
  </si>
  <si>
    <t xml:space="preserve">BRAoc020</t>
  </si>
  <si>
    <t xml:space="preserve">bra_v01_q01_c0021</t>
  </si>
  <si>
    <t xml:space="preserve">BRAoc021</t>
  </si>
  <si>
    <t xml:space="preserve">bra_v01_q01_c0022</t>
  </si>
  <si>
    <t xml:space="preserve">BRAoc022</t>
  </si>
  <si>
    <t xml:space="preserve">bra_v01_q01_c0023</t>
  </si>
  <si>
    <t xml:space="preserve">BRAoc023</t>
  </si>
  <si>
    <t xml:space="preserve">bra_v01_q01_c0024</t>
  </si>
  <si>
    <t xml:space="preserve">BRAoc024</t>
  </si>
  <si>
    <t xml:space="preserve">bra_v01_q01_c0025</t>
  </si>
  <si>
    <t xml:space="preserve">BRAoc025</t>
  </si>
  <si>
    <t xml:space="preserve">bra_v01_q01_c0026</t>
  </si>
  <si>
    <t xml:space="preserve">BRAoc026</t>
  </si>
  <si>
    <t xml:space="preserve">bra_v01_q01_c0027</t>
  </si>
  <si>
    <t xml:space="preserve">BRAoc027</t>
  </si>
  <si>
    <t xml:space="preserve">bra_v01_q01_c0028</t>
  </si>
  <si>
    <t xml:space="preserve">BRAoc028</t>
  </si>
  <si>
    <t xml:space="preserve">bra_v01_q01_c0029</t>
  </si>
  <si>
    <t xml:space="preserve">BRAoc029</t>
  </si>
  <si>
    <t xml:space="preserve">bra_v01_q01_c0030</t>
  </si>
  <si>
    <t xml:space="preserve">BRAoc030</t>
  </si>
  <si>
    <t xml:space="preserve">bra_v01_q01_c0031</t>
  </si>
  <si>
    <t xml:space="preserve">BRAoc031</t>
  </si>
  <si>
    <t xml:space="preserve">bra_v01_q01_c0032</t>
  </si>
  <si>
    <t xml:space="preserve">BRAoc032</t>
  </si>
  <si>
    <t xml:space="preserve">bra_v01_q01_c0033</t>
  </si>
  <si>
    <t xml:space="preserve">BRAoc033</t>
  </si>
  <si>
    <t xml:space="preserve">bra_v01_q01_c0034</t>
  </si>
  <si>
    <t xml:space="preserve">BRAoc034</t>
  </si>
  <si>
    <t xml:space="preserve">bra_v01_q01_c0035</t>
  </si>
  <si>
    <t xml:space="preserve">BRAoc035</t>
  </si>
  <si>
    <t xml:space="preserve">bra_v01_q01_c0036</t>
  </si>
  <si>
    <t xml:space="preserve">BRAoc036</t>
  </si>
  <si>
    <t xml:space="preserve">bra_v01_q01_c0037</t>
  </si>
  <si>
    <t xml:space="preserve">BRAoc037</t>
  </si>
  <si>
    <t xml:space="preserve">bra_v01_q01_c0038</t>
  </si>
  <si>
    <t xml:space="preserve">BRAoc038</t>
  </si>
  <si>
    <t xml:space="preserve">bra_v01_q01_c0039</t>
  </si>
  <si>
    <t xml:space="preserve">BRAoc039</t>
  </si>
  <si>
    <t xml:space="preserve">bra_v01_q01_c0040</t>
  </si>
  <si>
    <t xml:space="preserve">BRAoc040</t>
  </si>
  <si>
    <t xml:space="preserve">bra_v01_q01_c0041</t>
  </si>
  <si>
    <t xml:space="preserve">BRAoc041</t>
  </si>
  <si>
    <t xml:space="preserve">bra_v01_q01_c0042</t>
  </si>
  <si>
    <t xml:space="preserve">BRAoc042</t>
  </si>
  <si>
    <t xml:space="preserve">bra_v01_q01_c0043</t>
  </si>
  <si>
    <t xml:space="preserve">BRAoc043</t>
  </si>
  <si>
    <t xml:space="preserve">bra_v01_q01_c0044</t>
  </si>
  <si>
    <t xml:space="preserve">BRAoc044</t>
  </si>
  <si>
    <t xml:space="preserve">bra_v01_q01_c0045</t>
  </si>
  <si>
    <t xml:space="preserve">BRAoc045</t>
  </si>
  <si>
    <t xml:space="preserve">bra_v01_q01_c0046</t>
  </si>
  <si>
    <t xml:space="preserve">BRAoc046</t>
  </si>
  <si>
    <t xml:space="preserve">bra_v01_q01_c0047</t>
  </si>
  <si>
    <t xml:space="preserve">BRAoc047</t>
  </si>
  <si>
    <t xml:space="preserve">bra_v01_q01_c0048</t>
  </si>
  <si>
    <t xml:space="preserve">BRAoc048</t>
  </si>
  <si>
    <t xml:space="preserve">bra_v01_q01_c0049</t>
  </si>
  <si>
    <t xml:space="preserve">BRAoc049</t>
  </si>
  <si>
    <t xml:space="preserve">bra_v01_q01_c0050</t>
  </si>
  <si>
    <t xml:space="preserve">BRAoc050</t>
  </si>
  <si>
    <t xml:space="preserve">bra_v01_q01_c0051</t>
  </si>
  <si>
    <t xml:space="preserve">BRAoc051</t>
  </si>
  <si>
    <t xml:space="preserve">bra_v01_q01_c0052</t>
  </si>
  <si>
    <t xml:space="preserve">BRAoc052</t>
  </si>
  <si>
    <t xml:space="preserve">bra_v01_q01_c0053</t>
  </si>
  <si>
    <t xml:space="preserve">BRAoc053</t>
  </si>
  <si>
    <t xml:space="preserve">bra_v01_q01_c0054</t>
  </si>
  <si>
    <t xml:space="preserve">BRAoc054</t>
  </si>
  <si>
    <t xml:space="preserve">bra_v01_q01_c0055</t>
  </si>
  <si>
    <t xml:space="preserve">BRAoc055</t>
  </si>
  <si>
    <t xml:space="preserve">bra_v01_q01_c0056</t>
  </si>
  <si>
    <t xml:space="preserve">BRAoc056</t>
  </si>
  <si>
    <t xml:space="preserve">bra_v01_q01_c0057</t>
  </si>
  <si>
    <t xml:space="preserve">BRAoc057</t>
  </si>
  <si>
    <t xml:space="preserve">bra_v01_q01_c0058</t>
  </si>
  <si>
    <t xml:space="preserve">BRAoc058</t>
  </si>
  <si>
    <t xml:space="preserve">bra_v01_q01_c0059</t>
  </si>
  <si>
    <t xml:space="preserve">BRAoc059</t>
  </si>
  <si>
    <t xml:space="preserve">bra_v01_q01_c0060</t>
  </si>
  <si>
    <t xml:space="preserve">BRAoc060</t>
  </si>
  <si>
    <t xml:space="preserve">bra_v01_q01_c0061</t>
  </si>
  <si>
    <t xml:space="preserve">BRAoc061</t>
  </si>
  <si>
    <t xml:space="preserve">bra_v01_q01_c0062</t>
  </si>
  <si>
    <t xml:space="preserve">BRAoc062</t>
  </si>
  <si>
    <t xml:space="preserve">bra_v01_q01_c0063</t>
  </si>
  <si>
    <t xml:space="preserve">BRAoc063</t>
  </si>
  <si>
    <t xml:space="preserve">bra_v01_q01_c0064</t>
  </si>
  <si>
    <t xml:space="preserve">BRAoc064</t>
  </si>
  <si>
    <t xml:space="preserve">bra_v01_q01_c0065</t>
  </si>
  <si>
    <t xml:space="preserve">BRAoc065</t>
  </si>
  <si>
    <t xml:space="preserve">bra_v01_q01_c0066</t>
  </si>
  <si>
    <t xml:space="preserve">BRAoc066</t>
  </si>
  <si>
    <t xml:space="preserve">bra_v01_q01_c0067</t>
  </si>
  <si>
    <t xml:space="preserve">BRAoc067</t>
  </si>
  <si>
    <t xml:space="preserve">bra_v01_q01_c0068</t>
  </si>
  <si>
    <t xml:space="preserve">BRAoc068</t>
  </si>
  <si>
    <t xml:space="preserve">bra_v01_q01_c0069</t>
  </si>
  <si>
    <t xml:space="preserve">BRAoc069</t>
  </si>
  <si>
    <t xml:space="preserve">bra_v01_q02_c0001</t>
  </si>
  <si>
    <t xml:space="preserve">BRAoc070</t>
  </si>
  <si>
    <t xml:space="preserve">bra_v01_q03_c0001</t>
  </si>
  <si>
    <t xml:space="preserve">bra_v01_q03_c0002</t>
  </si>
  <si>
    <t xml:space="preserve">BRAoc071</t>
  </si>
  <si>
    <t xml:space="preserve">bra_v01_q03_c0003</t>
  </si>
  <si>
    <t xml:space="preserve">BRAoc072</t>
  </si>
  <si>
    <t xml:space="preserve">bra_v01_q03_c0004</t>
  </si>
  <si>
    <t xml:space="preserve">BRAoc073</t>
  </si>
  <si>
    <t xml:space="preserve">bra_v01_q03_c0005</t>
  </si>
  <si>
    <t xml:space="preserve">BRAoc074</t>
  </si>
  <si>
    <t xml:space="preserve">bra_v01_q03_c0006</t>
  </si>
  <si>
    <t xml:space="preserve">BRAoc075</t>
  </si>
  <si>
    <t xml:space="preserve">bra_v01_q03_c0007</t>
  </si>
  <si>
    <t xml:space="preserve">BRAoc076</t>
  </si>
  <si>
    <t xml:space="preserve">bra_v01_q03_c0008</t>
  </si>
  <si>
    <t xml:space="preserve">BRAoc077</t>
  </si>
  <si>
    <t xml:space="preserve">bra_v01_q03_c0009</t>
  </si>
  <si>
    <t xml:space="preserve">bra_v01_q04_c0001</t>
  </si>
  <si>
    <t xml:space="preserve">BRAuc001</t>
  </si>
  <si>
    <t xml:space="preserve">bra_v01_q04_c0002</t>
  </si>
  <si>
    <t xml:space="preserve">BRAuc002</t>
  </si>
  <si>
    <t xml:space="preserve">bra_v01_q04_c0003</t>
  </si>
  <si>
    <t xml:space="preserve">BRAuc003</t>
  </si>
  <si>
    <t xml:space="preserve">bra_v01_q04_c0004</t>
  </si>
  <si>
    <t xml:space="preserve">BRAuc004</t>
  </si>
  <si>
    <t xml:space="preserve">bra_v01_q04_c0005</t>
  </si>
  <si>
    <t xml:space="preserve">BRAuc005</t>
  </si>
  <si>
    <t xml:space="preserve">bra_v01_q04_c0006</t>
  </si>
  <si>
    <t xml:space="preserve">BRAuc006</t>
  </si>
  <si>
    <t xml:space="preserve">bra_v01_q04_c0007</t>
  </si>
  <si>
    <t xml:space="preserve">BRAuc007</t>
  </si>
  <si>
    <t xml:space="preserve">bra_v01_q04_c0008</t>
  </si>
  <si>
    <t xml:space="preserve">BRAuc008</t>
  </si>
  <si>
    <t xml:space="preserve">bra_v01_q04_c0009</t>
  </si>
  <si>
    <t xml:space="preserve">BRAuc009</t>
  </si>
  <si>
    <t xml:space="preserve">bra_v01_q04_c0010</t>
  </si>
  <si>
    <t xml:space="preserve">BRAuc010</t>
  </si>
  <si>
    <t xml:space="preserve">bra_v01_q04_c0011</t>
  </si>
  <si>
    <t xml:space="preserve">BRAuc011</t>
  </si>
  <si>
    <t xml:space="preserve">bra_v01_q04_c0012</t>
  </si>
  <si>
    <t xml:space="preserve">BRAuc012</t>
  </si>
  <si>
    <t xml:space="preserve">bra_v01_q04_c0013</t>
  </si>
  <si>
    <t xml:space="preserve">BRAuc013</t>
  </si>
  <si>
    <t xml:space="preserve">bra_v01_q04_c0014</t>
  </si>
  <si>
    <t xml:space="preserve">BRAuc014</t>
  </si>
  <si>
    <t xml:space="preserve">bra_v01_q04_c0015</t>
  </si>
  <si>
    <t xml:space="preserve">BRAuc015</t>
  </si>
  <si>
    <t xml:space="preserve">bra_v01_q04_c0016</t>
  </si>
  <si>
    <t xml:space="preserve">BRAuc016</t>
  </si>
  <si>
    <t xml:space="preserve">bra_v01_q04_c0017</t>
  </si>
  <si>
    <t xml:space="preserve">BRAuc017</t>
  </si>
  <si>
    <t xml:space="preserve">bra_v01_q04_c0018</t>
  </si>
  <si>
    <t xml:space="preserve">BRAuc018</t>
  </si>
  <si>
    <t xml:space="preserve">bra_v01_q04_c0019</t>
  </si>
  <si>
    <t xml:space="preserve">BRAuc019</t>
  </si>
  <si>
    <t xml:space="preserve">bra_v01_q04_c0020</t>
  </si>
  <si>
    <t xml:space="preserve">BRAuc020</t>
  </si>
  <si>
    <t xml:space="preserve">bra_v01_q04_c0021</t>
  </si>
  <si>
    <t xml:space="preserve">BRAuc021</t>
  </si>
  <si>
    <t xml:space="preserve">bra_v01_q04_c0022</t>
  </si>
  <si>
    <t xml:space="preserve">BRAuc022</t>
  </si>
  <si>
    <t xml:space="preserve">bra_v01_q04_c0023</t>
  </si>
  <si>
    <t xml:space="preserve">BRAuc023</t>
  </si>
  <si>
    <t xml:space="preserve">bra_v01_q04_c0024</t>
  </si>
  <si>
    <t xml:space="preserve">BRAuc024</t>
  </si>
  <si>
    <t xml:space="preserve">bra_v01_q04_c0025</t>
  </si>
  <si>
    <t xml:space="preserve">BRAuc025</t>
  </si>
  <si>
    <t xml:space="preserve">bra_v01_q04_c0026</t>
  </si>
  <si>
    <t xml:space="preserve">BRAuc026</t>
  </si>
  <si>
    <t xml:space="preserve">bra_v01_q04_c0027</t>
  </si>
  <si>
    <t xml:space="preserve">BRAuc027</t>
  </si>
  <si>
    <t xml:space="preserve">bra_v01_q04_c0028</t>
  </si>
  <si>
    <t xml:space="preserve">BRAuc028</t>
  </si>
  <si>
    <t xml:space="preserve">bra_v01_q04_c0029</t>
  </si>
  <si>
    <t xml:space="preserve">BRAuc029</t>
  </si>
  <si>
    <t xml:space="preserve">bra_v01_q04_c0030</t>
  </si>
  <si>
    <t xml:space="preserve">BRAuc030</t>
  </si>
  <si>
    <t xml:space="preserve">bra_v01_q04_c0031</t>
  </si>
  <si>
    <t xml:space="preserve">BRAuc031</t>
  </si>
  <si>
    <t xml:space="preserve">bra_v01_q04_c0032</t>
  </si>
  <si>
    <t xml:space="preserve">BRAuc032</t>
  </si>
  <si>
    <t xml:space="preserve">bra_v01_q04_c0033</t>
  </si>
  <si>
    <t xml:space="preserve">BRAuc033</t>
  </si>
  <si>
    <t xml:space="preserve">bra_v01_q04_c0034</t>
  </si>
  <si>
    <t xml:space="preserve">BRAuc034</t>
  </si>
  <si>
    <t xml:space="preserve">bra_v01_q04_c0035</t>
  </si>
  <si>
    <t xml:space="preserve">BRAuc035</t>
  </si>
  <si>
    <t xml:space="preserve">bra_v01_q04_c0036</t>
  </si>
  <si>
    <t xml:space="preserve">BRAuc036</t>
  </si>
  <si>
    <t xml:space="preserve">bra_v01_q04_c0037</t>
  </si>
  <si>
    <t xml:space="preserve">BRAuc037</t>
  </si>
  <si>
    <t xml:space="preserve">bra_v01_q04_c0038</t>
  </si>
  <si>
    <t xml:space="preserve">BRAuc038</t>
  </si>
  <si>
    <t xml:space="preserve">bra_v01_q04_c0039</t>
  </si>
  <si>
    <t xml:space="preserve">BRAuc039</t>
  </si>
  <si>
    <t xml:space="preserve">bra_v01_q04_c0040</t>
  </si>
  <si>
    <t xml:space="preserve">BRAuc040</t>
  </si>
  <si>
    <t xml:space="preserve">bra_v01_q04_c0041</t>
  </si>
  <si>
    <t xml:space="preserve">BRAuc041</t>
  </si>
  <si>
    <t xml:space="preserve">bra_v01_q04_c0042</t>
  </si>
  <si>
    <t xml:space="preserve">BRAuc042</t>
  </si>
  <si>
    <t xml:space="preserve">bra_v01_q04_c0043</t>
  </si>
  <si>
    <t xml:space="preserve">BRAuc043</t>
  </si>
  <si>
    <t xml:space="preserve">bra_v01_q04_c0044</t>
  </si>
  <si>
    <t xml:space="preserve">BRAuc044</t>
  </si>
  <si>
    <t xml:space="preserve">bra_v01_q04_c0045</t>
  </si>
  <si>
    <t xml:space="preserve">BRAuc045</t>
  </si>
  <si>
    <t xml:space="preserve">bra_v01_q04_c0046</t>
  </si>
  <si>
    <t xml:space="preserve">BRAuc046</t>
  </si>
  <si>
    <t xml:space="preserve">bra_v01_q04_c0047</t>
  </si>
  <si>
    <t xml:space="preserve">BRAuc047</t>
  </si>
  <si>
    <t xml:space="preserve">bra_v01_q04_c0048</t>
  </si>
  <si>
    <t xml:space="preserve">BRAuc048</t>
  </si>
  <si>
    <t xml:space="preserve">bra_v01_q04_c0049</t>
  </si>
  <si>
    <t xml:space="preserve">BRAuc049</t>
  </si>
  <si>
    <t xml:space="preserve">bra_v01_q04_c0050</t>
  </si>
  <si>
    <t xml:space="preserve">BRAuc050</t>
  </si>
  <si>
    <t xml:space="preserve">bra_v01_q04_c0051</t>
  </si>
  <si>
    <t xml:space="preserve">BRAuc051</t>
  </si>
  <si>
    <t xml:space="preserve">bra_v01_q04_c0052</t>
  </si>
  <si>
    <t xml:space="preserve">BRAuc052</t>
  </si>
  <si>
    <t xml:space="preserve">bra_v01_q04_c0053</t>
  </si>
  <si>
    <t xml:space="preserve">BRAuc053</t>
  </si>
  <si>
    <t xml:space="preserve">bra_v01_q04_c0054</t>
  </si>
  <si>
    <t xml:space="preserve">BRAuc054</t>
  </si>
  <si>
    <t xml:space="preserve">bra_v01_q04_c0055</t>
  </si>
  <si>
    <t xml:space="preserve">BRAuc055</t>
  </si>
  <si>
    <t xml:space="preserve">bra_v01_q04_c0056</t>
  </si>
  <si>
    <t xml:space="preserve">BRAuc056</t>
  </si>
  <si>
    <t xml:space="preserve">bra_v01_q04_c0057</t>
  </si>
  <si>
    <t xml:space="preserve">BRAuc057</t>
  </si>
  <si>
    <t xml:space="preserve">bra_v01_q04_c0058</t>
  </si>
  <si>
    <t xml:space="preserve">BRAuc058</t>
  </si>
  <si>
    <t xml:space="preserve">bra_v01_q04_c0059</t>
  </si>
  <si>
    <t xml:space="preserve">BRAuc059</t>
  </si>
  <si>
    <t xml:space="preserve">bra_v01_q04_c0060</t>
  </si>
  <si>
    <t xml:space="preserve">BRAuc060</t>
  </si>
  <si>
    <t xml:space="preserve">bra_v01_q04_c0061</t>
  </si>
  <si>
    <t xml:space="preserve">BRAuc061</t>
  </si>
  <si>
    <t xml:space="preserve">bra_v01_q04_c0062</t>
  </si>
  <si>
    <t xml:space="preserve">BRAuc062</t>
  </si>
  <si>
    <t xml:space="preserve">bra_v01_q04_c0063</t>
  </si>
  <si>
    <t xml:space="preserve">BRAuc063</t>
  </si>
  <si>
    <t xml:space="preserve">bra_v01_q04_c0064</t>
  </si>
  <si>
    <t xml:space="preserve">BRAuc064</t>
  </si>
  <si>
    <t xml:space="preserve">bra_v01_q04_c0065</t>
  </si>
  <si>
    <t xml:space="preserve">BRAuc065</t>
  </si>
  <si>
    <t xml:space="preserve">bra_v01_q04_c0066</t>
  </si>
  <si>
    <t xml:space="preserve">BRAuc066</t>
  </si>
  <si>
    <t xml:space="preserve">bra_v01_q04_c0067</t>
  </si>
  <si>
    <t xml:space="preserve">BRAuc067</t>
  </si>
  <si>
    <t xml:space="preserve">bra_v01_q04_c0068</t>
  </si>
  <si>
    <t xml:space="preserve">BRAuc068</t>
  </si>
  <si>
    <t xml:space="preserve">bra_v01_q04_c0069</t>
  </si>
  <si>
    <t xml:space="preserve">BRAuc069</t>
  </si>
  <si>
    <t xml:space="preserve">bra_v01_q05_c0001</t>
  </si>
  <si>
    <t xml:space="preserve">BRAuc070</t>
  </si>
  <si>
    <t xml:space="preserve">bra_v01_q05_c0002</t>
  </si>
  <si>
    <t xml:space="preserve">BRAuc071</t>
  </si>
  <si>
    <t xml:space="preserve">bra_v01_q05_c0003</t>
  </si>
  <si>
    <t xml:space="preserve">BRAuc072</t>
  </si>
  <si>
    <t xml:space="preserve">bra_v01_q05_c0004</t>
  </si>
  <si>
    <t xml:space="preserve">BRAuc073</t>
  </si>
  <si>
    <t xml:space="preserve">bra_v01_q05_c0005</t>
  </si>
  <si>
    <t xml:space="preserve">BRAuc074</t>
  </si>
  <si>
    <t xml:space="preserve">bra_v01_q05_c0006</t>
  </si>
  <si>
    <t xml:space="preserve">BRAuc075</t>
  </si>
  <si>
    <t xml:space="preserve">bra_v01_q05_c0007</t>
  </si>
  <si>
    <t xml:space="preserve">BRAuc076</t>
  </si>
  <si>
    <t xml:space="preserve">bra_v01_q05_c0008</t>
  </si>
  <si>
    <t xml:space="preserve">BRAuc077</t>
  </si>
  <si>
    <t xml:space="preserve">bra_v01_q06_c0001</t>
  </si>
  <si>
    <t xml:space="preserve">BRAvc001</t>
  </si>
  <si>
    <t xml:space="preserve">bra_v01_q06_c0002</t>
  </si>
  <si>
    <t xml:space="preserve">BRAvc002</t>
  </si>
  <si>
    <t xml:space="preserve">bra_v01_q06_c0003</t>
  </si>
  <si>
    <t xml:space="preserve">BRAvc003</t>
  </si>
  <si>
    <t xml:space="preserve">bra_v01_q06_c0004</t>
  </si>
  <si>
    <t xml:space="preserve">BRAvc004</t>
  </si>
  <si>
    <t xml:space="preserve">bra_v01_q06_c0005</t>
  </si>
  <si>
    <t xml:space="preserve">BRAvc005</t>
  </si>
  <si>
    <t xml:space="preserve">bra_v01_q06_c0006</t>
  </si>
  <si>
    <t xml:space="preserve">BRAvc006</t>
  </si>
  <si>
    <t xml:space="preserve">bra_v01_q06_c0007</t>
  </si>
  <si>
    <t xml:space="preserve">BRAvc007</t>
  </si>
  <si>
    <t xml:space="preserve">bra_v01_q06_c0008</t>
  </si>
  <si>
    <t xml:space="preserve">BRAvc008</t>
  </si>
  <si>
    <t xml:space="preserve">bra_v01_q06_c0009</t>
  </si>
  <si>
    <t xml:space="preserve">BRAvc009</t>
  </si>
  <si>
    <t xml:space="preserve">bra_v01_q06_c0010</t>
  </si>
  <si>
    <t xml:space="preserve">BRAvc010</t>
  </si>
  <si>
    <t xml:space="preserve">bra_v01_q06_c0011</t>
  </si>
  <si>
    <t xml:space="preserve">BRAvc011</t>
  </si>
  <si>
    <t xml:space="preserve">bra_v01_q06_c0012</t>
  </si>
  <si>
    <t xml:space="preserve">BRAvc012</t>
  </si>
  <si>
    <t xml:space="preserve">bra_v01_q06_c0013</t>
  </si>
  <si>
    <t xml:space="preserve">BRAvc013</t>
  </si>
  <si>
    <t xml:space="preserve">bra_v01_q06_c0014</t>
  </si>
  <si>
    <t xml:space="preserve">BRAvc014</t>
  </si>
  <si>
    <t xml:space="preserve">bra_v01_q06_c0015</t>
  </si>
  <si>
    <t xml:space="preserve">BRAvc015</t>
  </si>
  <si>
    <t xml:space="preserve">bra_v01_q06_c0016</t>
  </si>
  <si>
    <t xml:space="preserve">BRAvc016</t>
  </si>
  <si>
    <t xml:space="preserve">bra_v01_q06_c0017</t>
  </si>
  <si>
    <t xml:space="preserve">BRAvc017</t>
  </si>
  <si>
    <t xml:space="preserve">bra_v01_q06_c0018</t>
  </si>
  <si>
    <t xml:space="preserve">BRAvc018</t>
  </si>
  <si>
    <t xml:space="preserve">bra_v01_q06_c0019</t>
  </si>
  <si>
    <t xml:space="preserve">BRAvc019</t>
  </si>
  <si>
    <t xml:space="preserve">bra_v01_q06_c0020</t>
  </si>
  <si>
    <t xml:space="preserve">BRAvc020</t>
  </si>
  <si>
    <t xml:space="preserve">bra_v01_q06_c0021</t>
  </si>
  <si>
    <t xml:space="preserve">BRAvc021</t>
  </si>
  <si>
    <t xml:space="preserve">bra_v01_q06_c0022</t>
  </si>
  <si>
    <t xml:space="preserve">BRAvc022</t>
  </si>
  <si>
    <t xml:space="preserve">bra_v01_q06_c0023</t>
  </si>
  <si>
    <t xml:space="preserve">BRAvc023</t>
  </si>
  <si>
    <t xml:space="preserve">bra_v01_q06_c0024</t>
  </si>
  <si>
    <t xml:space="preserve">BRAvc024</t>
  </si>
  <si>
    <t xml:space="preserve">bra_v01_q06_c0025</t>
  </si>
  <si>
    <t xml:space="preserve">BRAvc025</t>
  </si>
  <si>
    <t xml:space="preserve">bra_v01_q06_c0026</t>
  </si>
  <si>
    <t xml:space="preserve">BRAvc026</t>
  </si>
  <si>
    <t xml:space="preserve">bra_v01_q06_c0027</t>
  </si>
  <si>
    <t xml:space="preserve">BRAvc027</t>
  </si>
  <si>
    <t xml:space="preserve">bra_v01_q06_c0028</t>
  </si>
  <si>
    <t xml:space="preserve">BRAvc028</t>
  </si>
  <si>
    <t xml:space="preserve">bra_v01_q06_c0029</t>
  </si>
  <si>
    <t xml:space="preserve">BRAvc029</t>
  </si>
  <si>
    <t xml:space="preserve">bra_v01_q06_c0030</t>
  </si>
  <si>
    <t xml:space="preserve">BRAvc030</t>
  </si>
  <si>
    <t xml:space="preserve">bra_v01_q06_c0031</t>
  </si>
  <si>
    <t xml:space="preserve">BRAvc031</t>
  </si>
  <si>
    <t xml:space="preserve">bra_v01_q06_c0032</t>
  </si>
  <si>
    <t xml:space="preserve">BRAvc032</t>
  </si>
  <si>
    <t xml:space="preserve">bra_v01_q06_c0033</t>
  </si>
  <si>
    <t xml:space="preserve">BRAvc033</t>
  </si>
  <si>
    <t xml:space="preserve">bra_v01_q06_c0034</t>
  </si>
  <si>
    <t xml:space="preserve">BRAvc034</t>
  </si>
  <si>
    <t xml:space="preserve">bra_v01_q06_c0035</t>
  </si>
  <si>
    <t xml:space="preserve">BRAvc035</t>
  </si>
  <si>
    <t xml:space="preserve">bra_v01_q06_c0036</t>
  </si>
  <si>
    <t xml:space="preserve">BRAvc036</t>
  </si>
  <si>
    <t xml:space="preserve">bra_v01_q06_c0037</t>
  </si>
  <si>
    <t xml:space="preserve">BRAvc037</t>
  </si>
  <si>
    <t xml:space="preserve">bra_v01_q06_c0038</t>
  </si>
  <si>
    <t xml:space="preserve">BRAvc038</t>
  </si>
  <si>
    <t xml:space="preserve">bra_v01_q06_c0039</t>
  </si>
  <si>
    <t xml:space="preserve">BRAvc039</t>
  </si>
  <si>
    <t xml:space="preserve">bra_v01_q06_c0040</t>
  </si>
  <si>
    <t xml:space="preserve">BRAvc040</t>
  </si>
  <si>
    <t xml:space="preserve">bra_v01_q06_c0041</t>
  </si>
  <si>
    <t xml:space="preserve">BRAvc041</t>
  </si>
  <si>
    <t xml:space="preserve">bra_v01_q06_c0042</t>
  </si>
  <si>
    <t xml:space="preserve">BRAvc042</t>
  </si>
  <si>
    <t xml:space="preserve">bra_v01_q06_c0043</t>
  </si>
  <si>
    <t xml:space="preserve">BRAvc043</t>
  </si>
  <si>
    <t xml:space="preserve">bra_v01_q06_c0044</t>
  </si>
  <si>
    <t xml:space="preserve">BRAvc044</t>
  </si>
  <si>
    <t xml:space="preserve">bra_v01_q06_c0045</t>
  </si>
  <si>
    <t xml:space="preserve">BRAvc045</t>
  </si>
  <si>
    <t xml:space="preserve">bra_v01_q06_c0046</t>
  </si>
  <si>
    <t xml:space="preserve">BRAvc046</t>
  </si>
  <si>
    <t xml:space="preserve">bra_v01_q06_c0047</t>
  </si>
  <si>
    <t xml:space="preserve">BRAvc047</t>
  </si>
  <si>
    <t xml:space="preserve">bra_v01_q06_c0048</t>
  </si>
  <si>
    <t xml:space="preserve">BRAvc048</t>
  </si>
  <si>
    <t xml:space="preserve">bra_v01_q06_c0049</t>
  </si>
  <si>
    <t xml:space="preserve">BRAvc049</t>
  </si>
  <si>
    <t xml:space="preserve">bra_v01_q06_c0050</t>
  </si>
  <si>
    <t xml:space="preserve">BRAvc050</t>
  </si>
  <si>
    <t xml:space="preserve">bra_v01_q06_c0051</t>
  </si>
  <si>
    <t xml:space="preserve">BRAvc051</t>
  </si>
  <si>
    <t xml:space="preserve">bra_v01_q06_c0052</t>
  </si>
  <si>
    <t xml:space="preserve">BRAvc052</t>
  </si>
  <si>
    <t xml:space="preserve">bra_v01_q06_c0053</t>
  </si>
  <si>
    <t xml:space="preserve">BRAvc053</t>
  </si>
  <si>
    <t xml:space="preserve">bra_v01_q06_c0054</t>
  </si>
  <si>
    <t xml:space="preserve">BRAvc054</t>
  </si>
  <si>
    <t xml:space="preserve">bra_v01_q06_c0055</t>
  </si>
  <si>
    <t xml:space="preserve">BRAvc055</t>
  </si>
  <si>
    <t xml:space="preserve">bra_v01_q06_c0056</t>
  </si>
  <si>
    <t xml:space="preserve">BRAvc056</t>
  </si>
  <si>
    <t xml:space="preserve">bra_v01_q06_c0057</t>
  </si>
  <si>
    <t xml:space="preserve">BRAvc057</t>
  </si>
  <si>
    <t xml:space="preserve">bra_v01_q06_c0058</t>
  </si>
  <si>
    <t xml:space="preserve">BRAvc058</t>
  </si>
  <si>
    <t xml:space="preserve">bra_v01_q06_c0059</t>
  </si>
  <si>
    <t xml:space="preserve">BRAvc059</t>
  </si>
  <si>
    <t xml:space="preserve">bra_v01_q06_c0060</t>
  </si>
  <si>
    <t xml:space="preserve">BRAvc060</t>
  </si>
  <si>
    <t xml:space="preserve">bra_v01_q06_c0061</t>
  </si>
  <si>
    <t xml:space="preserve">BRAvc061</t>
  </si>
  <si>
    <t xml:space="preserve">bra_v01_q06_c0062</t>
  </si>
  <si>
    <t xml:space="preserve">BRAvc062</t>
  </si>
  <si>
    <t xml:space="preserve">bra_v01_q06_c0063</t>
  </si>
  <si>
    <t xml:space="preserve">BRAvc063</t>
  </si>
  <si>
    <t xml:space="preserve">bra_v01_q06_c0064</t>
  </si>
  <si>
    <t xml:space="preserve">BRAvc064</t>
  </si>
  <si>
    <t xml:space="preserve">bra_v01_q06_c0065</t>
  </si>
  <si>
    <t xml:space="preserve">BRAvc065</t>
  </si>
  <si>
    <t xml:space="preserve">bra_v01_q06_c0066</t>
  </si>
  <si>
    <t xml:space="preserve">BRAvc066</t>
  </si>
  <si>
    <t xml:space="preserve">bra_v01_q06_c0067</t>
  </si>
  <si>
    <t xml:space="preserve">BRAvc067</t>
  </si>
  <si>
    <t xml:space="preserve">bra_v01_q06_c0068</t>
  </si>
  <si>
    <t xml:space="preserve">BRAvc068</t>
  </si>
  <si>
    <t xml:space="preserve">bra_v01_q06_c0069</t>
  </si>
  <si>
    <t xml:space="preserve">BRAvc069</t>
  </si>
  <si>
    <t xml:space="preserve">quadrant_code</t>
  </si>
  <si>
    <t xml:space="preserve">quadrant</t>
  </si>
  <si>
    <t xml:space="preserve">target_table</t>
  </si>
  <si>
    <t xml:space="preserve">cell_range</t>
  </si>
  <si>
    <t xml:space="preserve">excl_rows</t>
  </si>
  <si>
    <t xml:space="preserve">excl_cols</t>
  </si>
  <si>
    <t xml:space="preserve">q01</t>
  </si>
  <si>
    <t xml:space="preserve">producao</t>
  </si>
  <si>
    <t xml:space="preserve">Supply</t>
  </si>
  <si>
    <t xml:space="preserve">C6:BS135</t>
  </si>
  <si>
    <t xml:space="preserve">129,130</t>
  </si>
  <si>
    <t xml:space="preserve">69</t>
  </si>
  <si>
    <t xml:space="preserve">q02</t>
  </si>
  <si>
    <t xml:space="preserve">importacao</t>
  </si>
  <si>
    <t xml:space="preserve">C6:C135</t>
  </si>
  <si>
    <t xml:space="preserve">q03</t>
  </si>
  <si>
    <t xml:space="preserve">oferta</t>
  </si>
  <si>
    <t xml:space="preserve">C6:K135</t>
  </si>
  <si>
    <t xml:space="preserve">1,8,9</t>
  </si>
  <si>
    <t xml:space="preserve">q04</t>
  </si>
  <si>
    <t xml:space="preserve">CI</t>
  </si>
  <si>
    <t xml:space="preserve">Use</t>
  </si>
  <si>
    <t xml:space="preserve">q05</t>
  </si>
  <si>
    <t xml:space="preserve">demanda</t>
  </si>
  <si>
    <t xml:space="preserve">C6:J135</t>
  </si>
  <si>
    <t xml:space="preserve">7,8</t>
  </si>
  <si>
    <t xml:space="preserve">q06</t>
  </si>
  <si>
    <t xml:space="preserve">VA</t>
  </si>
  <si>
    <t xml:space="preserve">Value Added</t>
  </si>
  <si>
    <t xml:space="preserve">B6:BR6</t>
  </si>
  <si>
    <t xml:space="preserve">Código Transacciones</t>
  </si>
  <si>
    <t xml:space="preserve">Área transaccional columnas No.</t>
  </si>
  <si>
    <t xml:space="preserve">Área transaccional</t>
  </si>
  <si>
    <t xml:space="preserve">Transacciones</t>
  </si>
  <si>
    <t xml:space="preserve">Correlativo Transacciones Agregadas</t>
  </si>
  <si>
    <t xml:space="preserve">Código Transacciones Agregadas</t>
  </si>
  <si>
    <t xml:space="preserve">Transacciones Agregadas</t>
  </si>
  <si>
    <t xml:space="preserve">Código Clasificación Actividades</t>
  </si>
  <si>
    <t xml:space="preserve">Descripción Actividades</t>
  </si>
  <si>
    <t xml:space="preserve">CIIU Secciones</t>
  </si>
  <si>
    <t xml:space="preserve">CIIU Secciones descripción</t>
  </si>
  <si>
    <t xml:space="preserve">CIIU Corto</t>
  </si>
  <si>
    <t xml:space="preserve">CIIU English</t>
  </si>
  <si>
    <t xml:space="preserve">Correlativo Bioeconomía Actividades</t>
  </si>
  <si>
    <t xml:space="preserve">Bioeconomía Actividades</t>
  </si>
  <si>
    <t xml:space="preserve">P10</t>
  </si>
  <si>
    <t xml:space="preserve">0191</t>
  </si>
  <si>
    <t xml:space="preserve">0191
Agricultura, inclusive o apoio à agricultura e a pós-colheita</t>
  </si>
  <si>
    <t xml:space="preserve">A</t>
  </si>
  <si>
    <t xml:space="preserve">0192</t>
  </si>
  <si>
    <t xml:space="preserve">0192
Pecuária, inclusive o apoio à pecuária</t>
  </si>
  <si>
    <t xml:space="preserve">0280</t>
  </si>
  <si>
    <t xml:space="preserve">0280
Produção florestal; pesca e aquicultura</t>
  </si>
  <si>
    <t xml:space="preserve">0580</t>
  </si>
  <si>
    <t xml:space="preserve">0580
Extração de carvão mineral e de minerais não-metálicos</t>
  </si>
  <si>
    <t xml:space="preserve">B</t>
  </si>
  <si>
    <t xml:space="preserve">0680</t>
  </si>
  <si>
    <t xml:space="preserve">0680
Extração de petróleo e gás, inclusive as atividades de apoio</t>
  </si>
  <si>
    <t xml:space="preserve">0791</t>
  </si>
  <si>
    <t xml:space="preserve">0791
Extração de minério de ferro, inclusive beneficiamentos e a aglomeração</t>
  </si>
  <si>
    <t xml:space="preserve">0792</t>
  </si>
  <si>
    <t xml:space="preserve">0792
Extração de minerais metálicos não-ferrosos, inclusive beneficiamentos</t>
  </si>
  <si>
    <t xml:space="preserve">1091</t>
  </si>
  <si>
    <t xml:space="preserve">1091
Abate e produtos de carne, inclusive os produtos do laticínio e da pesca</t>
  </si>
  <si>
    <t xml:space="preserve">C</t>
  </si>
  <si>
    <t xml:space="preserve">1092</t>
  </si>
  <si>
    <t xml:space="preserve">1092
Fabricação e refino de açúcar</t>
  </si>
  <si>
    <t xml:space="preserve">1093</t>
  </si>
  <si>
    <t xml:space="preserve">1093
Outros produtos alimentares</t>
  </si>
  <si>
    <t xml:space="preserve">1100</t>
  </si>
  <si>
    <t xml:space="preserve">1100
Fabricação de bebidas</t>
  </si>
  <si>
    <t xml:space="preserve">1200</t>
  </si>
  <si>
    <t xml:space="preserve">1200
Fabricação de produtos do fumo</t>
  </si>
  <si>
    <t xml:space="preserve">1300</t>
  </si>
  <si>
    <t xml:space="preserve">1300
Fabricação de produtos têxteis</t>
  </si>
  <si>
    <t xml:space="preserve">1400</t>
  </si>
  <si>
    <t xml:space="preserve">1400
Confecção de artefatos do vestuário e acessórios</t>
  </si>
  <si>
    <t xml:space="preserve">1500</t>
  </si>
  <si>
    <t xml:space="preserve">1500
Fabricação de calçados e de artefatos de couro</t>
  </si>
  <si>
    <t xml:space="preserve">1600</t>
  </si>
  <si>
    <t xml:space="preserve">1600
Fabricação de produtos da madeira</t>
  </si>
  <si>
    <t xml:space="preserve">1700</t>
  </si>
  <si>
    <t xml:space="preserve">1700
Fabricação de celulose, papel e produtos de papel</t>
  </si>
  <si>
    <t xml:space="preserve">1800</t>
  </si>
  <si>
    <t xml:space="preserve">1800
Impressão e reprodução de gravações</t>
  </si>
  <si>
    <t xml:space="preserve">1991</t>
  </si>
  <si>
    <t xml:space="preserve">1991
Refino de petróleo e coquerias</t>
  </si>
  <si>
    <t xml:space="preserve">1992</t>
  </si>
  <si>
    <t xml:space="preserve">1992
Fabricação de biocombustíveis</t>
  </si>
  <si>
    <t xml:space="preserve">2091</t>
  </si>
  <si>
    <t xml:space="preserve">2091
Fabricação de químicos orgânicos e inorgânicos, resinas e elastômeros</t>
  </si>
  <si>
    <t xml:space="preserve">2092</t>
  </si>
  <si>
    <t xml:space="preserve">2092
Fabricação de defensivos, desinfestantes, tintas e químicos diversos</t>
  </si>
  <si>
    <t xml:space="preserve">2093</t>
  </si>
  <si>
    <t xml:space="preserve">2093
Fabricação de produtos de limpeza, cosméticos/perfumaria e higiene pessoal</t>
  </si>
  <si>
    <t xml:space="preserve">2100</t>
  </si>
  <si>
    <t xml:space="preserve">2100
Fabricação de produtos farmoquímicos e farmacêuticos</t>
  </si>
  <si>
    <t xml:space="preserve">2200</t>
  </si>
  <si>
    <t xml:space="preserve">2200
Fabricação de produtos de borracha e de material plástico</t>
  </si>
  <si>
    <t xml:space="preserve">2300</t>
  </si>
  <si>
    <t xml:space="preserve">2300
Fabricação de produtos de minerais não-metálicos</t>
  </si>
  <si>
    <t xml:space="preserve">2491</t>
  </si>
  <si>
    <t xml:space="preserve">2491
Produção de ferro-gusa/ferroligas, siderurgia e tubos de aço sem costura</t>
  </si>
  <si>
    <t xml:space="preserve">2492</t>
  </si>
  <si>
    <t xml:space="preserve">2492
Metalurgia de metais não-ferrosos e a fundição de metais</t>
  </si>
  <si>
    <t xml:space="preserve">2500</t>
  </si>
  <si>
    <t xml:space="preserve">2500
Fabricação de produtos de metal, exceto máquinas e equipamentos</t>
  </si>
  <si>
    <t xml:space="preserve">2600</t>
  </si>
  <si>
    <t xml:space="preserve">2600
Fabricação de equipamentos de informática, produtos eletrônicos e ópticos</t>
  </si>
  <si>
    <t xml:space="preserve">2700</t>
  </si>
  <si>
    <t xml:space="preserve">2700
Fabricação de máquinas e equipamentos elétricos</t>
  </si>
  <si>
    <t xml:space="preserve">2800</t>
  </si>
  <si>
    <t xml:space="preserve">2800
Fabricação de máquinas e equipamentos mecânicos</t>
  </si>
  <si>
    <t xml:space="preserve">2991</t>
  </si>
  <si>
    <t xml:space="preserve">2991
Fabricação de automóveis, caminhões e ônibus, exceto peças</t>
  </si>
  <si>
    <t xml:space="preserve">2992</t>
  </si>
  <si>
    <t xml:space="preserve">2992
Fabricação de peças e acessórios para veículos automotores</t>
  </si>
  <si>
    <t xml:space="preserve">3000</t>
  </si>
  <si>
    <t xml:space="preserve">3000
Fabricação de outros equipamentos de transporte, exceto veículos automotores</t>
  </si>
  <si>
    <t xml:space="preserve">3180</t>
  </si>
  <si>
    <t xml:space="preserve">3180
Fabricação de móveis e de produtos de indústrias diversas</t>
  </si>
  <si>
    <t xml:space="preserve">3300</t>
  </si>
  <si>
    <t xml:space="preserve">3300
Manutenção, reparação e instalação de máquinas e equipamentos</t>
  </si>
  <si>
    <t xml:space="preserve">3500</t>
  </si>
  <si>
    <t xml:space="preserve">3500
Energia elétrica, gás natural e outras utilidades</t>
  </si>
  <si>
    <t xml:space="preserve">D</t>
  </si>
  <si>
    <t xml:space="preserve">3680</t>
  </si>
  <si>
    <t xml:space="preserve">3680
Água, esgoto e gestão de resíduos</t>
  </si>
  <si>
    <t xml:space="preserve">E</t>
  </si>
  <si>
    <t xml:space="preserve">4180</t>
  </si>
  <si>
    <t xml:space="preserve">4180
Construção</t>
  </si>
  <si>
    <t xml:space="preserve">F</t>
  </si>
  <si>
    <t xml:space="preserve">4500</t>
  </si>
  <si>
    <t xml:space="preserve">4500
Comércio e reparação de veículos automotores e motocicletas</t>
  </si>
  <si>
    <t xml:space="preserve">G</t>
  </si>
  <si>
    <t xml:space="preserve">4680</t>
  </si>
  <si>
    <t xml:space="preserve">4680
Comércio por atacado e a varejo, exceto veículos automotores</t>
  </si>
  <si>
    <t xml:space="preserve">4900</t>
  </si>
  <si>
    <t xml:space="preserve">4900
Transporte terrestre</t>
  </si>
  <si>
    <t xml:space="preserve">H</t>
  </si>
  <si>
    <t xml:space="preserve">5000</t>
  </si>
  <si>
    <t xml:space="preserve">5000
Transporte aquaviário</t>
  </si>
  <si>
    <t xml:space="preserve">5100</t>
  </si>
  <si>
    <t xml:space="preserve">5100
Transporte aéreo</t>
  </si>
  <si>
    <t xml:space="preserve">5280</t>
  </si>
  <si>
    <t xml:space="preserve">5280
Armazenamento, atividades auxiliares dos transportes e correio</t>
  </si>
  <si>
    <t xml:space="preserve">5500</t>
  </si>
  <si>
    <t xml:space="preserve">5500
Alojamento</t>
  </si>
  <si>
    <t xml:space="preserve">I</t>
  </si>
  <si>
    <t xml:space="preserve">5600</t>
  </si>
  <si>
    <t xml:space="preserve">5600
Alimentação</t>
  </si>
  <si>
    <t xml:space="preserve">5800</t>
  </si>
  <si>
    <t xml:space="preserve">5800
Edição e edição integrada à impressão</t>
  </si>
  <si>
    <t xml:space="preserve">J</t>
  </si>
  <si>
    <t xml:space="preserve">5980</t>
  </si>
  <si>
    <t xml:space="preserve">5980
Atividades de televisão, rádio, cinema e  gravação/edição de som e imagem</t>
  </si>
  <si>
    <t xml:space="preserve">6100</t>
  </si>
  <si>
    <t xml:space="preserve">6100
Telecomunicações</t>
  </si>
  <si>
    <t xml:space="preserve">6280</t>
  </si>
  <si>
    <t xml:space="preserve">6280
Desenvolvimento de sistemas e outros serviços de informação</t>
  </si>
  <si>
    <t xml:space="preserve">6480</t>
  </si>
  <si>
    <t xml:space="preserve">6480
Intermediação financeira, seguros e previdência complementar</t>
  </si>
  <si>
    <t xml:space="preserve">K</t>
  </si>
  <si>
    <t xml:space="preserve">6800</t>
  </si>
  <si>
    <t xml:space="preserve">6800
Atividades imobiliárias</t>
  </si>
  <si>
    <t xml:space="preserve">L</t>
  </si>
  <si>
    <t xml:space="preserve">6980</t>
  </si>
  <si>
    <t xml:space="preserve">6980
Atividades jurídicas, contábeis, consultoria e sedes de empresas </t>
  </si>
  <si>
    <t xml:space="preserve">N</t>
  </si>
  <si>
    <t xml:space="preserve">7180</t>
  </si>
  <si>
    <t xml:space="preserve">7180
Serviços de arquitetura, engenharia, testes/análises técnicas e P &amp; D</t>
  </si>
  <si>
    <t xml:space="preserve">M</t>
  </si>
  <si>
    <t xml:space="preserve">7380</t>
  </si>
  <si>
    <t xml:space="preserve">7380
Outras atividades profissionais, científicas e técnicas</t>
  </si>
  <si>
    <t xml:space="preserve">7700</t>
  </si>
  <si>
    <t xml:space="preserve">7700
Aluguéis não-imobiliários e gestão de ativos de propriedade intelectual</t>
  </si>
  <si>
    <t xml:space="preserve">7880</t>
  </si>
  <si>
    <t xml:space="preserve">7880
Outras atividades administrativas e serviços complementares</t>
  </si>
  <si>
    <t xml:space="preserve">8000</t>
  </si>
  <si>
    <t xml:space="preserve">8000
Atividades de vigilância, segurança e investigação</t>
  </si>
  <si>
    <t xml:space="preserve">S</t>
  </si>
  <si>
    <t xml:space="preserve">8400</t>
  </si>
  <si>
    <t xml:space="preserve">8400
Administração pública, defesa e seguridade social</t>
  </si>
  <si>
    <t xml:space="preserve">O</t>
  </si>
  <si>
    <t xml:space="preserve">8591</t>
  </si>
  <si>
    <t xml:space="preserve">8591
Educação pública</t>
  </si>
  <si>
    <t xml:space="preserve">P</t>
  </si>
  <si>
    <t xml:space="preserve">8592</t>
  </si>
  <si>
    <t xml:space="preserve">8592
Educação privada</t>
  </si>
  <si>
    <t xml:space="preserve">8691</t>
  </si>
  <si>
    <t xml:space="preserve">8691
Saúde pública</t>
  </si>
  <si>
    <t xml:space="preserve">Q</t>
  </si>
  <si>
    <t xml:space="preserve">8692</t>
  </si>
  <si>
    <t xml:space="preserve">8692
Saúde privada</t>
  </si>
  <si>
    <t xml:space="preserve">9080</t>
  </si>
  <si>
    <t xml:space="preserve">9080
Atividades artísticas, criativas e de espetáculos</t>
  </si>
  <si>
    <t xml:space="preserve">R</t>
  </si>
  <si>
    <t xml:space="preserve">9480</t>
  </si>
  <si>
    <t xml:space="preserve">9480
Organizações associativas e outros serviços pessoais</t>
  </si>
  <si>
    <t xml:space="preserve">9700</t>
  </si>
  <si>
    <t xml:space="preserve">9700
Serviços domésticos</t>
  </si>
  <si>
    <t xml:space="preserve">T</t>
  </si>
  <si>
    <t xml:space="preserve">Total
do produto</t>
  </si>
  <si>
    <t xml:space="preserve">P70</t>
  </si>
  <si>
    <t xml:space="preserve">Importação de bens
e serviços (1)</t>
  </si>
  <si>
    <t xml:space="preserve">-</t>
  </si>
  <si>
    <t xml:space="preserve">M11</t>
  </si>
  <si>
    <t xml:space="preserve">Margem 
de
comércio</t>
  </si>
  <si>
    <t xml:space="preserve">M12</t>
  </si>
  <si>
    <t xml:space="preserve">Margem
de
transporte</t>
  </si>
  <si>
    <t xml:space="preserve">D212</t>
  </si>
  <si>
    <t xml:space="preserve">Imposto
de
importação</t>
  </si>
  <si>
    <t xml:space="preserve">D211</t>
  </si>
  <si>
    <t xml:space="preserve">IPI</t>
  </si>
  <si>
    <t xml:space="preserve">D214</t>
  </si>
  <si>
    <t xml:space="preserve">ICMS</t>
  </si>
  <si>
    <t xml:space="preserve">Outros impostos menos subsídios</t>
  </si>
  <si>
    <t xml:space="preserve">Total de impostos líquidos de subsídios</t>
  </si>
  <si>
    <t xml:space="preserve">P20</t>
  </si>
  <si>
    <t xml:space="preserve">P60</t>
  </si>
  <si>
    <t xml:space="preserve">Exportação
de bens e
serviços (1)</t>
  </si>
  <si>
    <t xml:space="preserve">Pc30</t>
  </si>
  <si>
    <t xml:space="preserve">Consumo
do governo</t>
  </si>
  <si>
    <t xml:space="preserve">Pb30</t>
  </si>
  <si>
    <t xml:space="preserve">Consumo
das
 ISFLSF</t>
  </si>
  <si>
    <t xml:space="preserve">Pa31</t>
  </si>
  <si>
    <t xml:space="preserve">Consumo 
das famílias</t>
  </si>
  <si>
    <t xml:space="preserve">P51b</t>
  </si>
  <si>
    <t xml:space="preserve">Formação bruta
de capital fixo</t>
  </si>
  <si>
    <t xml:space="preserve">P52</t>
  </si>
  <si>
    <t xml:space="preserve">Variação
de estoque</t>
  </si>
  <si>
    <t xml:space="preserve">Demanda
final</t>
  </si>
  <si>
    <t xml:space="preserve">Demanda
total</t>
  </si>
  <si>
    <t xml:space="preserve">Agricultura, ganadería, silvicultura y pesca</t>
  </si>
  <si>
    <t xml:space="preserve">Agricultura</t>
  </si>
  <si>
    <t xml:space="preserve">Agriculture, forestry and fishing</t>
  </si>
  <si>
    <t xml:space="preserve">Explotación de minas y canteras</t>
  </si>
  <si>
    <t xml:space="preserve">Minería</t>
  </si>
  <si>
    <t xml:space="preserve">Mining and quarrying</t>
  </si>
  <si>
    <t xml:space="preserve">Industrias manufactureras</t>
  </si>
  <si>
    <t xml:space="preserve">Manufacturas</t>
  </si>
  <si>
    <t xml:space="preserve">Manufacturing</t>
  </si>
  <si>
    <t xml:space="preserve">Suministro de electricidad, gas, vapor y aire acondicionado</t>
  </si>
  <si>
    <t xml:space="preserve">Servicios básicos</t>
  </si>
  <si>
    <t xml:space="preserve">Electricity, gas, steam and air conditioning supply</t>
  </si>
  <si>
    <t xml:space="preserve">Suministro de agua; evacuación de aguas residuales, gestión de desechos y descontaminación</t>
  </si>
  <si>
    <t xml:space="preserve">Suministro de agua</t>
  </si>
  <si>
    <t xml:space="preserve">Water supply; sewerage, waste management and remediation activities</t>
  </si>
  <si>
    <t xml:space="preserve">Construcción</t>
  </si>
  <si>
    <t xml:space="preserve">Construction</t>
  </si>
  <si>
    <t xml:space="preserve">Comercio al por mayor y al por menor; reparación de vehículos automotores y motocicletas</t>
  </si>
  <si>
    <t xml:space="preserve">Comercio</t>
  </si>
  <si>
    <t xml:space="preserve">Wholesale and retail trade; repair of motor vehicles and motorcycles</t>
  </si>
  <si>
    <t xml:space="preserve">Transporte y almacenamiento</t>
  </si>
  <si>
    <t xml:space="preserve">Transportation and storage</t>
  </si>
  <si>
    <t xml:space="preserve">Información y comunicaciones</t>
  </si>
  <si>
    <t xml:space="preserve">Information and communication</t>
  </si>
  <si>
    <t xml:space="preserve">Actividades de alojamiento y de servicio de comidas</t>
  </si>
  <si>
    <t xml:space="preserve">Alojamiento y alimentación</t>
  </si>
  <si>
    <t xml:space="preserve">Accommodation and food service activities</t>
  </si>
  <si>
    <t xml:space="preserve">Actividades financieras y de seguros</t>
  </si>
  <si>
    <t xml:space="preserve">Finanzas y seguros</t>
  </si>
  <si>
    <t xml:space="preserve">Financial and insurance activities</t>
  </si>
  <si>
    <t xml:space="preserve">Actividades inmobiliarias</t>
  </si>
  <si>
    <t xml:space="preserve">Inmobiliarios</t>
  </si>
  <si>
    <t xml:space="preserve">Real estate activities</t>
  </si>
  <si>
    <t xml:space="preserve">Actividades profesionales, científicas y técnicas</t>
  </si>
  <si>
    <t xml:space="preserve">Servicios profesionales</t>
  </si>
  <si>
    <t xml:space="preserve">Professional, scientific and technical activities</t>
  </si>
  <si>
    <t xml:space="preserve">Actividades de servicios administrativos y de apoyo</t>
  </si>
  <si>
    <t xml:space="preserve">Servicios administrativos</t>
  </si>
  <si>
    <t xml:space="preserve">Administrative and support service activities</t>
  </si>
  <si>
    <t xml:space="preserve">Enseñanza</t>
  </si>
  <si>
    <t xml:space="preserve">Education</t>
  </si>
  <si>
    <t xml:space="preserve">Actividades de atención de la salud humana y de asistencia social</t>
  </si>
  <si>
    <t xml:space="preserve">Salud</t>
  </si>
  <si>
    <t xml:space="preserve">Human health and social work activities</t>
  </si>
  <si>
    <t xml:space="preserve">Actividades artísticas, de entretenimiento y recreativas</t>
  </si>
  <si>
    <t xml:space="preserve">Recreación</t>
  </si>
  <si>
    <t xml:space="preserve">Arts, entertainment and recreation</t>
  </si>
  <si>
    <t xml:space="preserve">Otras actividades de servicios</t>
  </si>
  <si>
    <t xml:space="preserve">Otros servicios</t>
  </si>
  <si>
    <t xml:space="preserve">Other service activities</t>
  </si>
  <si>
    <t xml:space="preserve"> - </t>
  </si>
  <si>
    <t xml:space="preserve">Actividades de los hogares como empleadores; actividades no diferenciadas de los hogares como productores de bienes y servicios para uso propio</t>
  </si>
  <si>
    <t xml:space="preserve">Hogares como empleadores</t>
  </si>
  <si>
    <t xml:space="preserve">Activities of households as employers; undifferentiated goods- and services-producing activities of households for own use</t>
  </si>
  <si>
    <t xml:space="preserve">Administración pública y defensa; planes de seguridad social de afiliación obligatoria</t>
  </si>
  <si>
    <t xml:space="preserve">Administración pública</t>
  </si>
  <si>
    <t xml:space="preserve">Public administration and defence; compulsory social security</t>
  </si>
  <si>
    <t xml:space="preserve">corr_ntg2</t>
  </si>
  <si>
    <t xml:space="preserve">id_area_columnas</t>
  </si>
  <si>
    <t xml:space="preserve">ATC01</t>
  </si>
  <si>
    <t xml:space="preserve">Producción / Consumo intermedio</t>
  </si>
  <si>
    <t xml:space="preserve">Producción</t>
  </si>
  <si>
    <t xml:space="preserve">P1</t>
  </si>
  <si>
    <t xml:space="preserve">P11</t>
  </si>
  <si>
    <t xml:space="preserve">Producción de mercado</t>
  </si>
  <si>
    <t xml:space="preserve">P12</t>
  </si>
  <si>
    <t xml:space="preserve">Producción para uso final propio</t>
  </si>
  <si>
    <t xml:space="preserve">P13</t>
  </si>
  <si>
    <t xml:space="preserve">Otra producción no de mercado</t>
  </si>
  <si>
    <t xml:space="preserve">Consumo</t>
  </si>
  <si>
    <t xml:space="preserve">P2</t>
  </si>
  <si>
    <t xml:space="preserve">Consumo intermedio</t>
  </si>
  <si>
    <t xml:space="preserve">P21</t>
  </si>
  <si>
    <t xml:space="preserve">Consumo intermedio de mercado</t>
  </si>
  <si>
    <t xml:space="preserve">P22</t>
  </si>
  <si>
    <t xml:space="preserve">Consumo intermedio para uso final propio</t>
  </si>
  <si>
    <t xml:space="preserve">P23</t>
  </si>
  <si>
    <t xml:space="preserve">Consumo intermedio no de mercado</t>
  </si>
  <si>
    <t xml:space="preserve">ATC06</t>
  </si>
  <si>
    <t xml:space="preserve">Gasto de consumo final</t>
  </si>
  <si>
    <t xml:space="preserve">Gasto de consumo final de los hogares</t>
  </si>
  <si>
    <t xml:space="preserve">P3</t>
  </si>
  <si>
    <t xml:space="preserve">Consumo final</t>
  </si>
  <si>
    <t xml:space="preserve">Gasto de consumo ISFLH</t>
  </si>
  <si>
    <t xml:space="preserve">Pb31</t>
  </si>
  <si>
    <t xml:space="preserve">Gasto de consumo individual ISFLSH</t>
  </si>
  <si>
    <t xml:space="preserve">Pb32</t>
  </si>
  <si>
    <t xml:space="preserve">Gasto de consumo colectivo ISFLSH</t>
  </si>
  <si>
    <t xml:space="preserve">Gasto de consumo de gobierno</t>
  </si>
  <si>
    <t xml:space="preserve">Pc31</t>
  </si>
  <si>
    <t xml:space="preserve">Gasto de consumo individual de gobierno</t>
  </si>
  <si>
    <t xml:space="preserve">Pc32</t>
  </si>
  <si>
    <t xml:space="preserve">Gasto de consumo colectivo de gobierno</t>
  </si>
  <si>
    <t xml:space="preserve">P41</t>
  </si>
  <si>
    <t xml:space="preserve">Consumo individual efectivo</t>
  </si>
  <si>
    <t xml:space="preserve">P4</t>
  </si>
  <si>
    <t xml:space="preserve">Consumo final efectivo</t>
  </si>
  <si>
    <t xml:space="preserve">P42</t>
  </si>
  <si>
    <t xml:space="preserve">Consumo colectivo efectivo</t>
  </si>
  <si>
    <t xml:space="preserve">ATC07</t>
  </si>
  <si>
    <t xml:space="preserve">Formación bruta de capital fijo</t>
  </si>
  <si>
    <t xml:space="preserve">P5</t>
  </si>
  <si>
    <t xml:space="preserve">Formación de capital</t>
  </si>
  <si>
    <t xml:space="preserve">P51c</t>
  </si>
  <si>
    <t xml:space="preserve">Consumo de capital fijo</t>
  </si>
  <si>
    <t xml:space="preserve">Variación de existencias</t>
  </si>
  <si>
    <t xml:space="preserve">P53</t>
  </si>
  <si>
    <t xml:space="preserve">Adquisiciones menos disposiciones de objetos valiosos</t>
  </si>
  <si>
    <t xml:space="preserve">ATC02</t>
  </si>
  <si>
    <t xml:space="preserve">Exportaciones / Importaciones</t>
  </si>
  <si>
    <t xml:space="preserve">Exportaciones de bienes y servicios</t>
  </si>
  <si>
    <t xml:space="preserve">P6</t>
  </si>
  <si>
    <t xml:space="preserve">P61</t>
  </si>
  <si>
    <t xml:space="preserve">Exportaciones de bienes</t>
  </si>
  <si>
    <t xml:space="preserve">P62</t>
  </si>
  <si>
    <t xml:space="preserve">Exportaciones de servicios</t>
  </si>
  <si>
    <t xml:space="preserve">Importaciones de bienes Y SERVICIOS</t>
  </si>
  <si>
    <t xml:space="preserve">P7</t>
  </si>
  <si>
    <t xml:space="preserve">Importaciones de bienes y servicios</t>
  </si>
  <si>
    <t xml:space="preserve">P71</t>
  </si>
  <si>
    <t xml:space="preserve">Importaciones de bienes</t>
  </si>
  <si>
    <t xml:space="preserve">P72</t>
  </si>
  <si>
    <t xml:space="preserve">Importaciones de servicios</t>
  </si>
  <si>
    <t xml:space="preserve">CIF</t>
  </si>
  <si>
    <t xml:space="preserve">ATC03</t>
  </si>
  <si>
    <t xml:space="preserve">Ajuste CIF/FOB</t>
  </si>
  <si>
    <t xml:space="preserve">Ajuste CIF/FOB sobre importaciones</t>
  </si>
  <si>
    <t xml:space="preserve">ATC04</t>
  </si>
  <si>
    <t xml:space="preserve">Impuestos menos subvenciones sobre los productos</t>
  </si>
  <si>
    <t xml:space="preserve">Impuestos tipo valor agregado (IVA)</t>
  </si>
  <si>
    <t xml:space="preserve">D2</t>
  </si>
  <si>
    <t xml:space="preserve">Impuestos sobre la producción y las importaciones</t>
  </si>
  <si>
    <t xml:space="preserve">Impuestos y derechos sobre las importaciones excepto IVA</t>
  </si>
  <si>
    <t xml:space="preserve">D213</t>
  </si>
  <si>
    <t xml:space="preserve">Impuestos sobre las exportaciones</t>
  </si>
  <si>
    <t xml:space="preserve">Impuestos sobre los productos, excepto IVA e impuestos sobre las importaciones </t>
  </si>
  <si>
    <t xml:space="preserve">D291</t>
  </si>
  <si>
    <t xml:space="preserve">Otros impuestos sobre la producción </t>
  </si>
  <si>
    <t xml:space="preserve">D29</t>
  </si>
  <si>
    <t xml:space="preserve">D31</t>
  </si>
  <si>
    <t xml:space="preserve">Subvenciones a los productos</t>
  </si>
  <si>
    <t xml:space="preserve">D3</t>
  </si>
  <si>
    <t xml:space="preserve">Subvenciones</t>
  </si>
  <si>
    <t xml:space="preserve">D39</t>
  </si>
  <si>
    <t xml:space="preserve">ATCO4</t>
  </si>
  <si>
    <t xml:space="preserve">Otras subvenciones a la producción</t>
  </si>
  <si>
    <t xml:space="preserve">ATC05</t>
  </si>
  <si>
    <t xml:space="preserve">Márgenes de distribución</t>
  </si>
  <si>
    <t xml:space="preserve">Márgenes de comercio</t>
  </si>
  <si>
    <t xml:space="preserve">M1</t>
  </si>
  <si>
    <t xml:space="preserve">Márgenes de transporte</t>
  </si>
  <si>
    <t xml:space="preserve">M13</t>
  </si>
  <si>
    <t xml:space="preserve">Márgenes de distribución de electricidad</t>
  </si>
  <si>
    <t xml:space="preserve">Correlativo Bioeconomía Productos</t>
  </si>
  <si>
    <t xml:space="preserve">Bioeconomía Productos</t>
  </si>
  <si>
    <t xml:space="preserve">Bioeconomía</t>
  </si>
  <si>
    <t xml:space="preserve">Bioeconomía extendida</t>
  </si>
  <si>
    <t xml:space="preserve">No bioeconomía</t>
  </si>
  <si>
    <t xml:space="preserve">Detalle Transacciones</t>
  </si>
  <si>
    <t xml:space="preserve">Producción no de mercado</t>
  </si>
  <si>
    <t xml:space="preserve">Total Exportaciones</t>
  </si>
  <si>
    <t xml:space="preserve">Exportación de bienes</t>
  </si>
  <si>
    <t xml:space="preserve">Exportación de servicios</t>
  </si>
  <si>
    <t xml:space="preserve">Importación de bienes</t>
  </si>
  <si>
    <t xml:space="preserve">Importación de servicios</t>
  </si>
  <si>
    <t xml:space="preserve">Impuesto tipo Valor Agregado (IVA)</t>
  </si>
  <si>
    <t xml:space="preserve">Impuestos y derechos sobre importaciones exluyendo IVA</t>
  </si>
  <si>
    <t xml:space="preserve">Impuestos sobre la exportación</t>
  </si>
  <si>
    <t xml:space="preserve">Impuestos a los productos excluyendo IVA, impuestos a la importación</t>
  </si>
  <si>
    <t xml:space="preserve">P31</t>
  </si>
  <si>
    <t xml:space="preserve">Gasto de consumo final privado</t>
  </si>
  <si>
    <t xml:space="preserve">P32</t>
  </si>
  <si>
    <t xml:space="preserve">Gasto de consumo final público</t>
  </si>
  <si>
    <t xml:space="preserve">Formación bruta de capital</t>
  </si>
  <si>
    <t xml:space="preserve">Áreas Transaccionales Filas No.</t>
  </si>
  <si>
    <t xml:space="preserve">Áreas Transaccionales Filas Descripción</t>
  </si>
  <si>
    <t xml:space="preserve">Codigo Transacción Filas</t>
  </si>
  <si>
    <t xml:space="preserve">Código Nomenclatura Local de Productos</t>
  </si>
  <si>
    <t xml:space="preserve">Nomenclatura Local de Productos</t>
  </si>
  <si>
    <t xml:space="preserve">Clasificación Productos</t>
  </si>
  <si>
    <t xml:space="preserve">Cod_Bioec Productos</t>
  </si>
  <si>
    <t xml:space="preserve">Tipo de bioeconomía Productos</t>
  </si>
  <si>
    <t xml:space="preserve">Sectores produuctos</t>
  </si>
  <si>
    <t xml:space="preserve">Cód_Div_CPC_3</t>
  </si>
  <si>
    <t xml:space="preserve">División CPC_3</t>
  </si>
  <si>
    <t xml:space="preserve">Cód_Div_CPC_2</t>
  </si>
  <si>
    <t xml:space="preserve">División CPC_2</t>
  </si>
  <si>
    <t xml:space="preserve">Cod. Elem. Def. Bioeconomía </t>
  </si>
  <si>
    <t xml:space="preserve">Tipo de elemento</t>
  </si>
  <si>
    <t xml:space="preserve">Código CPC</t>
  </si>
  <si>
    <t xml:space="preserve">Elemento CPC</t>
  </si>
  <si>
    <t xml:space="preserve">Código Bioeconomía</t>
  </si>
  <si>
    <t xml:space="preserve">Clasificación Bioeconomí</t>
  </si>
  <si>
    <t xml:space="preserve">ATF01</t>
  </si>
  <si>
    <t xml:space="preserve">01911</t>
  </si>
  <si>
    <t xml:space="preserve">Arroz, trigo e outros cereais</t>
  </si>
  <si>
    <t xml:space="preserve">Productos agricolas_Cereales</t>
  </si>
  <si>
    <t xml:space="preserve">Bioeconomía de productos básicos</t>
  </si>
  <si>
    <t xml:space="preserve">Productos agropecuarios</t>
  </si>
  <si>
    <t xml:space="preserve">01912</t>
  </si>
  <si>
    <t xml:space="preserve">Milho em grão</t>
  </si>
  <si>
    <t xml:space="preserve">01913</t>
  </si>
  <si>
    <t xml:space="preserve">Algodão herbáceo, outras fibras da lav. temporária</t>
  </si>
  <si>
    <t xml:space="preserve">Productos agricolas_Oleaginosas</t>
  </si>
  <si>
    <t xml:space="preserve">01914</t>
  </si>
  <si>
    <t xml:space="preserve">Cana-de-açúcar</t>
  </si>
  <si>
    <t xml:space="preserve">Productos agricolas_Azúcar</t>
  </si>
  <si>
    <t xml:space="preserve">01915</t>
  </si>
  <si>
    <t xml:space="preserve">Soja  em grão</t>
  </si>
  <si>
    <t xml:space="preserve">01916</t>
  </si>
  <si>
    <t xml:space="preserve">Outros produtos e serviços da lavoura temporária</t>
  </si>
  <si>
    <t xml:space="preserve">Productos alimentarios_Otros</t>
  </si>
  <si>
    <t xml:space="preserve">01917</t>
  </si>
  <si>
    <t xml:space="preserve">Laranja</t>
  </si>
  <si>
    <t xml:space="preserve">Productos agricolas_Frutas</t>
  </si>
  <si>
    <t xml:space="preserve">01918</t>
  </si>
  <si>
    <t xml:space="preserve">Café em grão</t>
  </si>
  <si>
    <t xml:space="preserve">Productos agricolas_Café y te</t>
  </si>
  <si>
    <t xml:space="preserve">01919</t>
  </si>
  <si>
    <t xml:space="preserve">Outros produtos da lavoura permanente</t>
  </si>
  <si>
    <t xml:space="preserve">Productos agricolas_Otros</t>
  </si>
  <si>
    <t xml:space="preserve">Industria alimentaria</t>
  </si>
  <si>
    <t xml:space="preserve">01921</t>
  </si>
  <si>
    <t xml:space="preserve">Bovinos e outros animais vivos, prods. animal, caça e serv.</t>
  </si>
  <si>
    <t xml:space="preserve">Animales y plantas</t>
  </si>
  <si>
    <t xml:space="preserve">01922</t>
  </si>
  <si>
    <t xml:space="preserve">Leite de vaca e de outros animais</t>
  </si>
  <si>
    <t xml:space="preserve">Productos agricolas_Lácteos</t>
  </si>
  <si>
    <t xml:space="preserve">01923</t>
  </si>
  <si>
    <t xml:space="preserve">Suínos</t>
  </si>
  <si>
    <t xml:space="preserve">01924</t>
  </si>
  <si>
    <t xml:space="preserve">Aves e ovos</t>
  </si>
  <si>
    <t xml:space="preserve">02801</t>
  </si>
  <si>
    <t xml:space="preserve">Produtos da exploração florestal e da silvicultura</t>
  </si>
  <si>
    <t xml:space="preserve">Materias primas</t>
  </si>
  <si>
    <t xml:space="preserve">02802</t>
  </si>
  <si>
    <t xml:space="preserve">Pesca e aquicultura (peixe, crustáceos e moluscos)</t>
  </si>
  <si>
    <t xml:space="preserve">Productos agricolas_Acuáticos</t>
  </si>
  <si>
    <t xml:space="preserve">05801</t>
  </si>
  <si>
    <t xml:space="preserve">Carvão mineral</t>
  </si>
  <si>
    <t xml:space="preserve">05802</t>
  </si>
  <si>
    <t xml:space="preserve">Minerais não-metálicos</t>
  </si>
  <si>
    <t xml:space="preserve">06801</t>
  </si>
  <si>
    <t xml:space="preserve">Petróleo, gás natural e serviços de apoio</t>
  </si>
  <si>
    <t xml:space="preserve">07911</t>
  </si>
  <si>
    <t xml:space="preserve">Minério de ferro</t>
  </si>
  <si>
    <t xml:space="preserve">07921</t>
  </si>
  <si>
    <t xml:space="preserve">Minerais metálicos não-ferrosos</t>
  </si>
  <si>
    <t xml:space="preserve">10911</t>
  </si>
  <si>
    <t xml:space="preserve">Carne de bovinos e outros prod. de carne</t>
  </si>
  <si>
    <t xml:space="preserve">Productos alimentarios_Carne</t>
  </si>
  <si>
    <t xml:space="preserve">Bioeconomía de transformación de productos básicos</t>
  </si>
  <si>
    <t xml:space="preserve">10912</t>
  </si>
  <si>
    <t xml:space="preserve">Carne de suíno</t>
  </si>
  <si>
    <t xml:space="preserve">10913</t>
  </si>
  <si>
    <t xml:space="preserve">Carne de aves</t>
  </si>
  <si>
    <t xml:space="preserve">10914</t>
  </si>
  <si>
    <t xml:space="preserve">Pescado industrializado</t>
  </si>
  <si>
    <t xml:space="preserve">10915</t>
  </si>
  <si>
    <t xml:space="preserve">Leite resfriado, esterilizado e pasteurizado</t>
  </si>
  <si>
    <t xml:space="preserve">Productos alimentarios_Lácteos</t>
  </si>
  <si>
    <t xml:space="preserve">10916</t>
  </si>
  <si>
    <t xml:space="preserve">Outros produtos do laticínio</t>
  </si>
  <si>
    <t xml:space="preserve">10921</t>
  </si>
  <si>
    <t xml:space="preserve">Açúcar</t>
  </si>
  <si>
    <t xml:space="preserve">Productos alimentarios_Azúcar</t>
  </si>
  <si>
    <t xml:space="preserve">10931</t>
  </si>
  <si>
    <t xml:space="preserve">Conservas de frutas, legumes, outros vegetais e sucos de frutas</t>
  </si>
  <si>
    <t xml:space="preserve">10932</t>
  </si>
  <si>
    <t xml:space="preserve">Óleos e gorduras vegetais e animais</t>
  </si>
  <si>
    <t xml:space="preserve">Productos alimentarios_Oleaginosas</t>
  </si>
  <si>
    <t xml:space="preserve">10933</t>
  </si>
  <si>
    <t xml:space="preserve">Café beneficiado</t>
  </si>
  <si>
    <t xml:space="preserve">10934</t>
  </si>
  <si>
    <t xml:space="preserve">Arroz beneficiado e produtos derivados do arroz</t>
  </si>
  <si>
    <t xml:space="preserve">Productos alimentarios_Cereales</t>
  </si>
  <si>
    <t xml:space="preserve">10935</t>
  </si>
  <si>
    <t xml:space="preserve">Produtos derivados do trigo, mandioca ou milho</t>
  </si>
  <si>
    <t xml:space="preserve">10936</t>
  </si>
  <si>
    <t xml:space="preserve">Rações balanceadas para animais</t>
  </si>
  <si>
    <t xml:space="preserve">Piensos</t>
  </si>
  <si>
    <t xml:space="preserve">10937</t>
  </si>
  <si>
    <t xml:space="preserve">Outros produtos alimentares</t>
  </si>
  <si>
    <t xml:space="preserve">11001</t>
  </si>
  <si>
    <t xml:space="preserve">Bebidas</t>
  </si>
  <si>
    <t xml:space="preserve">Productos alimentarios_Bebidas</t>
  </si>
  <si>
    <t xml:space="preserve">12001</t>
  </si>
  <si>
    <t xml:space="preserve">Produtos do fumo</t>
  </si>
  <si>
    <t xml:space="preserve">Industria del tabaco</t>
  </si>
  <si>
    <t xml:space="preserve">13001</t>
  </si>
  <si>
    <t xml:space="preserve">Fios e fibras têxteis beneficiadas</t>
  </si>
  <si>
    <t xml:space="preserve">Industria textil y de la confección</t>
  </si>
  <si>
    <t xml:space="preserve">13002</t>
  </si>
  <si>
    <t xml:space="preserve">Tecidos</t>
  </si>
  <si>
    <t xml:space="preserve">13003</t>
  </si>
  <si>
    <t xml:space="preserve">Art. têxteis de uso doméstico e outros têxteis</t>
  </si>
  <si>
    <t xml:space="preserve">14001</t>
  </si>
  <si>
    <t xml:space="preserve">Artigos do vestuário e acessórios</t>
  </si>
  <si>
    <t xml:space="preserve">15001</t>
  </si>
  <si>
    <t xml:space="preserve">Calçados e artefatos de couro</t>
  </si>
  <si>
    <t xml:space="preserve">16001</t>
  </si>
  <si>
    <t xml:space="preserve">Produtos de madeira, exclusive móveis</t>
  </si>
  <si>
    <t xml:space="preserve">Industria forestal</t>
  </si>
  <si>
    <t xml:space="preserve">17001</t>
  </si>
  <si>
    <t xml:space="preserve">Celulose</t>
  </si>
  <si>
    <t xml:space="preserve">Pulpa y papel</t>
  </si>
  <si>
    <t xml:space="preserve">17002</t>
  </si>
  <si>
    <t xml:space="preserve">Papel, papelão, embalagens e artefatos de papel</t>
  </si>
  <si>
    <t xml:space="preserve">18001</t>
  </si>
  <si>
    <t xml:space="preserve">Serviços de impressão e reprodução</t>
  </si>
  <si>
    <t xml:space="preserve">Servicios </t>
  </si>
  <si>
    <t xml:space="preserve">Bioeconomía avanzada</t>
  </si>
  <si>
    <t xml:space="preserve">19911</t>
  </si>
  <si>
    <t xml:space="preserve">Combustíveis para aviação</t>
  </si>
  <si>
    <t xml:space="preserve">19912</t>
  </si>
  <si>
    <t xml:space="preserve">Gasoálcool</t>
  </si>
  <si>
    <t xml:space="preserve">19913</t>
  </si>
  <si>
    <t xml:space="preserve">Naftas para petroquímica</t>
  </si>
  <si>
    <t xml:space="preserve">19914</t>
  </si>
  <si>
    <t xml:space="preserve">Óleo combustível  </t>
  </si>
  <si>
    <t xml:space="preserve">19915</t>
  </si>
  <si>
    <t xml:space="preserve">Diesel - biodiesel</t>
  </si>
  <si>
    <t xml:space="preserve">Biocombustibles</t>
  </si>
  <si>
    <t xml:space="preserve">19916</t>
  </si>
  <si>
    <t xml:space="preserve">Outros produtos do refino do petróleo</t>
  </si>
  <si>
    <t xml:space="preserve">19921</t>
  </si>
  <si>
    <t xml:space="preserve">Etanol e outros biocombustíveis</t>
  </si>
  <si>
    <t xml:space="preserve">20911</t>
  </si>
  <si>
    <t xml:space="preserve">Produtos químicos inorgânicos</t>
  </si>
  <si>
    <t xml:space="preserve">20912</t>
  </si>
  <si>
    <t xml:space="preserve">Adubos e fertilizantes</t>
  </si>
  <si>
    <t xml:space="preserve">Biofertizantes y pesticidas</t>
  </si>
  <si>
    <t xml:space="preserve">20913</t>
  </si>
  <si>
    <t xml:space="preserve">Produtos químicos orgânicos</t>
  </si>
  <si>
    <t xml:space="preserve">Químicos </t>
  </si>
  <si>
    <t xml:space="preserve">20914</t>
  </si>
  <si>
    <t xml:space="preserve">Resinas,elastômeros e fibras artif. e sintéticas</t>
  </si>
  <si>
    <t xml:space="preserve">20921</t>
  </si>
  <si>
    <t xml:space="preserve">Defensivos agrícolas e desinfestantes domissanitários</t>
  </si>
  <si>
    <t xml:space="preserve">20922</t>
  </si>
  <si>
    <t xml:space="preserve">Produtos químicos diversos </t>
  </si>
  <si>
    <t xml:space="preserve">20923</t>
  </si>
  <si>
    <t xml:space="preserve">Tintas, vernizes, esmaltes e lacas</t>
  </si>
  <si>
    <t xml:space="preserve">20931</t>
  </si>
  <si>
    <t xml:space="preserve">Perfumaria, sabões e artigos de limpeza</t>
  </si>
  <si>
    <t xml:space="preserve">Biocosméticos y cuidado personal</t>
  </si>
  <si>
    <t xml:space="preserve">21001</t>
  </si>
  <si>
    <t xml:space="preserve">Produtos farmacêuticos</t>
  </si>
  <si>
    <t xml:space="preserve">Biofarmacéuticos</t>
  </si>
  <si>
    <t xml:space="preserve">22001</t>
  </si>
  <si>
    <t xml:space="preserve">Artigos de borracha</t>
  </si>
  <si>
    <t xml:space="preserve">22002</t>
  </si>
  <si>
    <t xml:space="preserve">Artigos de plástico</t>
  </si>
  <si>
    <t xml:space="preserve">23001</t>
  </si>
  <si>
    <t xml:space="preserve">Cimento</t>
  </si>
  <si>
    <t xml:space="preserve">23002</t>
  </si>
  <si>
    <t xml:space="preserve">Artefatos de cimento, gesso e semelhantes</t>
  </si>
  <si>
    <t xml:space="preserve">23003</t>
  </si>
  <si>
    <t xml:space="preserve">Vidros, cerâmicos e outros prod. de minerais não-metálicos</t>
  </si>
  <si>
    <t xml:space="preserve">24911</t>
  </si>
  <si>
    <t xml:space="preserve">Ferro-gusa e ferroligas</t>
  </si>
  <si>
    <t xml:space="preserve">24912</t>
  </si>
  <si>
    <t xml:space="preserve">Semi-acabacados, laminados planos, longos e tubos de aço</t>
  </si>
  <si>
    <t xml:space="preserve">24921</t>
  </si>
  <si>
    <t xml:space="preserve">Produtos da metalurgia de metais não-ferrosos</t>
  </si>
  <si>
    <t xml:space="preserve">41-49</t>
  </si>
  <si>
    <t xml:space="preserve">24922</t>
  </si>
  <si>
    <t xml:space="preserve">Peças fundidas de aço e de metais não ferrosos</t>
  </si>
  <si>
    <t xml:space="preserve">25001</t>
  </si>
  <si>
    <t xml:space="preserve">Produtos de metal, excl. máquinas e equipamentos</t>
  </si>
  <si>
    <t xml:space="preserve">26001</t>
  </si>
  <si>
    <t xml:space="preserve">Componentes eletrônicos</t>
  </si>
  <si>
    <t xml:space="preserve">26002</t>
  </si>
  <si>
    <t xml:space="preserve">Máquinas para escritório e equip. de informática</t>
  </si>
  <si>
    <t xml:space="preserve">26003</t>
  </si>
  <si>
    <t xml:space="preserve">Material eletrônico e equip. de comunicações</t>
  </si>
  <si>
    <t xml:space="preserve">26004</t>
  </si>
  <si>
    <t xml:space="preserve">Equip. de medida, teste e controle, ópticos e eletromédicos</t>
  </si>
  <si>
    <t xml:space="preserve">27001</t>
  </si>
  <si>
    <t xml:space="preserve">Máquinas, aparelhos e materiais elétricos</t>
  </si>
  <si>
    <t xml:space="preserve">27002</t>
  </si>
  <si>
    <t xml:space="preserve">Eletrodomésticos</t>
  </si>
  <si>
    <t xml:space="preserve">28001</t>
  </si>
  <si>
    <t xml:space="preserve">Tratores e outras máquinas agrícolas</t>
  </si>
  <si>
    <t xml:space="preserve">28002</t>
  </si>
  <si>
    <t xml:space="preserve">Máquinas para a extração mineral e a construção</t>
  </si>
  <si>
    <t xml:space="preserve">28003</t>
  </si>
  <si>
    <t xml:space="preserve">Outras máquinas e equipamentos mecânicos</t>
  </si>
  <si>
    <t xml:space="preserve">29911</t>
  </si>
  <si>
    <t xml:space="preserve">Automóveis, camionetas e utilitários</t>
  </si>
  <si>
    <t xml:space="preserve">29912</t>
  </si>
  <si>
    <t xml:space="preserve">Caminhões e ônibus, incl. cabines, carrocerias e reboques</t>
  </si>
  <si>
    <t xml:space="preserve">29921</t>
  </si>
  <si>
    <t xml:space="preserve">Peças e acessórios para veículos automotores</t>
  </si>
  <si>
    <t xml:space="preserve">30001</t>
  </si>
  <si>
    <t xml:space="preserve">Aeronaves, embarcações e outros equipamentos de transporte</t>
  </si>
  <si>
    <t xml:space="preserve">31801</t>
  </si>
  <si>
    <t xml:space="preserve">Móveis</t>
  </si>
  <si>
    <t xml:space="preserve">31802</t>
  </si>
  <si>
    <t xml:space="preserve">Produtos de industrias diversas</t>
  </si>
  <si>
    <t xml:space="preserve">33001</t>
  </si>
  <si>
    <t xml:space="preserve">Manutenção, reparação e instalação de máquinas e equipamentos</t>
  </si>
  <si>
    <t xml:space="preserve">35001</t>
  </si>
  <si>
    <t xml:space="preserve">Eletricidade, gás e outras utilidades</t>
  </si>
  <si>
    <t xml:space="preserve">Agua</t>
  </si>
  <si>
    <t xml:space="preserve">36801</t>
  </si>
  <si>
    <t xml:space="preserve">Água, esgoto, reciclagem e gestão de resíduos</t>
  </si>
  <si>
    <t xml:space="preserve">Productos agricolas_Residuos</t>
  </si>
  <si>
    <t xml:space="preserve">41801</t>
  </si>
  <si>
    <t xml:space="preserve">Edificações</t>
  </si>
  <si>
    <t xml:space="preserve">41802</t>
  </si>
  <si>
    <t xml:space="preserve">Obras de infra-estrutura</t>
  </si>
  <si>
    <t xml:space="preserve">41803</t>
  </si>
  <si>
    <t xml:space="preserve">Serviços especializados para construção</t>
  </si>
  <si>
    <t xml:space="preserve">45001</t>
  </si>
  <si>
    <t xml:space="preserve">Comércio e reparação de veículos</t>
  </si>
  <si>
    <t xml:space="preserve">46801</t>
  </si>
  <si>
    <t xml:space="preserve">Comércio por atacado e a varejo, exceto veículos automotores</t>
  </si>
  <si>
    <t xml:space="preserve">49001</t>
  </si>
  <si>
    <t xml:space="preserve">Transporte terrestre de carga</t>
  </si>
  <si>
    <t xml:space="preserve">49002</t>
  </si>
  <si>
    <t xml:space="preserve">Transporte terrestre de passageiros</t>
  </si>
  <si>
    <t xml:space="preserve">50001</t>
  </si>
  <si>
    <t xml:space="preserve">Transporte aquaviário</t>
  </si>
  <si>
    <t xml:space="preserve">51001</t>
  </si>
  <si>
    <t xml:space="preserve">Transporte aéreo</t>
  </si>
  <si>
    <t xml:space="preserve">52801</t>
  </si>
  <si>
    <t xml:space="preserve">Armazenamento e serviços auxiliares aos transportes</t>
  </si>
  <si>
    <t xml:space="preserve">52802</t>
  </si>
  <si>
    <t xml:space="preserve">Correio e outros serviços de entrega</t>
  </si>
  <si>
    <t xml:space="preserve">55001</t>
  </si>
  <si>
    <t xml:space="preserve">Serviços de alojamento em hotéis e similares</t>
  </si>
  <si>
    <t xml:space="preserve">56001</t>
  </si>
  <si>
    <t xml:space="preserve">Serviços  de alimentação</t>
  </si>
  <si>
    <t xml:space="preserve">58001</t>
  </si>
  <si>
    <t xml:space="preserve">Livros, jornais e revistas</t>
  </si>
  <si>
    <t xml:space="preserve">59801</t>
  </si>
  <si>
    <t xml:space="preserve">Serviços cinematográficos, música, rádio e televisão</t>
  </si>
  <si>
    <t xml:space="preserve">61001</t>
  </si>
  <si>
    <t xml:space="preserve">Telecomunicações, TV por assinatura e outros serv. relacionados</t>
  </si>
  <si>
    <t xml:space="preserve">62801</t>
  </si>
  <si>
    <t xml:space="preserve">Desenvolvimento de sistemas e outros serviços de informação</t>
  </si>
  <si>
    <t xml:space="preserve">64801</t>
  </si>
  <si>
    <t xml:space="preserve">Intermediação financeira, seguros e previdência complementar</t>
  </si>
  <si>
    <t xml:space="preserve">68001</t>
  </si>
  <si>
    <t xml:space="preserve">Aluguel efetivo e serviços imobiliários</t>
  </si>
  <si>
    <t xml:space="preserve">68002</t>
  </si>
  <si>
    <t xml:space="preserve">Aluguel imputado</t>
  </si>
  <si>
    <t xml:space="preserve">69801</t>
  </si>
  <si>
    <t xml:space="preserve">Serviços jurídicos, contabilidade e consultoria</t>
  </si>
  <si>
    <t xml:space="preserve">71801</t>
  </si>
  <si>
    <t xml:space="preserve">Pesquisa e desenvolvimento</t>
  </si>
  <si>
    <t xml:space="preserve">71802</t>
  </si>
  <si>
    <t xml:space="preserve">Serviços de arquitetura e engenharia</t>
  </si>
  <si>
    <t xml:space="preserve">73801</t>
  </si>
  <si>
    <t xml:space="preserve">Publicidade e outros serviços técnicos</t>
  </si>
  <si>
    <t xml:space="preserve">77001</t>
  </si>
  <si>
    <t xml:space="preserve">Aluguéis não-imob. e gestão de ativos de propriedade intelectual</t>
  </si>
  <si>
    <t xml:space="preserve">78801</t>
  </si>
  <si>
    <t xml:space="preserve">Condomínios e serviços para edifícios</t>
  </si>
  <si>
    <t xml:space="preserve">78802</t>
  </si>
  <si>
    <t xml:space="preserve">Outros serviços administrativos</t>
  </si>
  <si>
    <t xml:space="preserve">80001</t>
  </si>
  <si>
    <t xml:space="preserve">Serviços de vigilância, segurança e investigação</t>
  </si>
  <si>
    <t xml:space="preserve">84001</t>
  </si>
  <si>
    <t xml:space="preserve">Serviços coletivos da administração pública</t>
  </si>
  <si>
    <t xml:space="preserve">84002</t>
  </si>
  <si>
    <t xml:space="preserve">Serviços de previdência e assistência social</t>
  </si>
  <si>
    <t xml:space="preserve">85911</t>
  </si>
  <si>
    <t xml:space="preserve">Educação pública</t>
  </si>
  <si>
    <t xml:space="preserve">85921</t>
  </si>
  <si>
    <t xml:space="preserve">Educação privada</t>
  </si>
  <si>
    <t xml:space="preserve">86911</t>
  </si>
  <si>
    <t xml:space="preserve">Saúde pública</t>
  </si>
  <si>
    <t xml:space="preserve">86921</t>
  </si>
  <si>
    <t xml:space="preserve">Saúde privada</t>
  </si>
  <si>
    <t xml:space="preserve">90801</t>
  </si>
  <si>
    <t xml:space="preserve">Serviços de artes, cultura, esporte e recreação</t>
  </si>
  <si>
    <t xml:space="preserve">94801</t>
  </si>
  <si>
    <t xml:space="preserve">Organizações patronais, sindicais e outros serviços associativos</t>
  </si>
  <si>
    <t xml:space="preserve">94802</t>
  </si>
  <si>
    <t xml:space="preserve">Manutenção de computadores, telefones e objetos domésticos</t>
  </si>
  <si>
    <t xml:space="preserve">94803</t>
  </si>
  <si>
    <t xml:space="preserve">Serviços pessoais</t>
  </si>
  <si>
    <t xml:space="preserve">97001</t>
  </si>
  <si>
    <t xml:space="preserve">Serviços domésticos</t>
  </si>
  <si>
    <t xml:space="preserve">ATF02</t>
  </si>
  <si>
    <t xml:space="preserve">ATF06</t>
  </si>
  <si>
    <t xml:space="preserve">Valor adicionado bruto ( PIB )</t>
  </si>
  <si>
    <t xml:space="preserve">Nom_Loc_Prod_BRA</t>
  </si>
  <si>
    <t xml:space="preserve">Productos de la agricultura, la horticultura y la jardinería comercial</t>
  </si>
  <si>
    <t xml:space="preserve">Biomasa que se cultiva para producir alimentos, forrajes, fibras y energía</t>
  </si>
  <si>
    <t xml:space="preserve">Productos de la agricultura, la silvicultura yla pesca</t>
  </si>
  <si>
    <t xml:space="preserve">Animales vivos y productos animales (excepto la carne)</t>
  </si>
  <si>
    <t xml:space="preserve">Productos forestales y de la tala</t>
  </si>
  <si>
    <t xml:space="preserve">Biomasa forestal, sobre todo la que se cultiva para su aprovechamiento en las industrias forestal y del papel, y aquella extraída legalmente de ecosistemas naturales</t>
  </si>
  <si>
    <t xml:space="preserve">Pescado y otros productos de la pesca</t>
  </si>
  <si>
    <t xml:space="preserve">Biomasa de los recursos marinos y la producida mediante la acuicultura</t>
  </si>
  <si>
    <t xml:space="preserve">Minerales, combustibles y derivados</t>
  </si>
  <si>
    <t xml:space="preserve">No Bioeconomía</t>
  </si>
  <si>
    <t xml:space="preserve">Minerales; electricidad, gas y agua</t>
  </si>
  <si>
    <t xml:space="preserve">Electricidad y agua</t>
  </si>
  <si>
    <t xml:space="preserve">Conocimiento, procesos y servicios relacionados</t>
  </si>
  <si>
    <t xml:space="preserve">Agua natural</t>
  </si>
  <si>
    <t xml:space="preserve">Carne, pescado, frutas, vegetales, aceites y grasas</t>
  </si>
  <si>
    <t xml:space="preserve">Productos alimenticios, bebidas y tabaco; textiles, prendas de vestir y productos de cuero</t>
  </si>
  <si>
    <t xml:space="preserve">Productos lácteos y productos de huevo</t>
  </si>
  <si>
    <t xml:space="preserve">Productos de molienda, productos con almidón o maicena; otros productos de alimenticios</t>
  </si>
  <si>
    <t xml:space="preserve">Productos del tabaco</t>
  </si>
  <si>
    <t xml:space="preserve">Hilados e hilos; tejidos y telas afelpadas</t>
  </si>
  <si>
    <t xml:space="preserve">Artículos textiles que no sean prendas de vestir</t>
  </si>
  <si>
    <t xml:space="preserve">Tejidos de punto o ganchillo; prendas de vestir</t>
  </si>
  <si>
    <t xml:space="preserve">Cuero y productos de cuero; calzado</t>
  </si>
  <si>
    <t xml:space="preserve">Productos de materiales de madera, corcho, cestería y espartería</t>
  </si>
  <si>
    <t xml:space="preserve">Otros bienes transportables, excepto productos metálicos, maquinaria y equipo</t>
  </si>
  <si>
    <t xml:space="preserve">Pulpa de papel, papel y productos de papel; impresos, y artículos similares</t>
  </si>
  <si>
    <t xml:space="preserve">Químicos orgánicos básicos</t>
  </si>
  <si>
    <t xml:space="preserve">Químicos básicos</t>
  </si>
  <si>
    <t xml:space="preserve">Otros químicos, plásticos, caucho y fibras sintéticas</t>
  </si>
  <si>
    <t xml:space="preserve">Extractos tintóreos o curtientes; taninos y sus derivados; materias colorantes n.c.p.</t>
  </si>
  <si>
    <t xml:space="preserve">Productos minerales naturales activados; negro animal; aceite de resina; aceites terpénicos producidos por tratamiento de madera de coníferas; dipenteno crudo; paracimeno crudo; aceite de pino; colofonia y ácidos resínicos, y sus derivados; esencias de colofonia y aceites de colofonia, alquitrán de madera; aceites de alquitrán de madera, creosota de madera, nafta de madera, resina vegetal</t>
  </si>
  <si>
    <t xml:space="preserve">Fertilizantes y pesticidas</t>
  </si>
  <si>
    <t xml:space="preserve">Pinturas y barnices y productos relacionados; colores para la pintura artística; tinta</t>
  </si>
  <si>
    <t xml:space="preserve">Otros productos químicos; Fibras textiles artificiales o sintéticas</t>
  </si>
  <si>
    <t xml:space="preserve">Productos farmacéuticos</t>
  </si>
  <si>
    <t xml:space="preserve">Jabón, preparados para la limpieza, perfumes y preparados de tocador</t>
  </si>
  <si>
    <t xml:space="preserve">Vidrios y productos de vidrio y otros productos no metálicos n.c.p.</t>
  </si>
  <si>
    <t xml:space="preserve">Muebles; otros bienes transportables n.c.p.</t>
  </si>
  <si>
    <t xml:space="preserve">Desperdicios o desechos</t>
  </si>
  <si>
    <t xml:space="preserve">Biomasa residual en los sectores agropecuario, pesca y acuacultura, forestal y agroindustrial</t>
  </si>
  <si>
    <t xml:space="preserve">Metales, Maquianria, equipos y transporte</t>
  </si>
  <si>
    <t xml:space="preserve">Productos metálicos, maquinaria y equipo</t>
  </si>
  <si>
    <t xml:space="preserve">Construcciones y servicios de construcción</t>
  </si>
  <si>
    <t xml:space="preserve">Servicios comerciales de distribución; alojamiento, servicios de suministro de comidas y bebidas; servicios de transporte; y servicios de distribución de electricidad, gas y agua</t>
  </si>
  <si>
    <t xml:space="preserve">Alojamiento, servicios de suministro de comidas y bebidas</t>
  </si>
  <si>
    <t xml:space="preserve">Distribución de electricidad, gas y agua (por cuenta propia)</t>
  </si>
  <si>
    <t xml:space="preserve">Servicios de investigación y desarrollo</t>
  </si>
  <si>
    <t xml:space="preserve">Servicios prestados a las empresas y servicios de producción</t>
  </si>
  <si>
    <t xml:space="preserve">Otros servicios profesionales, científicos y técnicos</t>
  </si>
  <si>
    <t xml:space="preserve">Servicios de apoyo a la agricultura,la caza, la silvicutura, la pesca, la minería y los servicios públicos</t>
  </si>
  <si>
    <t xml:space="preserve">Servicios de alcantarillado, recolección, tratamiento y disposición de desechos y otros servicios de saneamiento ambiental</t>
  </si>
  <si>
    <t xml:space="preserve">Servicios para la comunidad, sociales y personales</t>
  </si>
  <si>
    <t xml:space="preserve">ATF03</t>
  </si>
  <si>
    <t xml:space="preserve">ATF04</t>
  </si>
  <si>
    <t xml:space="preserve">Compras directas en el exterior por residentes</t>
  </si>
  <si>
    <t xml:space="preserve">ATF05</t>
  </si>
  <si>
    <t xml:space="preserve">Compras directas en el territorio nacional por no residentes</t>
  </si>
  <si>
    <t xml:space="preserve">Valor Agregado</t>
  </si>
  <si>
    <t xml:space="preserve">ATF07</t>
  </si>
  <si>
    <t xml:space="preserve">Puestos de trabajo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</si>
</sst>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Arial"/>
      <family val="2"/>
      <charset val="1"/>
    </font>
    <font>
      <sz val="11"/>
      <color rgb="FF000000"/>
      <name val="Calibri"/>
      <family val="0"/>
      <charset val="1"/>
    </font>
    <font>
      <sz val="11"/>
      <name val="Arial"/>
      <family val="0"/>
      <charset val="1"/>
    </font>
    <font>
      <sz val="11"/>
      <color rgb="FF444444"/>
      <name val="Calibri"/>
      <family val="0"/>
      <charset val="1"/>
    </font>
    <font>
      <b val="true"/>
      <sz val="11"/>
      <name val="Arial"/>
      <family val="0"/>
      <charset val="1"/>
    </font>
    <font>
      <b val="true"/>
      <sz val="11"/>
      <color theme="0"/>
      <name val="Calibri"/>
      <family val="2"/>
      <charset val="1"/>
    </font>
    <font>
      <sz val="6"/>
      <name val="Univers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  <fill>
      <patternFill patternType="solid">
        <fgColor rgb="FFFF8000"/>
        <bgColor rgb="FFFF6600"/>
      </patternFill>
    </fill>
    <fill>
      <patternFill patternType="solid">
        <fgColor rgb="FFFFBF00"/>
        <bgColor rgb="FFFF8000"/>
      </patternFill>
    </fill>
    <fill>
      <patternFill patternType="solid">
        <fgColor rgb="FFFFFF00"/>
        <bgColor rgb="FFFFFF00"/>
      </patternFill>
    </fill>
    <fill>
      <patternFill patternType="solid">
        <fgColor rgb="FF8E86AE"/>
        <bgColor rgb="FF808080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theme="9" tint="0.3999"/>
        <bgColor rgb="FF99CC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8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8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8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8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8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8" borderId="0" xfId="0" applyFont="true" applyBorder="false" applyAlignment="true" applyProtection="true">
      <alignment horizontal="center" vertical="center" textRotation="90" wrapText="true" indent="0" shrinkToFit="false"/>
      <protection locked="true" hidden="false"/>
    </xf>
    <xf numFmtId="165" fontId="10" fillId="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2" fillId="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2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6600"/>
      <rgbColor rgb="FF666699"/>
      <rgbColor rgb="FF8E86AE"/>
      <rgbColor rgb="FF003366"/>
      <rgbColor rgb="FF00A933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2"/>
  <sheetViews>
    <sheetView showFormulas="false" showGridLines="true" showRowColHeaders="true" showZeros="true" rightToLeft="false" tabSelected="false" showOutlineSymbols="true" defaultGridColor="true" view="normal" topLeftCell="A114" colorId="64" zoomScale="100" zoomScaleNormal="100" zoomScalePageLayoutView="100" workbookViewId="0">
      <selection pane="topLeft" activeCell="B129" activeCellId="0" sqref="B129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18.96"/>
    <col collapsed="false" customWidth="true" hidden="false" outlineLevel="0" max="2" min="2" style="1" width="10.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1" t="s">
        <v>3</v>
      </c>
    </row>
    <row r="3" customFormat="false" ht="13.8" hidden="false" customHeight="false" outlineLevel="0" collapsed="false">
      <c r="A3" s="2" t="s">
        <v>4</v>
      </c>
      <c r="B3" s="1" t="s">
        <v>5</v>
      </c>
    </row>
    <row r="4" customFormat="false" ht="13.8" hidden="false" customHeight="false" outlineLevel="0" collapsed="false">
      <c r="A4" s="2" t="s">
        <v>6</v>
      </c>
      <c r="B4" s="1" t="s">
        <v>7</v>
      </c>
    </row>
    <row r="5" customFormat="false" ht="13.8" hidden="false" customHeight="false" outlineLevel="0" collapsed="false">
      <c r="A5" s="2" t="s">
        <v>8</v>
      </c>
      <c r="B5" s="1" t="s">
        <v>9</v>
      </c>
    </row>
    <row r="6" customFormat="false" ht="13.8" hidden="false" customHeight="false" outlineLevel="0" collapsed="false">
      <c r="A6" s="2" t="s">
        <v>10</v>
      </c>
      <c r="B6" s="1" t="s">
        <v>11</v>
      </c>
    </row>
    <row r="7" customFormat="false" ht="13.8" hidden="false" customHeight="false" outlineLevel="0" collapsed="false">
      <c r="A7" s="2" t="s">
        <v>12</v>
      </c>
      <c r="B7" s="1" t="s">
        <v>13</v>
      </c>
    </row>
    <row r="8" customFormat="false" ht="13.8" hidden="false" customHeight="false" outlineLevel="0" collapsed="false">
      <c r="A8" s="2" t="s">
        <v>14</v>
      </c>
      <c r="B8" s="1" t="s">
        <v>15</v>
      </c>
    </row>
    <row r="9" customFormat="false" ht="13.8" hidden="false" customHeight="false" outlineLevel="0" collapsed="false">
      <c r="A9" s="2" t="s">
        <v>16</v>
      </c>
      <c r="B9" s="1" t="s">
        <v>17</v>
      </c>
    </row>
    <row r="10" customFormat="false" ht="13.8" hidden="false" customHeight="false" outlineLevel="0" collapsed="false">
      <c r="A10" s="2" t="s">
        <v>18</v>
      </c>
      <c r="B10" s="1" t="s">
        <v>19</v>
      </c>
    </row>
    <row r="11" customFormat="false" ht="13.8" hidden="false" customHeight="false" outlineLevel="0" collapsed="false">
      <c r="A11" s="2" t="s">
        <v>20</v>
      </c>
      <c r="B11" s="1" t="s">
        <v>21</v>
      </c>
    </row>
    <row r="12" customFormat="false" ht="13.8" hidden="false" customHeight="false" outlineLevel="0" collapsed="false">
      <c r="A12" s="2" t="s">
        <v>22</v>
      </c>
      <c r="B12" s="1" t="s">
        <v>23</v>
      </c>
    </row>
    <row r="13" customFormat="false" ht="13.8" hidden="false" customHeight="false" outlineLevel="0" collapsed="false">
      <c r="A13" s="2" t="s">
        <v>24</v>
      </c>
      <c r="B13" s="1" t="s">
        <v>25</v>
      </c>
    </row>
    <row r="14" customFormat="false" ht="13.8" hidden="false" customHeight="false" outlineLevel="0" collapsed="false">
      <c r="A14" s="2" t="s">
        <v>26</v>
      </c>
      <c r="B14" s="1" t="s">
        <v>27</v>
      </c>
    </row>
    <row r="15" customFormat="false" ht="13.8" hidden="false" customHeight="false" outlineLevel="0" collapsed="false">
      <c r="A15" s="2" t="s">
        <v>28</v>
      </c>
      <c r="B15" s="1" t="s">
        <v>29</v>
      </c>
    </row>
    <row r="16" customFormat="false" ht="13.8" hidden="false" customHeight="false" outlineLevel="0" collapsed="false">
      <c r="A16" s="2" t="s">
        <v>30</v>
      </c>
      <c r="B16" s="1" t="s">
        <v>31</v>
      </c>
    </row>
    <row r="17" customFormat="false" ht="13.8" hidden="false" customHeight="false" outlineLevel="0" collapsed="false">
      <c r="A17" s="2" t="s">
        <v>32</v>
      </c>
      <c r="B17" s="1" t="s">
        <v>33</v>
      </c>
    </row>
    <row r="18" customFormat="false" ht="13.8" hidden="false" customHeight="false" outlineLevel="0" collapsed="false">
      <c r="A18" s="2" t="s">
        <v>34</v>
      </c>
      <c r="B18" s="1" t="s">
        <v>35</v>
      </c>
    </row>
    <row r="19" customFormat="false" ht="13.8" hidden="false" customHeight="false" outlineLevel="0" collapsed="false">
      <c r="A19" s="2" t="s">
        <v>36</v>
      </c>
      <c r="B19" s="1" t="s">
        <v>37</v>
      </c>
    </row>
    <row r="20" customFormat="false" ht="13.8" hidden="false" customHeight="false" outlineLevel="0" collapsed="false">
      <c r="A20" s="2" t="s">
        <v>38</v>
      </c>
      <c r="B20" s="1" t="s">
        <v>39</v>
      </c>
    </row>
    <row r="21" customFormat="false" ht="13.8" hidden="false" customHeight="false" outlineLevel="0" collapsed="false">
      <c r="A21" s="2" t="s">
        <v>40</v>
      </c>
      <c r="B21" s="1" t="s">
        <v>41</v>
      </c>
    </row>
    <row r="22" customFormat="false" ht="13.8" hidden="false" customHeight="false" outlineLevel="0" collapsed="false">
      <c r="A22" s="2" t="s">
        <v>42</v>
      </c>
      <c r="B22" s="1" t="s">
        <v>43</v>
      </c>
    </row>
    <row r="23" customFormat="false" ht="13.8" hidden="false" customHeight="false" outlineLevel="0" collapsed="false">
      <c r="A23" s="2" t="s">
        <v>44</v>
      </c>
      <c r="B23" s="1" t="s">
        <v>45</v>
      </c>
    </row>
    <row r="24" customFormat="false" ht="13.8" hidden="false" customHeight="false" outlineLevel="0" collapsed="false">
      <c r="A24" s="2" t="s">
        <v>46</v>
      </c>
      <c r="B24" s="1" t="s">
        <v>47</v>
      </c>
    </row>
    <row r="25" customFormat="false" ht="13.8" hidden="false" customHeight="false" outlineLevel="0" collapsed="false">
      <c r="A25" s="2" t="s">
        <v>48</v>
      </c>
      <c r="B25" s="1" t="s">
        <v>49</v>
      </c>
    </row>
    <row r="26" customFormat="false" ht="13.8" hidden="false" customHeight="false" outlineLevel="0" collapsed="false">
      <c r="A26" s="2" t="s">
        <v>50</v>
      </c>
      <c r="B26" s="1" t="s">
        <v>51</v>
      </c>
    </row>
    <row r="27" customFormat="false" ht="13.8" hidden="false" customHeight="false" outlineLevel="0" collapsed="false">
      <c r="A27" s="2" t="s">
        <v>52</v>
      </c>
      <c r="B27" s="1" t="s">
        <v>53</v>
      </c>
    </row>
    <row r="28" customFormat="false" ht="13.8" hidden="false" customHeight="false" outlineLevel="0" collapsed="false">
      <c r="A28" s="2" t="s">
        <v>54</v>
      </c>
      <c r="B28" s="1" t="s">
        <v>55</v>
      </c>
    </row>
    <row r="29" customFormat="false" ht="13.8" hidden="false" customHeight="false" outlineLevel="0" collapsed="false">
      <c r="A29" s="2" t="s">
        <v>56</v>
      </c>
      <c r="B29" s="1" t="s">
        <v>57</v>
      </c>
    </row>
    <row r="30" customFormat="false" ht="13.8" hidden="false" customHeight="false" outlineLevel="0" collapsed="false">
      <c r="A30" s="2" t="s">
        <v>58</v>
      </c>
      <c r="B30" s="1" t="s">
        <v>59</v>
      </c>
    </row>
    <row r="31" customFormat="false" ht="13.8" hidden="false" customHeight="false" outlineLevel="0" collapsed="false">
      <c r="A31" s="2" t="s">
        <v>60</v>
      </c>
      <c r="B31" s="1" t="s">
        <v>61</v>
      </c>
    </row>
    <row r="32" customFormat="false" ht="13.8" hidden="false" customHeight="false" outlineLevel="0" collapsed="false">
      <c r="A32" s="2" t="s">
        <v>62</v>
      </c>
      <c r="B32" s="1" t="s">
        <v>63</v>
      </c>
    </row>
    <row r="33" customFormat="false" ht="13.8" hidden="false" customHeight="false" outlineLevel="0" collapsed="false">
      <c r="A33" s="2" t="s">
        <v>64</v>
      </c>
      <c r="B33" s="1" t="s">
        <v>65</v>
      </c>
    </row>
    <row r="34" customFormat="false" ht="13.8" hidden="false" customHeight="false" outlineLevel="0" collapsed="false">
      <c r="A34" s="2" t="s">
        <v>66</v>
      </c>
      <c r="B34" s="1" t="s">
        <v>67</v>
      </c>
    </row>
    <row r="35" customFormat="false" ht="13.8" hidden="false" customHeight="false" outlineLevel="0" collapsed="false">
      <c r="A35" s="2" t="s">
        <v>68</v>
      </c>
      <c r="B35" s="1" t="s">
        <v>69</v>
      </c>
    </row>
    <row r="36" customFormat="false" ht="13.8" hidden="false" customHeight="false" outlineLevel="0" collapsed="false">
      <c r="A36" s="2" t="s">
        <v>70</v>
      </c>
      <c r="B36" s="1" t="s">
        <v>71</v>
      </c>
    </row>
    <row r="37" customFormat="false" ht="13.8" hidden="false" customHeight="false" outlineLevel="0" collapsed="false">
      <c r="A37" s="2" t="s">
        <v>72</v>
      </c>
      <c r="B37" s="1" t="s">
        <v>73</v>
      </c>
    </row>
    <row r="38" customFormat="false" ht="13.8" hidden="false" customHeight="false" outlineLevel="0" collapsed="false">
      <c r="A38" s="2" t="s">
        <v>74</v>
      </c>
      <c r="B38" s="1" t="s">
        <v>75</v>
      </c>
    </row>
    <row r="39" customFormat="false" ht="13.8" hidden="false" customHeight="false" outlineLevel="0" collapsed="false">
      <c r="A39" s="2" t="s">
        <v>76</v>
      </c>
      <c r="B39" s="1" t="s">
        <v>77</v>
      </c>
    </row>
    <row r="40" customFormat="false" ht="13.8" hidden="false" customHeight="false" outlineLevel="0" collapsed="false">
      <c r="A40" s="2" t="s">
        <v>78</v>
      </c>
      <c r="B40" s="1" t="s">
        <v>79</v>
      </c>
    </row>
    <row r="41" customFormat="false" ht="13.8" hidden="false" customHeight="false" outlineLevel="0" collapsed="false">
      <c r="A41" s="2" t="s">
        <v>80</v>
      </c>
      <c r="B41" s="1" t="s">
        <v>81</v>
      </c>
    </row>
    <row r="42" customFormat="false" ht="13.8" hidden="false" customHeight="false" outlineLevel="0" collapsed="false">
      <c r="A42" s="2" t="s">
        <v>82</v>
      </c>
      <c r="B42" s="1" t="s">
        <v>83</v>
      </c>
    </row>
    <row r="43" customFormat="false" ht="13.8" hidden="false" customHeight="false" outlineLevel="0" collapsed="false">
      <c r="A43" s="2" t="s">
        <v>84</v>
      </c>
      <c r="B43" s="1" t="s">
        <v>85</v>
      </c>
    </row>
    <row r="44" customFormat="false" ht="13.8" hidden="false" customHeight="false" outlineLevel="0" collapsed="false">
      <c r="A44" s="2" t="s">
        <v>86</v>
      </c>
      <c r="B44" s="1" t="s">
        <v>87</v>
      </c>
    </row>
    <row r="45" customFormat="false" ht="13.8" hidden="false" customHeight="false" outlineLevel="0" collapsed="false">
      <c r="A45" s="2" t="s">
        <v>88</v>
      </c>
      <c r="B45" s="1" t="s">
        <v>89</v>
      </c>
    </row>
    <row r="46" customFormat="false" ht="13.8" hidden="false" customHeight="false" outlineLevel="0" collapsed="false">
      <c r="A46" s="2" t="s">
        <v>90</v>
      </c>
      <c r="B46" s="1" t="s">
        <v>91</v>
      </c>
    </row>
    <row r="47" customFormat="false" ht="13.8" hidden="false" customHeight="false" outlineLevel="0" collapsed="false">
      <c r="A47" s="2" t="s">
        <v>92</v>
      </c>
      <c r="B47" s="1" t="s">
        <v>93</v>
      </c>
    </row>
    <row r="48" customFormat="false" ht="13.8" hidden="false" customHeight="false" outlineLevel="0" collapsed="false">
      <c r="A48" s="2" t="s">
        <v>94</v>
      </c>
      <c r="B48" s="1" t="s">
        <v>95</v>
      </c>
    </row>
    <row r="49" customFormat="false" ht="13.8" hidden="false" customHeight="false" outlineLevel="0" collapsed="false">
      <c r="A49" s="2" t="s">
        <v>96</v>
      </c>
      <c r="B49" s="1" t="s">
        <v>97</v>
      </c>
    </row>
    <row r="50" customFormat="false" ht="13.8" hidden="false" customHeight="false" outlineLevel="0" collapsed="false">
      <c r="A50" s="2" t="s">
        <v>98</v>
      </c>
      <c r="B50" s="1" t="s">
        <v>99</v>
      </c>
    </row>
    <row r="51" customFormat="false" ht="13.8" hidden="false" customHeight="false" outlineLevel="0" collapsed="false">
      <c r="A51" s="2" t="s">
        <v>100</v>
      </c>
      <c r="B51" s="1" t="s">
        <v>101</v>
      </c>
    </row>
    <row r="52" customFormat="false" ht="13.8" hidden="false" customHeight="false" outlineLevel="0" collapsed="false">
      <c r="A52" s="2" t="s">
        <v>102</v>
      </c>
      <c r="B52" s="1" t="s">
        <v>103</v>
      </c>
    </row>
    <row r="53" customFormat="false" ht="13.8" hidden="false" customHeight="false" outlineLevel="0" collapsed="false">
      <c r="A53" s="2" t="s">
        <v>104</v>
      </c>
      <c r="B53" s="1" t="s">
        <v>105</v>
      </c>
    </row>
    <row r="54" customFormat="false" ht="13.8" hidden="false" customHeight="false" outlineLevel="0" collapsed="false">
      <c r="A54" s="2" t="s">
        <v>106</v>
      </c>
      <c r="B54" s="1" t="s">
        <v>107</v>
      </c>
    </row>
    <row r="55" customFormat="false" ht="13.8" hidden="false" customHeight="false" outlineLevel="0" collapsed="false">
      <c r="A55" s="2" t="s">
        <v>108</v>
      </c>
      <c r="B55" s="1" t="s">
        <v>109</v>
      </c>
    </row>
    <row r="56" customFormat="false" ht="13.8" hidden="false" customHeight="false" outlineLevel="0" collapsed="false">
      <c r="A56" s="2" t="s">
        <v>110</v>
      </c>
      <c r="B56" s="1" t="s">
        <v>111</v>
      </c>
    </row>
    <row r="57" customFormat="false" ht="13.8" hidden="false" customHeight="false" outlineLevel="0" collapsed="false">
      <c r="A57" s="2" t="s">
        <v>112</v>
      </c>
      <c r="B57" s="1" t="s">
        <v>113</v>
      </c>
    </row>
    <row r="58" customFormat="false" ht="13.8" hidden="false" customHeight="false" outlineLevel="0" collapsed="false">
      <c r="A58" s="2" t="s">
        <v>114</v>
      </c>
      <c r="B58" s="1" t="s">
        <v>115</v>
      </c>
    </row>
    <row r="59" customFormat="false" ht="13.8" hidden="false" customHeight="false" outlineLevel="0" collapsed="false">
      <c r="A59" s="2" t="s">
        <v>116</v>
      </c>
      <c r="B59" s="1" t="s">
        <v>117</v>
      </c>
    </row>
    <row r="60" customFormat="false" ht="13.8" hidden="false" customHeight="false" outlineLevel="0" collapsed="false">
      <c r="A60" s="2" t="s">
        <v>118</v>
      </c>
      <c r="B60" s="1" t="s">
        <v>119</v>
      </c>
    </row>
    <row r="61" customFormat="false" ht="13.8" hidden="false" customHeight="false" outlineLevel="0" collapsed="false">
      <c r="A61" s="2" t="s">
        <v>120</v>
      </c>
      <c r="B61" s="1" t="s">
        <v>121</v>
      </c>
    </row>
    <row r="62" customFormat="false" ht="13.8" hidden="false" customHeight="false" outlineLevel="0" collapsed="false">
      <c r="A62" s="2" t="s">
        <v>122</v>
      </c>
      <c r="B62" s="1" t="s">
        <v>123</v>
      </c>
    </row>
    <row r="63" customFormat="false" ht="13.8" hidden="false" customHeight="false" outlineLevel="0" collapsed="false">
      <c r="A63" s="2" t="s">
        <v>124</v>
      </c>
      <c r="B63" s="1" t="s">
        <v>125</v>
      </c>
    </row>
    <row r="64" customFormat="false" ht="13.8" hidden="false" customHeight="false" outlineLevel="0" collapsed="false">
      <c r="A64" s="2" t="s">
        <v>126</v>
      </c>
      <c r="B64" s="1" t="s">
        <v>127</v>
      </c>
    </row>
    <row r="65" customFormat="false" ht="13.8" hidden="false" customHeight="false" outlineLevel="0" collapsed="false">
      <c r="A65" s="2" t="s">
        <v>128</v>
      </c>
      <c r="B65" s="1" t="s">
        <v>129</v>
      </c>
    </row>
    <row r="66" customFormat="false" ht="13.8" hidden="false" customHeight="false" outlineLevel="0" collapsed="false">
      <c r="A66" s="2" t="s">
        <v>130</v>
      </c>
      <c r="B66" s="1" t="s">
        <v>131</v>
      </c>
    </row>
    <row r="67" customFormat="false" ht="13.8" hidden="false" customHeight="false" outlineLevel="0" collapsed="false">
      <c r="A67" s="2" t="s">
        <v>132</v>
      </c>
      <c r="B67" s="1" t="s">
        <v>133</v>
      </c>
    </row>
    <row r="68" customFormat="false" ht="13.8" hidden="false" customHeight="false" outlineLevel="0" collapsed="false">
      <c r="A68" s="2" t="s">
        <v>134</v>
      </c>
      <c r="B68" s="1" t="s">
        <v>135</v>
      </c>
    </row>
    <row r="69" customFormat="false" ht="13.8" hidden="false" customHeight="false" outlineLevel="0" collapsed="false">
      <c r="A69" s="2" t="s">
        <v>136</v>
      </c>
      <c r="B69" s="1" t="s">
        <v>137</v>
      </c>
    </row>
    <row r="70" customFormat="false" ht="13.8" hidden="false" customHeight="false" outlineLevel="0" collapsed="false">
      <c r="A70" s="2" t="s">
        <v>138</v>
      </c>
      <c r="B70" s="1" t="s">
        <v>139</v>
      </c>
    </row>
    <row r="71" customFormat="false" ht="13.8" hidden="false" customHeight="false" outlineLevel="0" collapsed="false">
      <c r="A71" s="2" t="s">
        <v>140</v>
      </c>
      <c r="B71" s="1" t="s">
        <v>141</v>
      </c>
    </row>
    <row r="72" customFormat="false" ht="13.8" hidden="false" customHeight="false" outlineLevel="0" collapsed="false">
      <c r="A72" s="2" t="s">
        <v>142</v>
      </c>
      <c r="B72" s="1" t="s">
        <v>143</v>
      </c>
    </row>
    <row r="73" customFormat="false" ht="13.8" hidden="false" customHeight="false" outlineLevel="0" collapsed="false">
      <c r="A73" s="2" t="s">
        <v>144</v>
      </c>
      <c r="B73" s="1" t="s">
        <v>145</v>
      </c>
    </row>
    <row r="74" customFormat="false" ht="13.8" hidden="false" customHeight="false" outlineLevel="0" collapsed="false">
      <c r="A74" s="2" t="s">
        <v>146</v>
      </c>
      <c r="B74" s="1" t="s">
        <v>147</v>
      </c>
    </row>
    <row r="75" customFormat="false" ht="13.8" hidden="false" customHeight="false" outlineLevel="0" collapsed="false">
      <c r="A75" s="2" t="s">
        <v>148</v>
      </c>
      <c r="B75" s="1" t="s">
        <v>149</v>
      </c>
    </row>
    <row r="76" customFormat="false" ht="13.8" hidden="false" customHeight="false" outlineLevel="0" collapsed="false">
      <c r="A76" s="2" t="s">
        <v>150</v>
      </c>
      <c r="B76" s="1" t="s">
        <v>151</v>
      </c>
    </row>
    <row r="77" customFormat="false" ht="13.8" hidden="false" customHeight="false" outlineLevel="0" collapsed="false">
      <c r="A77" s="2" t="s">
        <v>152</v>
      </c>
      <c r="B77" s="1" t="s">
        <v>153</v>
      </c>
    </row>
    <row r="78" customFormat="false" ht="13.8" hidden="false" customHeight="false" outlineLevel="0" collapsed="false">
      <c r="A78" s="2" t="s">
        <v>154</v>
      </c>
      <c r="B78" s="1" t="s">
        <v>155</v>
      </c>
    </row>
    <row r="79" customFormat="false" ht="13.8" hidden="false" customHeight="false" outlineLevel="0" collapsed="false">
      <c r="A79" s="2" t="s">
        <v>156</v>
      </c>
      <c r="B79" s="1" t="s">
        <v>157</v>
      </c>
    </row>
    <row r="80" customFormat="false" ht="13.8" hidden="false" customHeight="false" outlineLevel="0" collapsed="false">
      <c r="A80" s="2" t="s">
        <v>158</v>
      </c>
      <c r="B80" s="1" t="s">
        <v>159</v>
      </c>
    </row>
    <row r="81" customFormat="false" ht="13.8" hidden="false" customHeight="false" outlineLevel="0" collapsed="false">
      <c r="A81" s="2" t="s">
        <v>160</v>
      </c>
      <c r="B81" s="1" t="s">
        <v>161</v>
      </c>
    </row>
    <row r="82" customFormat="false" ht="13.8" hidden="false" customHeight="false" outlineLevel="0" collapsed="false">
      <c r="A82" s="2" t="s">
        <v>162</v>
      </c>
      <c r="B82" s="1" t="s">
        <v>163</v>
      </c>
    </row>
    <row r="83" customFormat="false" ht="13.8" hidden="false" customHeight="false" outlineLevel="0" collapsed="false">
      <c r="A83" s="2" t="s">
        <v>164</v>
      </c>
      <c r="B83" s="1" t="s">
        <v>165</v>
      </c>
    </row>
    <row r="84" customFormat="false" ht="13.8" hidden="false" customHeight="false" outlineLevel="0" collapsed="false">
      <c r="A84" s="2" t="s">
        <v>166</v>
      </c>
      <c r="B84" s="1" t="s">
        <v>167</v>
      </c>
    </row>
    <row r="85" customFormat="false" ht="13.8" hidden="false" customHeight="false" outlineLevel="0" collapsed="false">
      <c r="A85" s="2" t="s">
        <v>168</v>
      </c>
      <c r="B85" s="1" t="s">
        <v>169</v>
      </c>
    </row>
    <row r="86" customFormat="false" ht="13.8" hidden="false" customHeight="false" outlineLevel="0" collapsed="false">
      <c r="A86" s="2" t="s">
        <v>170</v>
      </c>
      <c r="B86" s="1" t="s">
        <v>171</v>
      </c>
    </row>
    <row r="87" customFormat="false" ht="13.8" hidden="false" customHeight="false" outlineLevel="0" collapsed="false">
      <c r="A87" s="2" t="s">
        <v>172</v>
      </c>
      <c r="B87" s="1" t="s">
        <v>173</v>
      </c>
    </row>
    <row r="88" customFormat="false" ht="13.8" hidden="false" customHeight="false" outlineLevel="0" collapsed="false">
      <c r="A88" s="2" t="s">
        <v>174</v>
      </c>
      <c r="B88" s="1" t="s">
        <v>175</v>
      </c>
    </row>
    <row r="89" customFormat="false" ht="13.8" hidden="false" customHeight="false" outlineLevel="0" collapsed="false">
      <c r="A89" s="2" t="s">
        <v>176</v>
      </c>
      <c r="B89" s="1" t="s">
        <v>177</v>
      </c>
    </row>
    <row r="90" customFormat="false" ht="13.8" hidden="false" customHeight="false" outlineLevel="0" collapsed="false">
      <c r="A90" s="2" t="s">
        <v>178</v>
      </c>
      <c r="B90" s="1" t="s">
        <v>179</v>
      </c>
    </row>
    <row r="91" customFormat="false" ht="13.8" hidden="false" customHeight="false" outlineLevel="0" collapsed="false">
      <c r="A91" s="2" t="s">
        <v>180</v>
      </c>
      <c r="B91" s="1" t="s">
        <v>181</v>
      </c>
    </row>
    <row r="92" customFormat="false" ht="13.8" hidden="false" customHeight="false" outlineLevel="0" collapsed="false">
      <c r="A92" s="2" t="s">
        <v>182</v>
      </c>
      <c r="B92" s="1" t="s">
        <v>183</v>
      </c>
    </row>
    <row r="93" customFormat="false" ht="13.8" hidden="false" customHeight="false" outlineLevel="0" collapsed="false">
      <c r="A93" s="2" t="s">
        <v>184</v>
      </c>
      <c r="B93" s="1" t="s">
        <v>185</v>
      </c>
    </row>
    <row r="94" customFormat="false" ht="13.8" hidden="false" customHeight="false" outlineLevel="0" collapsed="false">
      <c r="A94" s="2" t="s">
        <v>186</v>
      </c>
      <c r="B94" s="1" t="s">
        <v>187</v>
      </c>
    </row>
    <row r="95" customFormat="false" ht="13.8" hidden="false" customHeight="false" outlineLevel="0" collapsed="false">
      <c r="A95" s="2" t="s">
        <v>188</v>
      </c>
      <c r="B95" s="1" t="s">
        <v>189</v>
      </c>
    </row>
    <row r="96" customFormat="false" ht="13.8" hidden="false" customHeight="false" outlineLevel="0" collapsed="false">
      <c r="A96" s="2" t="s">
        <v>190</v>
      </c>
      <c r="B96" s="1" t="s">
        <v>191</v>
      </c>
    </row>
    <row r="97" customFormat="false" ht="13.8" hidden="false" customHeight="false" outlineLevel="0" collapsed="false">
      <c r="A97" s="2" t="s">
        <v>192</v>
      </c>
      <c r="B97" s="1" t="s">
        <v>193</v>
      </c>
    </row>
    <row r="98" customFormat="false" ht="13.8" hidden="false" customHeight="false" outlineLevel="0" collapsed="false">
      <c r="A98" s="2" t="s">
        <v>194</v>
      </c>
      <c r="B98" s="1" t="s">
        <v>195</v>
      </c>
    </row>
    <row r="99" customFormat="false" ht="13.8" hidden="false" customHeight="false" outlineLevel="0" collapsed="false">
      <c r="A99" s="2" t="s">
        <v>196</v>
      </c>
      <c r="B99" s="1" t="s">
        <v>197</v>
      </c>
    </row>
    <row r="100" customFormat="false" ht="13.8" hidden="false" customHeight="false" outlineLevel="0" collapsed="false">
      <c r="A100" s="2" t="s">
        <v>198</v>
      </c>
      <c r="B100" s="1" t="s">
        <v>199</v>
      </c>
    </row>
    <row r="101" customFormat="false" ht="13.8" hidden="false" customHeight="false" outlineLevel="0" collapsed="false">
      <c r="A101" s="2" t="s">
        <v>200</v>
      </c>
      <c r="B101" s="1" t="s">
        <v>201</v>
      </c>
    </row>
    <row r="102" customFormat="false" ht="13.8" hidden="false" customHeight="false" outlineLevel="0" collapsed="false">
      <c r="A102" s="2" t="s">
        <v>202</v>
      </c>
      <c r="B102" s="1" t="s">
        <v>203</v>
      </c>
    </row>
    <row r="103" customFormat="false" ht="13.8" hidden="false" customHeight="false" outlineLevel="0" collapsed="false">
      <c r="A103" s="2" t="s">
        <v>204</v>
      </c>
      <c r="B103" s="1" t="s">
        <v>205</v>
      </c>
    </row>
    <row r="104" customFormat="false" ht="13.8" hidden="false" customHeight="false" outlineLevel="0" collapsed="false">
      <c r="A104" s="2" t="s">
        <v>206</v>
      </c>
      <c r="B104" s="1" t="s">
        <v>207</v>
      </c>
    </row>
    <row r="105" customFormat="false" ht="13.8" hidden="false" customHeight="false" outlineLevel="0" collapsed="false">
      <c r="A105" s="2" t="s">
        <v>208</v>
      </c>
      <c r="B105" s="1" t="s">
        <v>209</v>
      </c>
    </row>
    <row r="106" customFormat="false" ht="13.8" hidden="false" customHeight="false" outlineLevel="0" collapsed="false">
      <c r="A106" s="2" t="s">
        <v>210</v>
      </c>
      <c r="B106" s="1" t="s">
        <v>211</v>
      </c>
    </row>
    <row r="107" customFormat="false" ht="13.8" hidden="false" customHeight="false" outlineLevel="0" collapsed="false">
      <c r="A107" s="2" t="s">
        <v>212</v>
      </c>
      <c r="B107" s="1" t="s">
        <v>213</v>
      </c>
    </row>
    <row r="108" customFormat="false" ht="13.8" hidden="false" customHeight="false" outlineLevel="0" collapsed="false">
      <c r="A108" s="2" t="s">
        <v>214</v>
      </c>
      <c r="B108" s="1" t="s">
        <v>215</v>
      </c>
    </row>
    <row r="109" customFormat="false" ht="13.8" hidden="false" customHeight="false" outlineLevel="0" collapsed="false">
      <c r="A109" s="2" t="s">
        <v>216</v>
      </c>
      <c r="B109" s="1" t="s">
        <v>217</v>
      </c>
    </row>
    <row r="110" customFormat="false" ht="13.8" hidden="false" customHeight="false" outlineLevel="0" collapsed="false">
      <c r="A110" s="2" t="s">
        <v>218</v>
      </c>
      <c r="B110" s="1" t="s">
        <v>219</v>
      </c>
    </row>
    <row r="111" customFormat="false" ht="13.8" hidden="false" customHeight="false" outlineLevel="0" collapsed="false">
      <c r="A111" s="2" t="s">
        <v>220</v>
      </c>
      <c r="B111" s="1" t="s">
        <v>221</v>
      </c>
    </row>
    <row r="112" customFormat="false" ht="13.8" hidden="false" customHeight="false" outlineLevel="0" collapsed="false">
      <c r="A112" s="2" t="s">
        <v>222</v>
      </c>
      <c r="B112" s="1" t="s">
        <v>223</v>
      </c>
    </row>
    <row r="113" customFormat="false" ht="13.8" hidden="false" customHeight="false" outlineLevel="0" collapsed="false">
      <c r="A113" s="2" t="s">
        <v>224</v>
      </c>
      <c r="B113" s="1" t="s">
        <v>225</v>
      </c>
    </row>
    <row r="114" customFormat="false" ht="13.8" hidden="false" customHeight="false" outlineLevel="0" collapsed="false">
      <c r="A114" s="2" t="s">
        <v>226</v>
      </c>
      <c r="B114" s="1" t="s">
        <v>227</v>
      </c>
    </row>
    <row r="115" customFormat="false" ht="13.8" hidden="false" customHeight="false" outlineLevel="0" collapsed="false">
      <c r="A115" s="2" t="s">
        <v>228</v>
      </c>
      <c r="B115" s="1" t="s">
        <v>229</v>
      </c>
    </row>
    <row r="116" customFormat="false" ht="13.8" hidden="false" customHeight="false" outlineLevel="0" collapsed="false">
      <c r="A116" s="2" t="s">
        <v>230</v>
      </c>
      <c r="B116" s="1" t="s">
        <v>231</v>
      </c>
    </row>
    <row r="117" customFormat="false" ht="13.8" hidden="false" customHeight="false" outlineLevel="0" collapsed="false">
      <c r="A117" s="2" t="s">
        <v>232</v>
      </c>
      <c r="B117" s="1" t="s">
        <v>233</v>
      </c>
    </row>
    <row r="118" customFormat="false" ht="13.8" hidden="false" customHeight="false" outlineLevel="0" collapsed="false">
      <c r="A118" s="2" t="s">
        <v>234</v>
      </c>
      <c r="B118" s="1" t="s">
        <v>235</v>
      </c>
    </row>
    <row r="119" customFormat="false" ht="13.8" hidden="false" customHeight="false" outlineLevel="0" collapsed="false">
      <c r="A119" s="2" t="s">
        <v>236</v>
      </c>
      <c r="B119" s="1" t="s">
        <v>237</v>
      </c>
    </row>
    <row r="120" customFormat="false" ht="13.8" hidden="false" customHeight="false" outlineLevel="0" collapsed="false">
      <c r="A120" s="2" t="s">
        <v>238</v>
      </c>
      <c r="B120" s="1" t="s">
        <v>239</v>
      </c>
    </row>
    <row r="121" customFormat="false" ht="13.8" hidden="false" customHeight="false" outlineLevel="0" collapsed="false">
      <c r="A121" s="2" t="s">
        <v>240</v>
      </c>
      <c r="B121" s="1" t="s">
        <v>241</v>
      </c>
    </row>
    <row r="122" customFormat="false" ht="13.8" hidden="false" customHeight="false" outlineLevel="0" collapsed="false">
      <c r="A122" s="2" t="s">
        <v>242</v>
      </c>
      <c r="B122" s="1" t="s">
        <v>243</v>
      </c>
    </row>
    <row r="123" customFormat="false" ht="13.8" hidden="false" customHeight="false" outlineLevel="0" collapsed="false">
      <c r="A123" s="2" t="s">
        <v>244</v>
      </c>
      <c r="B123" s="1" t="s">
        <v>245</v>
      </c>
    </row>
    <row r="124" customFormat="false" ht="13.8" hidden="false" customHeight="false" outlineLevel="0" collapsed="false">
      <c r="A124" s="2" t="s">
        <v>246</v>
      </c>
      <c r="B124" s="1" t="s">
        <v>247</v>
      </c>
    </row>
    <row r="125" customFormat="false" ht="13.8" hidden="false" customHeight="false" outlineLevel="0" collapsed="false">
      <c r="A125" s="2" t="s">
        <v>248</v>
      </c>
      <c r="B125" s="1" t="s">
        <v>249</v>
      </c>
    </row>
    <row r="126" customFormat="false" ht="13.8" hidden="false" customHeight="false" outlineLevel="0" collapsed="false">
      <c r="A126" s="2" t="s">
        <v>250</v>
      </c>
      <c r="B126" s="1" t="s">
        <v>251</v>
      </c>
    </row>
    <row r="127" customFormat="false" ht="13.8" hidden="false" customHeight="false" outlineLevel="0" collapsed="false">
      <c r="A127" s="2" t="s">
        <v>252</v>
      </c>
      <c r="B127" s="1" t="s">
        <v>253</v>
      </c>
    </row>
    <row r="128" customFormat="false" ht="13.8" hidden="false" customHeight="false" outlineLevel="0" collapsed="false">
      <c r="A128" s="2" t="s">
        <v>254</v>
      </c>
      <c r="B128" s="1" t="s">
        <v>255</v>
      </c>
    </row>
    <row r="129" customFormat="false" ht="13.8" hidden="false" customHeight="false" outlineLevel="0" collapsed="false">
      <c r="A129" s="2" t="s">
        <v>256</v>
      </c>
      <c r="B129" s="1" t="s">
        <v>257</v>
      </c>
    </row>
    <row r="130" customFormat="false" ht="13.8" hidden="false" customHeight="false" outlineLevel="0" collapsed="false">
      <c r="A130" s="2" t="s">
        <v>258</v>
      </c>
    </row>
    <row r="131" customFormat="false" ht="13.8" hidden="false" customHeight="false" outlineLevel="0" collapsed="false">
      <c r="A131" s="2" t="s">
        <v>259</v>
      </c>
    </row>
    <row r="132" customFormat="false" ht="13.8" hidden="false" customHeight="false" outlineLevel="0" collapsed="false">
      <c r="A132" s="3" t="s">
        <v>260</v>
      </c>
      <c r="B132" s="1" t="s">
        <v>3</v>
      </c>
    </row>
    <row r="133" customFormat="false" ht="13.8" hidden="false" customHeight="false" outlineLevel="0" collapsed="false">
      <c r="A133" s="3" t="s">
        <v>261</v>
      </c>
      <c r="B133" s="1" t="s">
        <v>5</v>
      </c>
    </row>
    <row r="134" customFormat="false" ht="13.8" hidden="false" customHeight="false" outlineLevel="0" collapsed="false">
      <c r="A134" s="3" t="s">
        <v>262</v>
      </c>
      <c r="B134" s="1" t="s">
        <v>7</v>
      </c>
    </row>
    <row r="135" customFormat="false" ht="13.8" hidden="false" customHeight="false" outlineLevel="0" collapsed="false">
      <c r="A135" s="3" t="s">
        <v>263</v>
      </c>
      <c r="B135" s="1" t="s">
        <v>9</v>
      </c>
    </row>
    <row r="136" customFormat="false" ht="13.8" hidden="false" customHeight="false" outlineLevel="0" collapsed="false">
      <c r="A136" s="3" t="s">
        <v>264</v>
      </c>
      <c r="B136" s="1" t="s">
        <v>11</v>
      </c>
    </row>
    <row r="137" customFormat="false" ht="13.8" hidden="false" customHeight="false" outlineLevel="0" collapsed="false">
      <c r="A137" s="3" t="s">
        <v>265</v>
      </c>
      <c r="B137" s="1" t="s">
        <v>13</v>
      </c>
    </row>
    <row r="138" customFormat="false" ht="13.8" hidden="false" customHeight="false" outlineLevel="0" collapsed="false">
      <c r="A138" s="3" t="s">
        <v>266</v>
      </c>
      <c r="B138" s="1" t="s">
        <v>15</v>
      </c>
    </row>
    <row r="139" customFormat="false" ht="13.8" hidden="false" customHeight="false" outlineLevel="0" collapsed="false">
      <c r="A139" s="3" t="s">
        <v>267</v>
      </c>
      <c r="B139" s="1" t="s">
        <v>17</v>
      </c>
    </row>
    <row r="140" customFormat="false" ht="13.8" hidden="false" customHeight="false" outlineLevel="0" collapsed="false">
      <c r="A140" s="3" t="s">
        <v>268</v>
      </c>
      <c r="B140" s="1" t="s">
        <v>19</v>
      </c>
    </row>
    <row r="141" customFormat="false" ht="13.8" hidden="false" customHeight="false" outlineLevel="0" collapsed="false">
      <c r="A141" s="3" t="s">
        <v>269</v>
      </c>
      <c r="B141" s="1" t="s">
        <v>21</v>
      </c>
    </row>
    <row r="142" customFormat="false" ht="13.8" hidden="false" customHeight="false" outlineLevel="0" collapsed="false">
      <c r="A142" s="3" t="s">
        <v>270</v>
      </c>
      <c r="B142" s="1" t="s">
        <v>23</v>
      </c>
    </row>
    <row r="143" customFormat="false" ht="13.8" hidden="false" customHeight="false" outlineLevel="0" collapsed="false">
      <c r="A143" s="3" t="s">
        <v>271</v>
      </c>
      <c r="B143" s="1" t="s">
        <v>25</v>
      </c>
    </row>
    <row r="144" customFormat="false" ht="13.8" hidden="false" customHeight="false" outlineLevel="0" collapsed="false">
      <c r="A144" s="3" t="s">
        <v>272</v>
      </c>
      <c r="B144" s="1" t="s">
        <v>27</v>
      </c>
    </row>
    <row r="145" customFormat="false" ht="13.8" hidden="false" customHeight="false" outlineLevel="0" collapsed="false">
      <c r="A145" s="3" t="s">
        <v>273</v>
      </c>
      <c r="B145" s="1" t="s">
        <v>29</v>
      </c>
    </row>
    <row r="146" customFormat="false" ht="13.8" hidden="false" customHeight="false" outlineLevel="0" collapsed="false">
      <c r="A146" s="3" t="s">
        <v>274</v>
      </c>
      <c r="B146" s="1" t="s">
        <v>31</v>
      </c>
    </row>
    <row r="147" customFormat="false" ht="13.8" hidden="false" customHeight="false" outlineLevel="0" collapsed="false">
      <c r="A147" s="3" t="s">
        <v>275</v>
      </c>
      <c r="B147" s="1" t="s">
        <v>33</v>
      </c>
    </row>
    <row r="148" customFormat="false" ht="13.8" hidden="false" customHeight="false" outlineLevel="0" collapsed="false">
      <c r="A148" s="3" t="s">
        <v>276</v>
      </c>
      <c r="B148" s="1" t="s">
        <v>35</v>
      </c>
    </row>
    <row r="149" customFormat="false" ht="13.8" hidden="false" customHeight="false" outlineLevel="0" collapsed="false">
      <c r="A149" s="3" t="s">
        <v>277</v>
      </c>
      <c r="B149" s="1" t="s">
        <v>37</v>
      </c>
    </row>
    <row r="150" customFormat="false" ht="13.8" hidden="false" customHeight="false" outlineLevel="0" collapsed="false">
      <c r="A150" s="3" t="s">
        <v>278</v>
      </c>
      <c r="B150" s="1" t="s">
        <v>39</v>
      </c>
    </row>
    <row r="151" customFormat="false" ht="13.8" hidden="false" customHeight="false" outlineLevel="0" collapsed="false">
      <c r="A151" s="3" t="s">
        <v>279</v>
      </c>
      <c r="B151" s="1" t="s">
        <v>41</v>
      </c>
    </row>
    <row r="152" customFormat="false" ht="13.8" hidden="false" customHeight="false" outlineLevel="0" collapsed="false">
      <c r="A152" s="3" t="s">
        <v>280</v>
      </c>
      <c r="B152" s="1" t="s">
        <v>43</v>
      </c>
    </row>
    <row r="153" customFormat="false" ht="13.8" hidden="false" customHeight="false" outlineLevel="0" collapsed="false">
      <c r="A153" s="3" t="s">
        <v>281</v>
      </c>
      <c r="B153" s="1" t="s">
        <v>45</v>
      </c>
    </row>
    <row r="154" customFormat="false" ht="13.8" hidden="false" customHeight="false" outlineLevel="0" collapsed="false">
      <c r="A154" s="3" t="s">
        <v>282</v>
      </c>
      <c r="B154" s="1" t="s">
        <v>47</v>
      </c>
    </row>
    <row r="155" customFormat="false" ht="13.8" hidden="false" customHeight="false" outlineLevel="0" collapsed="false">
      <c r="A155" s="3" t="s">
        <v>283</v>
      </c>
      <c r="B155" s="1" t="s">
        <v>49</v>
      </c>
    </row>
    <row r="156" customFormat="false" ht="13.8" hidden="false" customHeight="false" outlineLevel="0" collapsed="false">
      <c r="A156" s="3" t="s">
        <v>284</v>
      </c>
      <c r="B156" s="1" t="s">
        <v>51</v>
      </c>
    </row>
    <row r="157" customFormat="false" ht="13.8" hidden="false" customHeight="false" outlineLevel="0" collapsed="false">
      <c r="A157" s="3" t="s">
        <v>285</v>
      </c>
      <c r="B157" s="1" t="s">
        <v>53</v>
      </c>
    </row>
    <row r="158" customFormat="false" ht="13.8" hidden="false" customHeight="false" outlineLevel="0" collapsed="false">
      <c r="A158" s="3" t="s">
        <v>286</v>
      </c>
      <c r="B158" s="1" t="s">
        <v>55</v>
      </c>
    </row>
    <row r="159" customFormat="false" ht="13.8" hidden="false" customHeight="false" outlineLevel="0" collapsed="false">
      <c r="A159" s="3" t="s">
        <v>287</v>
      </c>
      <c r="B159" s="1" t="s">
        <v>57</v>
      </c>
    </row>
    <row r="160" customFormat="false" ht="13.8" hidden="false" customHeight="false" outlineLevel="0" collapsed="false">
      <c r="A160" s="3" t="s">
        <v>288</v>
      </c>
      <c r="B160" s="1" t="s">
        <v>59</v>
      </c>
    </row>
    <row r="161" customFormat="false" ht="13.8" hidden="false" customHeight="false" outlineLevel="0" collapsed="false">
      <c r="A161" s="3" t="s">
        <v>289</v>
      </c>
      <c r="B161" s="1" t="s">
        <v>61</v>
      </c>
    </row>
    <row r="162" customFormat="false" ht="13.8" hidden="false" customHeight="false" outlineLevel="0" collapsed="false">
      <c r="A162" s="3" t="s">
        <v>290</v>
      </c>
      <c r="B162" s="1" t="s">
        <v>63</v>
      </c>
    </row>
    <row r="163" customFormat="false" ht="13.8" hidden="false" customHeight="false" outlineLevel="0" collapsed="false">
      <c r="A163" s="3" t="s">
        <v>291</v>
      </c>
      <c r="B163" s="1" t="s">
        <v>65</v>
      </c>
    </row>
    <row r="164" customFormat="false" ht="13.8" hidden="false" customHeight="false" outlineLevel="0" collapsed="false">
      <c r="A164" s="3" t="s">
        <v>292</v>
      </c>
      <c r="B164" s="1" t="s">
        <v>67</v>
      </c>
    </row>
    <row r="165" customFormat="false" ht="13.8" hidden="false" customHeight="false" outlineLevel="0" collapsed="false">
      <c r="A165" s="3" t="s">
        <v>293</v>
      </c>
      <c r="B165" s="1" t="s">
        <v>69</v>
      </c>
    </row>
    <row r="166" customFormat="false" ht="13.8" hidden="false" customHeight="false" outlineLevel="0" collapsed="false">
      <c r="A166" s="3" t="s">
        <v>294</v>
      </c>
      <c r="B166" s="1" t="s">
        <v>71</v>
      </c>
    </row>
    <row r="167" customFormat="false" ht="13.8" hidden="false" customHeight="false" outlineLevel="0" collapsed="false">
      <c r="A167" s="3" t="s">
        <v>295</v>
      </c>
      <c r="B167" s="1" t="s">
        <v>73</v>
      </c>
    </row>
    <row r="168" customFormat="false" ht="13.8" hidden="false" customHeight="false" outlineLevel="0" collapsed="false">
      <c r="A168" s="3" t="s">
        <v>296</v>
      </c>
      <c r="B168" s="1" t="s">
        <v>75</v>
      </c>
    </row>
    <row r="169" customFormat="false" ht="13.8" hidden="false" customHeight="false" outlineLevel="0" collapsed="false">
      <c r="A169" s="3" t="s">
        <v>297</v>
      </c>
      <c r="B169" s="1" t="s">
        <v>77</v>
      </c>
    </row>
    <row r="170" customFormat="false" ht="13.8" hidden="false" customHeight="false" outlineLevel="0" collapsed="false">
      <c r="A170" s="3" t="s">
        <v>298</v>
      </c>
      <c r="B170" s="1" t="s">
        <v>79</v>
      </c>
    </row>
    <row r="171" customFormat="false" ht="13.8" hidden="false" customHeight="false" outlineLevel="0" collapsed="false">
      <c r="A171" s="3" t="s">
        <v>299</v>
      </c>
      <c r="B171" s="1" t="s">
        <v>81</v>
      </c>
    </row>
    <row r="172" customFormat="false" ht="13.8" hidden="false" customHeight="false" outlineLevel="0" collapsed="false">
      <c r="A172" s="3" t="s">
        <v>300</v>
      </c>
      <c r="B172" s="1" t="s">
        <v>83</v>
      </c>
    </row>
    <row r="173" customFormat="false" ht="13.8" hidden="false" customHeight="false" outlineLevel="0" collapsed="false">
      <c r="A173" s="3" t="s">
        <v>301</v>
      </c>
      <c r="B173" s="1" t="s">
        <v>85</v>
      </c>
    </row>
    <row r="174" customFormat="false" ht="13.8" hidden="false" customHeight="false" outlineLevel="0" collapsed="false">
      <c r="A174" s="3" t="s">
        <v>302</v>
      </c>
      <c r="B174" s="1" t="s">
        <v>87</v>
      </c>
    </row>
    <row r="175" customFormat="false" ht="13.8" hidden="false" customHeight="false" outlineLevel="0" collapsed="false">
      <c r="A175" s="3" t="s">
        <v>303</v>
      </c>
      <c r="B175" s="1" t="s">
        <v>89</v>
      </c>
    </row>
    <row r="176" customFormat="false" ht="13.8" hidden="false" customHeight="false" outlineLevel="0" collapsed="false">
      <c r="A176" s="3" t="s">
        <v>304</v>
      </c>
      <c r="B176" s="1" t="s">
        <v>91</v>
      </c>
    </row>
    <row r="177" customFormat="false" ht="13.8" hidden="false" customHeight="false" outlineLevel="0" collapsed="false">
      <c r="A177" s="3" t="s">
        <v>305</v>
      </c>
      <c r="B177" s="1" t="s">
        <v>93</v>
      </c>
    </row>
    <row r="178" customFormat="false" ht="13.8" hidden="false" customHeight="false" outlineLevel="0" collapsed="false">
      <c r="A178" s="3" t="s">
        <v>306</v>
      </c>
      <c r="B178" s="1" t="s">
        <v>95</v>
      </c>
    </row>
    <row r="179" customFormat="false" ht="13.8" hidden="false" customHeight="false" outlineLevel="0" collapsed="false">
      <c r="A179" s="3" t="s">
        <v>307</v>
      </c>
      <c r="B179" s="1" t="s">
        <v>97</v>
      </c>
    </row>
    <row r="180" customFormat="false" ht="13.8" hidden="false" customHeight="false" outlineLevel="0" collapsed="false">
      <c r="A180" s="3" t="s">
        <v>308</v>
      </c>
      <c r="B180" s="1" t="s">
        <v>99</v>
      </c>
    </row>
    <row r="181" customFormat="false" ht="13.8" hidden="false" customHeight="false" outlineLevel="0" collapsed="false">
      <c r="A181" s="3" t="s">
        <v>309</v>
      </c>
      <c r="B181" s="1" t="s">
        <v>101</v>
      </c>
    </row>
    <row r="182" customFormat="false" ht="13.8" hidden="false" customHeight="false" outlineLevel="0" collapsed="false">
      <c r="A182" s="3" t="s">
        <v>310</v>
      </c>
      <c r="B182" s="1" t="s">
        <v>103</v>
      </c>
    </row>
    <row r="183" customFormat="false" ht="13.8" hidden="false" customHeight="false" outlineLevel="0" collapsed="false">
      <c r="A183" s="3" t="s">
        <v>311</v>
      </c>
      <c r="B183" s="1" t="s">
        <v>105</v>
      </c>
    </row>
    <row r="184" customFormat="false" ht="13.8" hidden="false" customHeight="false" outlineLevel="0" collapsed="false">
      <c r="A184" s="3" t="s">
        <v>312</v>
      </c>
      <c r="B184" s="1" t="s">
        <v>107</v>
      </c>
    </row>
    <row r="185" customFormat="false" ht="13.8" hidden="false" customHeight="false" outlineLevel="0" collapsed="false">
      <c r="A185" s="3" t="s">
        <v>313</v>
      </c>
      <c r="B185" s="1" t="s">
        <v>109</v>
      </c>
    </row>
    <row r="186" customFormat="false" ht="13.8" hidden="false" customHeight="false" outlineLevel="0" collapsed="false">
      <c r="A186" s="3" t="s">
        <v>314</v>
      </c>
      <c r="B186" s="1" t="s">
        <v>111</v>
      </c>
    </row>
    <row r="187" customFormat="false" ht="13.8" hidden="false" customHeight="false" outlineLevel="0" collapsed="false">
      <c r="A187" s="3" t="s">
        <v>315</v>
      </c>
      <c r="B187" s="1" t="s">
        <v>113</v>
      </c>
    </row>
    <row r="188" customFormat="false" ht="13.8" hidden="false" customHeight="false" outlineLevel="0" collapsed="false">
      <c r="A188" s="3" t="s">
        <v>316</v>
      </c>
      <c r="B188" s="1" t="s">
        <v>115</v>
      </c>
    </row>
    <row r="189" customFormat="false" ht="13.8" hidden="false" customHeight="false" outlineLevel="0" collapsed="false">
      <c r="A189" s="3" t="s">
        <v>317</v>
      </c>
      <c r="B189" s="1" t="s">
        <v>117</v>
      </c>
    </row>
    <row r="190" customFormat="false" ht="13.8" hidden="false" customHeight="false" outlineLevel="0" collapsed="false">
      <c r="A190" s="3" t="s">
        <v>318</v>
      </c>
      <c r="B190" s="1" t="s">
        <v>119</v>
      </c>
    </row>
    <row r="191" customFormat="false" ht="13.8" hidden="false" customHeight="false" outlineLevel="0" collapsed="false">
      <c r="A191" s="3" t="s">
        <v>319</v>
      </c>
      <c r="B191" s="1" t="s">
        <v>121</v>
      </c>
    </row>
    <row r="192" customFormat="false" ht="13.8" hidden="false" customHeight="false" outlineLevel="0" collapsed="false">
      <c r="A192" s="3" t="s">
        <v>320</v>
      </c>
      <c r="B192" s="1" t="s">
        <v>123</v>
      </c>
    </row>
    <row r="193" customFormat="false" ht="13.8" hidden="false" customHeight="false" outlineLevel="0" collapsed="false">
      <c r="A193" s="3" t="s">
        <v>321</v>
      </c>
      <c r="B193" s="1" t="s">
        <v>125</v>
      </c>
    </row>
    <row r="194" customFormat="false" ht="13.8" hidden="false" customHeight="false" outlineLevel="0" collapsed="false">
      <c r="A194" s="3" t="s">
        <v>322</v>
      </c>
      <c r="B194" s="1" t="s">
        <v>127</v>
      </c>
    </row>
    <row r="195" customFormat="false" ht="13.8" hidden="false" customHeight="false" outlineLevel="0" collapsed="false">
      <c r="A195" s="3" t="s">
        <v>323</v>
      </c>
      <c r="B195" s="1" t="s">
        <v>129</v>
      </c>
    </row>
    <row r="196" customFormat="false" ht="13.8" hidden="false" customHeight="false" outlineLevel="0" collapsed="false">
      <c r="A196" s="3" t="s">
        <v>324</v>
      </c>
      <c r="B196" s="1" t="s">
        <v>131</v>
      </c>
    </row>
    <row r="197" customFormat="false" ht="13.8" hidden="false" customHeight="false" outlineLevel="0" collapsed="false">
      <c r="A197" s="3" t="s">
        <v>325</v>
      </c>
      <c r="B197" s="1" t="s">
        <v>133</v>
      </c>
    </row>
    <row r="198" customFormat="false" ht="13.8" hidden="false" customHeight="false" outlineLevel="0" collapsed="false">
      <c r="A198" s="3" t="s">
        <v>326</v>
      </c>
      <c r="B198" s="1" t="s">
        <v>135</v>
      </c>
    </row>
    <row r="199" customFormat="false" ht="13.8" hidden="false" customHeight="false" outlineLevel="0" collapsed="false">
      <c r="A199" s="3" t="s">
        <v>327</v>
      </c>
      <c r="B199" s="1" t="s">
        <v>137</v>
      </c>
    </row>
    <row r="200" customFormat="false" ht="13.8" hidden="false" customHeight="false" outlineLevel="0" collapsed="false">
      <c r="A200" s="3" t="s">
        <v>328</v>
      </c>
      <c r="B200" s="1" t="s">
        <v>139</v>
      </c>
    </row>
    <row r="201" customFormat="false" ht="13.8" hidden="false" customHeight="false" outlineLevel="0" collapsed="false">
      <c r="A201" s="3" t="s">
        <v>329</v>
      </c>
      <c r="B201" s="1" t="s">
        <v>141</v>
      </c>
    </row>
    <row r="202" customFormat="false" ht="13.8" hidden="false" customHeight="false" outlineLevel="0" collapsed="false">
      <c r="A202" s="3" t="s">
        <v>330</v>
      </c>
      <c r="B202" s="1" t="s">
        <v>143</v>
      </c>
    </row>
    <row r="203" customFormat="false" ht="13.8" hidden="false" customHeight="false" outlineLevel="0" collapsed="false">
      <c r="A203" s="3" t="s">
        <v>331</v>
      </c>
      <c r="B203" s="1" t="s">
        <v>145</v>
      </c>
    </row>
    <row r="204" customFormat="false" ht="13.8" hidden="false" customHeight="false" outlineLevel="0" collapsed="false">
      <c r="A204" s="3" t="s">
        <v>332</v>
      </c>
      <c r="B204" s="1" t="s">
        <v>147</v>
      </c>
    </row>
    <row r="205" customFormat="false" ht="13.8" hidden="false" customHeight="false" outlineLevel="0" collapsed="false">
      <c r="A205" s="3" t="s">
        <v>333</v>
      </c>
      <c r="B205" s="1" t="s">
        <v>149</v>
      </c>
    </row>
    <row r="206" customFormat="false" ht="13.8" hidden="false" customHeight="false" outlineLevel="0" collapsed="false">
      <c r="A206" s="3" t="s">
        <v>334</v>
      </c>
      <c r="B206" s="1" t="s">
        <v>151</v>
      </c>
    </row>
    <row r="207" customFormat="false" ht="13.8" hidden="false" customHeight="false" outlineLevel="0" collapsed="false">
      <c r="A207" s="3" t="s">
        <v>335</v>
      </c>
      <c r="B207" s="1" t="s">
        <v>153</v>
      </c>
    </row>
    <row r="208" customFormat="false" ht="13.8" hidden="false" customHeight="false" outlineLevel="0" collapsed="false">
      <c r="A208" s="3" t="s">
        <v>336</v>
      </c>
      <c r="B208" s="1" t="s">
        <v>155</v>
      </c>
    </row>
    <row r="209" customFormat="false" ht="13.8" hidden="false" customHeight="false" outlineLevel="0" collapsed="false">
      <c r="A209" s="3" t="s">
        <v>337</v>
      </c>
      <c r="B209" s="1" t="s">
        <v>157</v>
      </c>
    </row>
    <row r="210" customFormat="false" ht="13.8" hidden="false" customHeight="false" outlineLevel="0" collapsed="false">
      <c r="A210" s="3" t="s">
        <v>338</v>
      </c>
      <c r="B210" s="1" t="s">
        <v>159</v>
      </c>
    </row>
    <row r="211" customFormat="false" ht="13.8" hidden="false" customHeight="false" outlineLevel="0" collapsed="false">
      <c r="A211" s="3" t="s">
        <v>339</v>
      </c>
      <c r="B211" s="1" t="s">
        <v>161</v>
      </c>
    </row>
    <row r="212" customFormat="false" ht="13.8" hidden="false" customHeight="false" outlineLevel="0" collapsed="false">
      <c r="A212" s="3" t="s">
        <v>340</v>
      </c>
      <c r="B212" s="1" t="s">
        <v>163</v>
      </c>
    </row>
    <row r="213" customFormat="false" ht="13.8" hidden="false" customHeight="false" outlineLevel="0" collapsed="false">
      <c r="A213" s="3" t="s">
        <v>341</v>
      </c>
      <c r="B213" s="1" t="s">
        <v>165</v>
      </c>
    </row>
    <row r="214" customFormat="false" ht="13.8" hidden="false" customHeight="false" outlineLevel="0" collapsed="false">
      <c r="A214" s="3" t="s">
        <v>342</v>
      </c>
      <c r="B214" s="1" t="s">
        <v>167</v>
      </c>
    </row>
    <row r="215" customFormat="false" ht="13.8" hidden="false" customHeight="false" outlineLevel="0" collapsed="false">
      <c r="A215" s="3" t="s">
        <v>343</v>
      </c>
      <c r="B215" s="1" t="s">
        <v>169</v>
      </c>
    </row>
    <row r="216" customFormat="false" ht="13.8" hidden="false" customHeight="false" outlineLevel="0" collapsed="false">
      <c r="A216" s="3" t="s">
        <v>344</v>
      </c>
      <c r="B216" s="1" t="s">
        <v>171</v>
      </c>
    </row>
    <row r="217" customFormat="false" ht="13.8" hidden="false" customHeight="false" outlineLevel="0" collapsed="false">
      <c r="A217" s="3" t="s">
        <v>345</v>
      </c>
      <c r="B217" s="1" t="s">
        <v>173</v>
      </c>
    </row>
    <row r="218" customFormat="false" ht="13.8" hidden="false" customHeight="false" outlineLevel="0" collapsed="false">
      <c r="A218" s="3" t="s">
        <v>346</v>
      </c>
      <c r="B218" s="1" t="s">
        <v>175</v>
      </c>
    </row>
    <row r="219" customFormat="false" ht="13.8" hidden="false" customHeight="false" outlineLevel="0" collapsed="false">
      <c r="A219" s="3" t="s">
        <v>347</v>
      </c>
      <c r="B219" s="1" t="s">
        <v>177</v>
      </c>
    </row>
    <row r="220" customFormat="false" ht="13.8" hidden="false" customHeight="false" outlineLevel="0" collapsed="false">
      <c r="A220" s="3" t="s">
        <v>348</v>
      </c>
      <c r="B220" s="1" t="s">
        <v>179</v>
      </c>
    </row>
    <row r="221" customFormat="false" ht="13.8" hidden="false" customHeight="false" outlineLevel="0" collapsed="false">
      <c r="A221" s="3" t="s">
        <v>349</v>
      </c>
      <c r="B221" s="1" t="s">
        <v>181</v>
      </c>
    </row>
    <row r="222" customFormat="false" ht="13.8" hidden="false" customHeight="false" outlineLevel="0" collapsed="false">
      <c r="A222" s="3" t="s">
        <v>350</v>
      </c>
      <c r="B222" s="1" t="s">
        <v>183</v>
      </c>
    </row>
    <row r="223" customFormat="false" ht="13.8" hidden="false" customHeight="false" outlineLevel="0" collapsed="false">
      <c r="A223" s="3" t="s">
        <v>351</v>
      </c>
      <c r="B223" s="1" t="s">
        <v>185</v>
      </c>
    </row>
    <row r="224" customFormat="false" ht="13.8" hidden="false" customHeight="false" outlineLevel="0" collapsed="false">
      <c r="A224" s="3" t="s">
        <v>352</v>
      </c>
      <c r="B224" s="1" t="s">
        <v>187</v>
      </c>
    </row>
    <row r="225" customFormat="false" ht="13.8" hidden="false" customHeight="false" outlineLevel="0" collapsed="false">
      <c r="A225" s="3" t="s">
        <v>353</v>
      </c>
      <c r="B225" s="1" t="s">
        <v>189</v>
      </c>
    </row>
    <row r="226" customFormat="false" ht="13.8" hidden="false" customHeight="false" outlineLevel="0" collapsed="false">
      <c r="A226" s="3" t="s">
        <v>354</v>
      </c>
      <c r="B226" s="1" t="s">
        <v>191</v>
      </c>
    </row>
    <row r="227" customFormat="false" ht="13.8" hidden="false" customHeight="false" outlineLevel="0" collapsed="false">
      <c r="A227" s="3" t="s">
        <v>355</v>
      </c>
      <c r="B227" s="1" t="s">
        <v>193</v>
      </c>
    </row>
    <row r="228" customFormat="false" ht="13.8" hidden="false" customHeight="false" outlineLevel="0" collapsed="false">
      <c r="A228" s="3" t="s">
        <v>356</v>
      </c>
      <c r="B228" s="1" t="s">
        <v>195</v>
      </c>
    </row>
    <row r="229" customFormat="false" ht="13.8" hidden="false" customHeight="false" outlineLevel="0" collapsed="false">
      <c r="A229" s="3" t="s">
        <v>357</v>
      </c>
      <c r="B229" s="1" t="s">
        <v>197</v>
      </c>
    </row>
    <row r="230" customFormat="false" ht="13.8" hidden="false" customHeight="false" outlineLevel="0" collapsed="false">
      <c r="A230" s="3" t="s">
        <v>358</v>
      </c>
      <c r="B230" s="1" t="s">
        <v>199</v>
      </c>
    </row>
    <row r="231" customFormat="false" ht="13.8" hidden="false" customHeight="false" outlineLevel="0" collapsed="false">
      <c r="A231" s="3" t="s">
        <v>359</v>
      </c>
      <c r="B231" s="1" t="s">
        <v>201</v>
      </c>
    </row>
    <row r="232" customFormat="false" ht="13.8" hidden="false" customHeight="false" outlineLevel="0" collapsed="false">
      <c r="A232" s="3" t="s">
        <v>360</v>
      </c>
      <c r="B232" s="1" t="s">
        <v>203</v>
      </c>
    </row>
    <row r="233" customFormat="false" ht="13.8" hidden="false" customHeight="false" outlineLevel="0" collapsed="false">
      <c r="A233" s="3" t="s">
        <v>361</v>
      </c>
      <c r="B233" s="1" t="s">
        <v>205</v>
      </c>
    </row>
    <row r="234" customFormat="false" ht="13.8" hidden="false" customHeight="false" outlineLevel="0" collapsed="false">
      <c r="A234" s="3" t="s">
        <v>362</v>
      </c>
      <c r="B234" s="1" t="s">
        <v>207</v>
      </c>
    </row>
    <row r="235" customFormat="false" ht="13.8" hidden="false" customHeight="false" outlineLevel="0" collapsed="false">
      <c r="A235" s="3" t="s">
        <v>363</v>
      </c>
      <c r="B235" s="1" t="s">
        <v>209</v>
      </c>
    </row>
    <row r="236" customFormat="false" ht="13.8" hidden="false" customHeight="false" outlineLevel="0" collapsed="false">
      <c r="A236" s="3" t="s">
        <v>364</v>
      </c>
      <c r="B236" s="1" t="s">
        <v>211</v>
      </c>
    </row>
    <row r="237" customFormat="false" ht="13.8" hidden="false" customHeight="false" outlineLevel="0" collapsed="false">
      <c r="A237" s="3" t="s">
        <v>365</v>
      </c>
      <c r="B237" s="1" t="s">
        <v>213</v>
      </c>
    </row>
    <row r="238" customFormat="false" ht="13.8" hidden="false" customHeight="false" outlineLevel="0" collapsed="false">
      <c r="A238" s="3" t="s">
        <v>366</v>
      </c>
      <c r="B238" s="1" t="s">
        <v>215</v>
      </c>
    </row>
    <row r="239" customFormat="false" ht="13.8" hidden="false" customHeight="false" outlineLevel="0" collapsed="false">
      <c r="A239" s="3" t="s">
        <v>367</v>
      </c>
      <c r="B239" s="1" t="s">
        <v>217</v>
      </c>
    </row>
    <row r="240" customFormat="false" ht="13.8" hidden="false" customHeight="false" outlineLevel="0" collapsed="false">
      <c r="A240" s="3" t="s">
        <v>368</v>
      </c>
      <c r="B240" s="1" t="s">
        <v>219</v>
      </c>
    </row>
    <row r="241" customFormat="false" ht="13.8" hidden="false" customHeight="false" outlineLevel="0" collapsed="false">
      <c r="A241" s="3" t="s">
        <v>369</v>
      </c>
      <c r="B241" s="1" t="s">
        <v>221</v>
      </c>
    </row>
    <row r="242" customFormat="false" ht="13.8" hidden="false" customHeight="false" outlineLevel="0" collapsed="false">
      <c r="A242" s="3" t="s">
        <v>370</v>
      </c>
      <c r="B242" s="1" t="s">
        <v>223</v>
      </c>
    </row>
    <row r="243" customFormat="false" ht="13.8" hidden="false" customHeight="false" outlineLevel="0" collapsed="false">
      <c r="A243" s="3" t="s">
        <v>371</v>
      </c>
      <c r="B243" s="1" t="s">
        <v>225</v>
      </c>
    </row>
    <row r="244" customFormat="false" ht="13.8" hidden="false" customHeight="false" outlineLevel="0" collapsed="false">
      <c r="A244" s="3" t="s">
        <v>372</v>
      </c>
      <c r="B244" s="1" t="s">
        <v>227</v>
      </c>
    </row>
    <row r="245" customFormat="false" ht="13.8" hidden="false" customHeight="false" outlineLevel="0" collapsed="false">
      <c r="A245" s="3" t="s">
        <v>373</v>
      </c>
      <c r="B245" s="1" t="s">
        <v>229</v>
      </c>
    </row>
    <row r="246" customFormat="false" ht="13.8" hidden="false" customHeight="false" outlineLevel="0" collapsed="false">
      <c r="A246" s="3" t="s">
        <v>374</v>
      </c>
      <c r="B246" s="1" t="s">
        <v>231</v>
      </c>
    </row>
    <row r="247" customFormat="false" ht="13.8" hidden="false" customHeight="false" outlineLevel="0" collapsed="false">
      <c r="A247" s="3" t="s">
        <v>375</v>
      </c>
      <c r="B247" s="1" t="s">
        <v>233</v>
      </c>
    </row>
    <row r="248" customFormat="false" ht="13.8" hidden="false" customHeight="false" outlineLevel="0" collapsed="false">
      <c r="A248" s="3" t="s">
        <v>376</v>
      </c>
      <c r="B248" s="1" t="s">
        <v>235</v>
      </c>
    </row>
    <row r="249" customFormat="false" ht="13.8" hidden="false" customHeight="false" outlineLevel="0" collapsed="false">
      <c r="A249" s="3" t="s">
        <v>377</v>
      </c>
      <c r="B249" s="1" t="s">
        <v>237</v>
      </c>
    </row>
    <row r="250" customFormat="false" ht="13.8" hidden="false" customHeight="false" outlineLevel="0" collapsed="false">
      <c r="A250" s="3" t="s">
        <v>378</v>
      </c>
      <c r="B250" s="1" t="s">
        <v>239</v>
      </c>
    </row>
    <row r="251" customFormat="false" ht="13.8" hidden="false" customHeight="false" outlineLevel="0" collapsed="false">
      <c r="A251" s="3" t="s">
        <v>379</v>
      </c>
      <c r="B251" s="1" t="s">
        <v>241</v>
      </c>
    </row>
    <row r="252" customFormat="false" ht="13.8" hidden="false" customHeight="false" outlineLevel="0" collapsed="false">
      <c r="A252" s="3" t="s">
        <v>380</v>
      </c>
      <c r="B252" s="1" t="s">
        <v>243</v>
      </c>
    </row>
    <row r="253" customFormat="false" ht="13.8" hidden="false" customHeight="false" outlineLevel="0" collapsed="false">
      <c r="A253" s="3" t="s">
        <v>381</v>
      </c>
      <c r="B253" s="1" t="s">
        <v>245</v>
      </c>
    </row>
    <row r="254" customFormat="false" ht="13.8" hidden="false" customHeight="false" outlineLevel="0" collapsed="false">
      <c r="A254" s="3" t="s">
        <v>382</v>
      </c>
      <c r="B254" s="1" t="s">
        <v>247</v>
      </c>
    </row>
    <row r="255" customFormat="false" ht="13.8" hidden="false" customHeight="false" outlineLevel="0" collapsed="false">
      <c r="A255" s="3" t="s">
        <v>383</v>
      </c>
      <c r="B255" s="1" t="s">
        <v>249</v>
      </c>
    </row>
    <row r="256" customFormat="false" ht="13.8" hidden="false" customHeight="false" outlineLevel="0" collapsed="false">
      <c r="A256" s="3" t="s">
        <v>384</v>
      </c>
      <c r="B256" s="1" t="s">
        <v>251</v>
      </c>
    </row>
    <row r="257" customFormat="false" ht="13.8" hidden="false" customHeight="false" outlineLevel="0" collapsed="false">
      <c r="A257" s="3" t="s">
        <v>385</v>
      </c>
      <c r="B257" s="1" t="s">
        <v>253</v>
      </c>
    </row>
    <row r="258" customFormat="false" ht="13.8" hidden="false" customHeight="false" outlineLevel="0" collapsed="false">
      <c r="A258" s="3" t="s">
        <v>386</v>
      </c>
      <c r="B258" s="1" t="s">
        <v>255</v>
      </c>
    </row>
    <row r="259" customFormat="false" ht="13.8" hidden="false" customHeight="false" outlineLevel="0" collapsed="false">
      <c r="A259" s="3" t="s">
        <v>387</v>
      </c>
      <c r="B259" s="1" t="s">
        <v>257</v>
      </c>
    </row>
    <row r="260" customFormat="false" ht="13.8" hidden="false" customHeight="false" outlineLevel="0" collapsed="false">
      <c r="A260" s="3" t="s">
        <v>388</v>
      </c>
    </row>
    <row r="261" customFormat="false" ht="13.8" hidden="false" customHeight="false" outlineLevel="0" collapsed="false">
      <c r="A261" s="3" t="s">
        <v>389</v>
      </c>
    </row>
    <row r="262" customFormat="false" ht="13.8" hidden="false" customHeight="false" outlineLevel="0" collapsed="false">
      <c r="A262" s="4" t="s">
        <v>390</v>
      </c>
      <c r="B262" s="1" t="s">
        <v>3</v>
      </c>
    </row>
    <row r="263" customFormat="false" ht="13.8" hidden="false" customHeight="false" outlineLevel="0" collapsed="false">
      <c r="A263" s="4" t="s">
        <v>391</v>
      </c>
      <c r="B263" s="1" t="s">
        <v>5</v>
      </c>
    </row>
    <row r="264" customFormat="false" ht="13.8" hidden="false" customHeight="false" outlineLevel="0" collapsed="false">
      <c r="A264" s="4" t="s">
        <v>392</v>
      </c>
      <c r="B264" s="1" t="s">
        <v>7</v>
      </c>
    </row>
    <row r="265" customFormat="false" ht="13.8" hidden="false" customHeight="false" outlineLevel="0" collapsed="false">
      <c r="A265" s="4" t="s">
        <v>393</v>
      </c>
      <c r="B265" s="1" t="s">
        <v>9</v>
      </c>
    </row>
    <row r="266" customFormat="false" ht="13.8" hidden="false" customHeight="false" outlineLevel="0" collapsed="false">
      <c r="A266" s="4" t="s">
        <v>394</v>
      </c>
      <c r="B266" s="1" t="s">
        <v>11</v>
      </c>
    </row>
    <row r="267" customFormat="false" ht="13.8" hidden="false" customHeight="false" outlineLevel="0" collapsed="false">
      <c r="A267" s="4" t="s">
        <v>395</v>
      </c>
      <c r="B267" s="1" t="s">
        <v>13</v>
      </c>
    </row>
    <row r="268" customFormat="false" ht="13.8" hidden="false" customHeight="false" outlineLevel="0" collapsed="false">
      <c r="A268" s="4" t="s">
        <v>396</v>
      </c>
      <c r="B268" s="1" t="s">
        <v>15</v>
      </c>
    </row>
    <row r="269" customFormat="false" ht="13.8" hidden="false" customHeight="false" outlineLevel="0" collapsed="false">
      <c r="A269" s="4" t="s">
        <v>397</v>
      </c>
      <c r="B269" s="1" t="s">
        <v>17</v>
      </c>
    </row>
    <row r="270" customFormat="false" ht="13.8" hidden="false" customHeight="false" outlineLevel="0" collapsed="false">
      <c r="A270" s="4" t="s">
        <v>398</v>
      </c>
      <c r="B270" s="1" t="s">
        <v>19</v>
      </c>
    </row>
    <row r="271" customFormat="false" ht="13.8" hidden="false" customHeight="false" outlineLevel="0" collapsed="false">
      <c r="A271" s="4" t="s">
        <v>399</v>
      </c>
      <c r="B271" s="1" t="s">
        <v>21</v>
      </c>
    </row>
    <row r="272" customFormat="false" ht="13.8" hidden="false" customHeight="false" outlineLevel="0" collapsed="false">
      <c r="A272" s="4" t="s">
        <v>400</v>
      </c>
      <c r="B272" s="1" t="s">
        <v>23</v>
      </c>
    </row>
    <row r="273" customFormat="false" ht="13.8" hidden="false" customHeight="false" outlineLevel="0" collapsed="false">
      <c r="A273" s="4" t="s">
        <v>401</v>
      </c>
      <c r="B273" s="1" t="s">
        <v>25</v>
      </c>
    </row>
    <row r="274" customFormat="false" ht="13.8" hidden="false" customHeight="false" outlineLevel="0" collapsed="false">
      <c r="A274" s="4" t="s">
        <v>402</v>
      </c>
      <c r="B274" s="1" t="s">
        <v>27</v>
      </c>
    </row>
    <row r="275" customFormat="false" ht="13.8" hidden="false" customHeight="false" outlineLevel="0" collapsed="false">
      <c r="A275" s="4" t="s">
        <v>403</v>
      </c>
      <c r="B275" s="1" t="s">
        <v>29</v>
      </c>
    </row>
    <row r="276" customFormat="false" ht="13.8" hidden="false" customHeight="false" outlineLevel="0" collapsed="false">
      <c r="A276" s="4" t="s">
        <v>404</v>
      </c>
      <c r="B276" s="1" t="s">
        <v>31</v>
      </c>
    </row>
    <row r="277" customFormat="false" ht="13.8" hidden="false" customHeight="false" outlineLevel="0" collapsed="false">
      <c r="A277" s="4" t="s">
        <v>405</v>
      </c>
      <c r="B277" s="1" t="s">
        <v>33</v>
      </c>
    </row>
    <row r="278" customFormat="false" ht="13.8" hidden="false" customHeight="false" outlineLevel="0" collapsed="false">
      <c r="A278" s="4" t="s">
        <v>406</v>
      </c>
      <c r="B278" s="1" t="s">
        <v>35</v>
      </c>
    </row>
    <row r="279" customFormat="false" ht="13.8" hidden="false" customHeight="false" outlineLevel="0" collapsed="false">
      <c r="A279" s="4" t="s">
        <v>407</v>
      </c>
      <c r="B279" s="1" t="s">
        <v>37</v>
      </c>
    </row>
    <row r="280" customFormat="false" ht="13.8" hidden="false" customHeight="false" outlineLevel="0" collapsed="false">
      <c r="A280" s="4" t="s">
        <v>408</v>
      </c>
      <c r="B280" s="1" t="s">
        <v>39</v>
      </c>
    </row>
    <row r="281" customFormat="false" ht="13.8" hidden="false" customHeight="false" outlineLevel="0" collapsed="false">
      <c r="A281" s="4" t="s">
        <v>409</v>
      </c>
      <c r="B281" s="1" t="s">
        <v>41</v>
      </c>
    </row>
    <row r="282" customFormat="false" ht="13.8" hidden="false" customHeight="false" outlineLevel="0" collapsed="false">
      <c r="A282" s="4" t="s">
        <v>410</v>
      </c>
      <c r="B282" s="1" t="s">
        <v>43</v>
      </c>
    </row>
    <row r="283" customFormat="false" ht="13.8" hidden="false" customHeight="false" outlineLevel="0" collapsed="false">
      <c r="A283" s="4" t="s">
        <v>411</v>
      </c>
      <c r="B283" s="1" t="s">
        <v>45</v>
      </c>
    </row>
    <row r="284" customFormat="false" ht="13.8" hidden="false" customHeight="false" outlineLevel="0" collapsed="false">
      <c r="A284" s="4" t="s">
        <v>412</v>
      </c>
      <c r="B284" s="1" t="s">
        <v>47</v>
      </c>
    </row>
    <row r="285" customFormat="false" ht="13.8" hidden="false" customHeight="false" outlineLevel="0" collapsed="false">
      <c r="A285" s="4" t="s">
        <v>413</v>
      </c>
      <c r="B285" s="1" t="s">
        <v>49</v>
      </c>
    </row>
    <row r="286" customFormat="false" ht="13.8" hidden="false" customHeight="false" outlineLevel="0" collapsed="false">
      <c r="A286" s="4" t="s">
        <v>414</v>
      </c>
      <c r="B286" s="1" t="s">
        <v>51</v>
      </c>
    </row>
    <row r="287" customFormat="false" ht="13.8" hidden="false" customHeight="false" outlineLevel="0" collapsed="false">
      <c r="A287" s="4" t="s">
        <v>415</v>
      </c>
      <c r="B287" s="1" t="s">
        <v>53</v>
      </c>
    </row>
    <row r="288" customFormat="false" ht="13.8" hidden="false" customHeight="false" outlineLevel="0" collapsed="false">
      <c r="A288" s="4" t="s">
        <v>416</v>
      </c>
      <c r="B288" s="1" t="s">
        <v>55</v>
      </c>
    </row>
    <row r="289" customFormat="false" ht="13.8" hidden="false" customHeight="false" outlineLevel="0" collapsed="false">
      <c r="A289" s="4" t="s">
        <v>417</v>
      </c>
      <c r="B289" s="1" t="s">
        <v>57</v>
      </c>
    </row>
    <row r="290" customFormat="false" ht="13.8" hidden="false" customHeight="false" outlineLevel="0" collapsed="false">
      <c r="A290" s="4" t="s">
        <v>418</v>
      </c>
      <c r="B290" s="1" t="s">
        <v>59</v>
      </c>
    </row>
    <row r="291" customFormat="false" ht="13.8" hidden="false" customHeight="false" outlineLevel="0" collapsed="false">
      <c r="A291" s="4" t="s">
        <v>419</v>
      </c>
      <c r="B291" s="1" t="s">
        <v>61</v>
      </c>
    </row>
    <row r="292" customFormat="false" ht="13.8" hidden="false" customHeight="false" outlineLevel="0" collapsed="false">
      <c r="A292" s="4" t="s">
        <v>420</v>
      </c>
      <c r="B292" s="1" t="s">
        <v>63</v>
      </c>
    </row>
    <row r="293" customFormat="false" ht="13.8" hidden="false" customHeight="false" outlineLevel="0" collapsed="false">
      <c r="A293" s="4" t="s">
        <v>421</v>
      </c>
      <c r="B293" s="1" t="s">
        <v>65</v>
      </c>
    </row>
    <row r="294" customFormat="false" ht="13.8" hidden="false" customHeight="false" outlineLevel="0" collapsed="false">
      <c r="A294" s="4" t="s">
        <v>422</v>
      </c>
      <c r="B294" s="1" t="s">
        <v>67</v>
      </c>
    </row>
    <row r="295" customFormat="false" ht="13.8" hidden="false" customHeight="false" outlineLevel="0" collapsed="false">
      <c r="A295" s="4" t="s">
        <v>423</v>
      </c>
      <c r="B295" s="1" t="s">
        <v>69</v>
      </c>
    </row>
    <row r="296" customFormat="false" ht="13.8" hidden="false" customHeight="false" outlineLevel="0" collapsed="false">
      <c r="A296" s="4" t="s">
        <v>424</v>
      </c>
      <c r="B296" s="1" t="s">
        <v>71</v>
      </c>
    </row>
    <row r="297" customFormat="false" ht="13.8" hidden="false" customHeight="false" outlineLevel="0" collapsed="false">
      <c r="A297" s="4" t="s">
        <v>425</v>
      </c>
      <c r="B297" s="1" t="s">
        <v>73</v>
      </c>
    </row>
    <row r="298" customFormat="false" ht="13.8" hidden="false" customHeight="false" outlineLevel="0" collapsed="false">
      <c r="A298" s="4" t="s">
        <v>426</v>
      </c>
      <c r="B298" s="1" t="s">
        <v>75</v>
      </c>
    </row>
    <row r="299" customFormat="false" ht="13.8" hidden="false" customHeight="false" outlineLevel="0" collapsed="false">
      <c r="A299" s="4" t="s">
        <v>427</v>
      </c>
      <c r="B299" s="1" t="s">
        <v>77</v>
      </c>
    </row>
    <row r="300" customFormat="false" ht="13.8" hidden="false" customHeight="false" outlineLevel="0" collapsed="false">
      <c r="A300" s="4" t="s">
        <v>428</v>
      </c>
      <c r="B300" s="1" t="s">
        <v>79</v>
      </c>
    </row>
    <row r="301" customFormat="false" ht="13.8" hidden="false" customHeight="false" outlineLevel="0" collapsed="false">
      <c r="A301" s="4" t="s">
        <v>429</v>
      </c>
      <c r="B301" s="1" t="s">
        <v>81</v>
      </c>
    </row>
    <row r="302" customFormat="false" ht="13.8" hidden="false" customHeight="false" outlineLevel="0" collapsed="false">
      <c r="A302" s="4" t="s">
        <v>430</v>
      </c>
      <c r="B302" s="1" t="s">
        <v>83</v>
      </c>
    </row>
    <row r="303" customFormat="false" ht="13.8" hidden="false" customHeight="false" outlineLevel="0" collapsed="false">
      <c r="A303" s="4" t="s">
        <v>431</v>
      </c>
      <c r="B303" s="1" t="s">
        <v>85</v>
      </c>
    </row>
    <row r="304" customFormat="false" ht="13.8" hidden="false" customHeight="false" outlineLevel="0" collapsed="false">
      <c r="A304" s="4" t="s">
        <v>432</v>
      </c>
      <c r="B304" s="1" t="s">
        <v>87</v>
      </c>
    </row>
    <row r="305" customFormat="false" ht="13.8" hidden="false" customHeight="false" outlineLevel="0" collapsed="false">
      <c r="A305" s="4" t="s">
        <v>433</v>
      </c>
      <c r="B305" s="1" t="s">
        <v>89</v>
      </c>
    </row>
    <row r="306" customFormat="false" ht="13.8" hidden="false" customHeight="false" outlineLevel="0" collapsed="false">
      <c r="A306" s="4" t="s">
        <v>434</v>
      </c>
      <c r="B306" s="1" t="s">
        <v>91</v>
      </c>
    </row>
    <row r="307" customFormat="false" ht="13.8" hidden="false" customHeight="false" outlineLevel="0" collapsed="false">
      <c r="A307" s="4" t="s">
        <v>435</v>
      </c>
      <c r="B307" s="1" t="s">
        <v>93</v>
      </c>
    </row>
    <row r="308" customFormat="false" ht="13.8" hidden="false" customHeight="false" outlineLevel="0" collapsed="false">
      <c r="A308" s="4" t="s">
        <v>436</v>
      </c>
      <c r="B308" s="1" t="s">
        <v>95</v>
      </c>
    </row>
    <row r="309" customFormat="false" ht="13.8" hidden="false" customHeight="false" outlineLevel="0" collapsed="false">
      <c r="A309" s="4" t="s">
        <v>437</v>
      </c>
      <c r="B309" s="1" t="s">
        <v>97</v>
      </c>
    </row>
    <row r="310" customFormat="false" ht="13.8" hidden="false" customHeight="false" outlineLevel="0" collapsed="false">
      <c r="A310" s="4" t="s">
        <v>438</v>
      </c>
      <c r="B310" s="1" t="s">
        <v>99</v>
      </c>
    </row>
    <row r="311" customFormat="false" ht="13.8" hidden="false" customHeight="false" outlineLevel="0" collapsed="false">
      <c r="A311" s="4" t="s">
        <v>439</v>
      </c>
      <c r="B311" s="1" t="s">
        <v>101</v>
      </c>
    </row>
    <row r="312" customFormat="false" ht="13.8" hidden="false" customHeight="false" outlineLevel="0" collapsed="false">
      <c r="A312" s="4" t="s">
        <v>440</v>
      </c>
      <c r="B312" s="1" t="s">
        <v>103</v>
      </c>
    </row>
    <row r="313" customFormat="false" ht="13.8" hidden="false" customHeight="false" outlineLevel="0" collapsed="false">
      <c r="A313" s="4" t="s">
        <v>441</v>
      </c>
      <c r="B313" s="1" t="s">
        <v>105</v>
      </c>
    </row>
    <row r="314" customFormat="false" ht="13.8" hidden="false" customHeight="false" outlineLevel="0" collapsed="false">
      <c r="A314" s="4" t="s">
        <v>442</v>
      </c>
      <c r="B314" s="1" t="s">
        <v>107</v>
      </c>
    </row>
    <row r="315" customFormat="false" ht="13.8" hidden="false" customHeight="false" outlineLevel="0" collapsed="false">
      <c r="A315" s="4" t="s">
        <v>443</v>
      </c>
      <c r="B315" s="1" t="s">
        <v>109</v>
      </c>
    </row>
    <row r="316" customFormat="false" ht="13.8" hidden="false" customHeight="false" outlineLevel="0" collapsed="false">
      <c r="A316" s="4" t="s">
        <v>444</v>
      </c>
      <c r="B316" s="1" t="s">
        <v>111</v>
      </c>
    </row>
    <row r="317" customFormat="false" ht="13.8" hidden="false" customHeight="false" outlineLevel="0" collapsed="false">
      <c r="A317" s="4" t="s">
        <v>445</v>
      </c>
      <c r="B317" s="1" t="s">
        <v>113</v>
      </c>
    </row>
    <row r="318" customFormat="false" ht="13.8" hidden="false" customHeight="false" outlineLevel="0" collapsed="false">
      <c r="A318" s="4" t="s">
        <v>446</v>
      </c>
      <c r="B318" s="1" t="s">
        <v>115</v>
      </c>
    </row>
    <row r="319" customFormat="false" ht="13.8" hidden="false" customHeight="false" outlineLevel="0" collapsed="false">
      <c r="A319" s="4" t="s">
        <v>447</v>
      </c>
      <c r="B319" s="1" t="s">
        <v>117</v>
      </c>
    </row>
    <row r="320" customFormat="false" ht="13.8" hidden="false" customHeight="false" outlineLevel="0" collapsed="false">
      <c r="A320" s="4" t="s">
        <v>448</v>
      </c>
      <c r="B320" s="1" t="s">
        <v>119</v>
      </c>
    </row>
    <row r="321" customFormat="false" ht="13.8" hidden="false" customHeight="false" outlineLevel="0" collapsed="false">
      <c r="A321" s="4" t="s">
        <v>449</v>
      </c>
      <c r="B321" s="1" t="s">
        <v>121</v>
      </c>
    </row>
    <row r="322" customFormat="false" ht="13.8" hidden="false" customHeight="false" outlineLevel="0" collapsed="false">
      <c r="A322" s="4" t="s">
        <v>450</v>
      </c>
      <c r="B322" s="1" t="s">
        <v>123</v>
      </c>
    </row>
    <row r="323" customFormat="false" ht="13.8" hidden="false" customHeight="false" outlineLevel="0" collapsed="false">
      <c r="A323" s="4" t="s">
        <v>451</v>
      </c>
      <c r="B323" s="1" t="s">
        <v>125</v>
      </c>
    </row>
    <row r="324" customFormat="false" ht="13.8" hidden="false" customHeight="false" outlineLevel="0" collapsed="false">
      <c r="A324" s="4" t="s">
        <v>452</v>
      </c>
      <c r="B324" s="1" t="s">
        <v>127</v>
      </c>
    </row>
    <row r="325" customFormat="false" ht="13.8" hidden="false" customHeight="false" outlineLevel="0" collapsed="false">
      <c r="A325" s="4" t="s">
        <v>453</v>
      </c>
      <c r="B325" s="1" t="s">
        <v>129</v>
      </c>
    </row>
    <row r="326" customFormat="false" ht="13.8" hidden="false" customHeight="false" outlineLevel="0" collapsed="false">
      <c r="A326" s="4" t="s">
        <v>454</v>
      </c>
      <c r="B326" s="1" t="s">
        <v>131</v>
      </c>
    </row>
    <row r="327" customFormat="false" ht="13.8" hidden="false" customHeight="false" outlineLevel="0" collapsed="false">
      <c r="A327" s="4" t="s">
        <v>455</v>
      </c>
      <c r="B327" s="1" t="s">
        <v>133</v>
      </c>
    </row>
    <row r="328" customFormat="false" ht="13.8" hidden="false" customHeight="false" outlineLevel="0" collapsed="false">
      <c r="A328" s="4" t="s">
        <v>456</v>
      </c>
      <c r="B328" s="1" t="s">
        <v>135</v>
      </c>
    </row>
    <row r="329" customFormat="false" ht="13.8" hidden="false" customHeight="false" outlineLevel="0" collapsed="false">
      <c r="A329" s="4" t="s">
        <v>457</v>
      </c>
      <c r="B329" s="1" t="s">
        <v>137</v>
      </c>
    </row>
    <row r="330" customFormat="false" ht="13.8" hidden="false" customHeight="false" outlineLevel="0" collapsed="false">
      <c r="A330" s="4" t="s">
        <v>458</v>
      </c>
      <c r="B330" s="1" t="s">
        <v>139</v>
      </c>
    </row>
    <row r="331" customFormat="false" ht="13.8" hidden="false" customHeight="false" outlineLevel="0" collapsed="false">
      <c r="A331" s="4" t="s">
        <v>459</v>
      </c>
      <c r="B331" s="1" t="s">
        <v>141</v>
      </c>
    </row>
    <row r="332" customFormat="false" ht="13.8" hidden="false" customHeight="false" outlineLevel="0" collapsed="false">
      <c r="A332" s="4" t="s">
        <v>460</v>
      </c>
      <c r="B332" s="1" t="s">
        <v>143</v>
      </c>
    </row>
    <row r="333" customFormat="false" ht="13.8" hidden="false" customHeight="false" outlineLevel="0" collapsed="false">
      <c r="A333" s="4" t="s">
        <v>461</v>
      </c>
      <c r="B333" s="1" t="s">
        <v>145</v>
      </c>
    </row>
    <row r="334" customFormat="false" ht="13.8" hidden="false" customHeight="false" outlineLevel="0" collapsed="false">
      <c r="A334" s="4" t="s">
        <v>462</v>
      </c>
      <c r="B334" s="1" t="s">
        <v>147</v>
      </c>
    </row>
    <row r="335" customFormat="false" ht="13.8" hidden="false" customHeight="false" outlineLevel="0" collapsed="false">
      <c r="A335" s="4" t="s">
        <v>463</v>
      </c>
      <c r="B335" s="1" t="s">
        <v>149</v>
      </c>
    </row>
    <row r="336" customFormat="false" ht="13.8" hidden="false" customHeight="false" outlineLevel="0" collapsed="false">
      <c r="A336" s="4" t="s">
        <v>464</v>
      </c>
      <c r="B336" s="1" t="s">
        <v>151</v>
      </c>
    </row>
    <row r="337" customFormat="false" ht="13.8" hidden="false" customHeight="false" outlineLevel="0" collapsed="false">
      <c r="A337" s="4" t="s">
        <v>465</v>
      </c>
      <c r="B337" s="1" t="s">
        <v>153</v>
      </c>
    </row>
    <row r="338" customFormat="false" ht="13.8" hidden="false" customHeight="false" outlineLevel="0" collapsed="false">
      <c r="A338" s="4" t="s">
        <v>466</v>
      </c>
      <c r="B338" s="1" t="s">
        <v>155</v>
      </c>
    </row>
    <row r="339" customFormat="false" ht="13.8" hidden="false" customHeight="false" outlineLevel="0" collapsed="false">
      <c r="A339" s="4" t="s">
        <v>467</v>
      </c>
      <c r="B339" s="1" t="s">
        <v>157</v>
      </c>
    </row>
    <row r="340" customFormat="false" ht="13.8" hidden="false" customHeight="false" outlineLevel="0" collapsed="false">
      <c r="A340" s="4" t="s">
        <v>468</v>
      </c>
      <c r="B340" s="1" t="s">
        <v>159</v>
      </c>
    </row>
    <row r="341" customFormat="false" ht="13.8" hidden="false" customHeight="false" outlineLevel="0" collapsed="false">
      <c r="A341" s="4" t="s">
        <v>469</v>
      </c>
      <c r="B341" s="1" t="s">
        <v>161</v>
      </c>
    </row>
    <row r="342" customFormat="false" ht="13.8" hidden="false" customHeight="false" outlineLevel="0" collapsed="false">
      <c r="A342" s="4" t="s">
        <v>470</v>
      </c>
      <c r="B342" s="1" t="s">
        <v>163</v>
      </c>
    </row>
    <row r="343" customFormat="false" ht="13.8" hidden="false" customHeight="false" outlineLevel="0" collapsed="false">
      <c r="A343" s="4" t="s">
        <v>471</v>
      </c>
      <c r="B343" s="1" t="s">
        <v>165</v>
      </c>
    </row>
    <row r="344" customFormat="false" ht="13.8" hidden="false" customHeight="false" outlineLevel="0" collapsed="false">
      <c r="A344" s="4" t="s">
        <v>472</v>
      </c>
      <c r="B344" s="1" t="s">
        <v>167</v>
      </c>
    </row>
    <row r="345" customFormat="false" ht="13.8" hidden="false" customHeight="false" outlineLevel="0" collapsed="false">
      <c r="A345" s="4" t="s">
        <v>473</v>
      </c>
      <c r="B345" s="1" t="s">
        <v>169</v>
      </c>
    </row>
    <row r="346" customFormat="false" ht="13.8" hidden="false" customHeight="false" outlineLevel="0" collapsed="false">
      <c r="A346" s="4" t="s">
        <v>474</v>
      </c>
      <c r="B346" s="1" t="s">
        <v>171</v>
      </c>
    </row>
    <row r="347" customFormat="false" ht="13.8" hidden="false" customHeight="false" outlineLevel="0" collapsed="false">
      <c r="A347" s="4" t="s">
        <v>475</v>
      </c>
      <c r="B347" s="1" t="s">
        <v>173</v>
      </c>
    </row>
    <row r="348" customFormat="false" ht="13.8" hidden="false" customHeight="false" outlineLevel="0" collapsed="false">
      <c r="A348" s="4" t="s">
        <v>476</v>
      </c>
      <c r="B348" s="1" t="s">
        <v>175</v>
      </c>
    </row>
    <row r="349" customFormat="false" ht="13.8" hidden="false" customHeight="false" outlineLevel="0" collapsed="false">
      <c r="A349" s="4" t="s">
        <v>477</v>
      </c>
      <c r="B349" s="1" t="s">
        <v>177</v>
      </c>
    </row>
    <row r="350" customFormat="false" ht="13.8" hidden="false" customHeight="false" outlineLevel="0" collapsed="false">
      <c r="A350" s="4" t="s">
        <v>478</v>
      </c>
      <c r="B350" s="1" t="s">
        <v>179</v>
      </c>
    </row>
    <row r="351" customFormat="false" ht="13.8" hidden="false" customHeight="false" outlineLevel="0" collapsed="false">
      <c r="A351" s="4" t="s">
        <v>479</v>
      </c>
      <c r="B351" s="1" t="s">
        <v>181</v>
      </c>
    </row>
    <row r="352" customFormat="false" ht="13.8" hidden="false" customHeight="false" outlineLevel="0" collapsed="false">
      <c r="A352" s="4" t="s">
        <v>480</v>
      </c>
      <c r="B352" s="1" t="s">
        <v>183</v>
      </c>
    </row>
    <row r="353" customFormat="false" ht="13.8" hidden="false" customHeight="false" outlineLevel="0" collapsed="false">
      <c r="A353" s="4" t="s">
        <v>481</v>
      </c>
      <c r="B353" s="1" t="s">
        <v>185</v>
      </c>
    </row>
    <row r="354" customFormat="false" ht="13.8" hidden="false" customHeight="false" outlineLevel="0" collapsed="false">
      <c r="A354" s="4" t="s">
        <v>482</v>
      </c>
      <c r="B354" s="1" t="s">
        <v>187</v>
      </c>
    </row>
    <row r="355" customFormat="false" ht="13.8" hidden="false" customHeight="false" outlineLevel="0" collapsed="false">
      <c r="A355" s="4" t="s">
        <v>483</v>
      </c>
      <c r="B355" s="1" t="s">
        <v>189</v>
      </c>
    </row>
    <row r="356" customFormat="false" ht="13.8" hidden="false" customHeight="false" outlineLevel="0" collapsed="false">
      <c r="A356" s="4" t="s">
        <v>484</v>
      </c>
      <c r="B356" s="1" t="s">
        <v>191</v>
      </c>
    </row>
    <row r="357" customFormat="false" ht="13.8" hidden="false" customHeight="false" outlineLevel="0" collapsed="false">
      <c r="A357" s="4" t="s">
        <v>485</v>
      </c>
      <c r="B357" s="1" t="s">
        <v>193</v>
      </c>
    </row>
    <row r="358" customFormat="false" ht="13.8" hidden="false" customHeight="false" outlineLevel="0" collapsed="false">
      <c r="A358" s="4" t="s">
        <v>486</v>
      </c>
      <c r="B358" s="1" t="s">
        <v>195</v>
      </c>
    </row>
    <row r="359" customFormat="false" ht="13.8" hidden="false" customHeight="false" outlineLevel="0" collapsed="false">
      <c r="A359" s="4" t="s">
        <v>487</v>
      </c>
      <c r="B359" s="1" t="s">
        <v>197</v>
      </c>
    </row>
    <row r="360" customFormat="false" ht="13.8" hidden="false" customHeight="false" outlineLevel="0" collapsed="false">
      <c r="A360" s="4" t="s">
        <v>488</v>
      </c>
      <c r="B360" s="1" t="s">
        <v>199</v>
      </c>
    </row>
    <row r="361" customFormat="false" ht="13.8" hidden="false" customHeight="false" outlineLevel="0" collapsed="false">
      <c r="A361" s="4" t="s">
        <v>489</v>
      </c>
      <c r="B361" s="1" t="s">
        <v>201</v>
      </c>
    </row>
    <row r="362" customFormat="false" ht="13.8" hidden="false" customHeight="false" outlineLevel="0" collapsed="false">
      <c r="A362" s="4" t="s">
        <v>490</v>
      </c>
      <c r="B362" s="1" t="s">
        <v>203</v>
      </c>
    </row>
    <row r="363" customFormat="false" ht="13.8" hidden="false" customHeight="false" outlineLevel="0" collapsed="false">
      <c r="A363" s="4" t="s">
        <v>491</v>
      </c>
      <c r="B363" s="1" t="s">
        <v>205</v>
      </c>
    </row>
    <row r="364" customFormat="false" ht="13.8" hidden="false" customHeight="false" outlineLevel="0" collapsed="false">
      <c r="A364" s="4" t="s">
        <v>492</v>
      </c>
      <c r="B364" s="1" t="s">
        <v>207</v>
      </c>
    </row>
    <row r="365" customFormat="false" ht="13.8" hidden="false" customHeight="false" outlineLevel="0" collapsed="false">
      <c r="A365" s="4" t="s">
        <v>493</v>
      </c>
      <c r="B365" s="1" t="s">
        <v>209</v>
      </c>
    </row>
    <row r="366" customFormat="false" ht="13.8" hidden="false" customHeight="false" outlineLevel="0" collapsed="false">
      <c r="A366" s="4" t="s">
        <v>494</v>
      </c>
      <c r="B366" s="1" t="s">
        <v>211</v>
      </c>
    </row>
    <row r="367" customFormat="false" ht="13.8" hidden="false" customHeight="false" outlineLevel="0" collapsed="false">
      <c r="A367" s="4" t="s">
        <v>495</v>
      </c>
      <c r="B367" s="1" t="s">
        <v>213</v>
      </c>
    </row>
    <row r="368" customFormat="false" ht="13.8" hidden="false" customHeight="false" outlineLevel="0" collapsed="false">
      <c r="A368" s="4" t="s">
        <v>496</v>
      </c>
      <c r="B368" s="1" t="s">
        <v>215</v>
      </c>
    </row>
    <row r="369" customFormat="false" ht="13.8" hidden="false" customHeight="false" outlineLevel="0" collapsed="false">
      <c r="A369" s="4" t="s">
        <v>497</v>
      </c>
      <c r="B369" s="1" t="s">
        <v>217</v>
      </c>
    </row>
    <row r="370" customFormat="false" ht="13.8" hidden="false" customHeight="false" outlineLevel="0" collapsed="false">
      <c r="A370" s="4" t="s">
        <v>498</v>
      </c>
      <c r="B370" s="1" t="s">
        <v>219</v>
      </c>
    </row>
    <row r="371" customFormat="false" ht="13.8" hidden="false" customHeight="false" outlineLevel="0" collapsed="false">
      <c r="A371" s="4" t="s">
        <v>499</v>
      </c>
      <c r="B371" s="1" t="s">
        <v>221</v>
      </c>
    </row>
    <row r="372" customFormat="false" ht="13.8" hidden="false" customHeight="false" outlineLevel="0" collapsed="false">
      <c r="A372" s="4" t="s">
        <v>500</v>
      </c>
      <c r="B372" s="1" t="s">
        <v>223</v>
      </c>
    </row>
    <row r="373" customFormat="false" ht="13.8" hidden="false" customHeight="false" outlineLevel="0" collapsed="false">
      <c r="A373" s="4" t="s">
        <v>501</v>
      </c>
      <c r="B373" s="1" t="s">
        <v>225</v>
      </c>
    </row>
    <row r="374" customFormat="false" ht="13.8" hidden="false" customHeight="false" outlineLevel="0" collapsed="false">
      <c r="A374" s="4" t="s">
        <v>502</v>
      </c>
      <c r="B374" s="1" t="s">
        <v>227</v>
      </c>
    </row>
    <row r="375" customFormat="false" ht="13.8" hidden="false" customHeight="false" outlineLevel="0" collapsed="false">
      <c r="A375" s="4" t="s">
        <v>503</v>
      </c>
      <c r="B375" s="1" t="s">
        <v>229</v>
      </c>
    </row>
    <row r="376" customFormat="false" ht="13.8" hidden="false" customHeight="false" outlineLevel="0" collapsed="false">
      <c r="A376" s="4" t="s">
        <v>504</v>
      </c>
      <c r="B376" s="1" t="s">
        <v>231</v>
      </c>
    </row>
    <row r="377" customFormat="false" ht="13.8" hidden="false" customHeight="false" outlineLevel="0" collapsed="false">
      <c r="A377" s="4" t="s">
        <v>505</v>
      </c>
      <c r="B377" s="1" t="s">
        <v>233</v>
      </c>
    </row>
    <row r="378" customFormat="false" ht="13.8" hidden="false" customHeight="false" outlineLevel="0" collapsed="false">
      <c r="A378" s="4" t="s">
        <v>506</v>
      </c>
      <c r="B378" s="1" t="s">
        <v>235</v>
      </c>
    </row>
    <row r="379" customFormat="false" ht="13.8" hidden="false" customHeight="false" outlineLevel="0" collapsed="false">
      <c r="A379" s="4" t="s">
        <v>507</v>
      </c>
      <c r="B379" s="1" t="s">
        <v>237</v>
      </c>
    </row>
    <row r="380" customFormat="false" ht="13.8" hidden="false" customHeight="false" outlineLevel="0" collapsed="false">
      <c r="A380" s="4" t="s">
        <v>508</v>
      </c>
      <c r="B380" s="1" t="s">
        <v>239</v>
      </c>
    </row>
    <row r="381" customFormat="false" ht="13.8" hidden="false" customHeight="false" outlineLevel="0" collapsed="false">
      <c r="A381" s="4" t="s">
        <v>509</v>
      </c>
      <c r="B381" s="1" t="s">
        <v>241</v>
      </c>
    </row>
    <row r="382" customFormat="false" ht="13.8" hidden="false" customHeight="false" outlineLevel="0" collapsed="false">
      <c r="A382" s="4" t="s">
        <v>510</v>
      </c>
      <c r="B382" s="1" t="s">
        <v>243</v>
      </c>
    </row>
    <row r="383" customFormat="false" ht="13.8" hidden="false" customHeight="false" outlineLevel="0" collapsed="false">
      <c r="A383" s="4" t="s">
        <v>511</v>
      </c>
      <c r="B383" s="1" t="s">
        <v>245</v>
      </c>
    </row>
    <row r="384" customFormat="false" ht="13.8" hidden="false" customHeight="false" outlineLevel="0" collapsed="false">
      <c r="A384" s="4" t="s">
        <v>512</v>
      </c>
      <c r="B384" s="1" t="s">
        <v>247</v>
      </c>
    </row>
    <row r="385" customFormat="false" ht="13.8" hidden="false" customHeight="false" outlineLevel="0" collapsed="false">
      <c r="A385" s="4" t="s">
        <v>513</v>
      </c>
      <c r="B385" s="1" t="s">
        <v>249</v>
      </c>
    </row>
    <row r="386" customFormat="false" ht="13.8" hidden="false" customHeight="false" outlineLevel="0" collapsed="false">
      <c r="A386" s="4" t="s">
        <v>514</v>
      </c>
      <c r="B386" s="1" t="s">
        <v>251</v>
      </c>
    </row>
    <row r="387" customFormat="false" ht="13.8" hidden="false" customHeight="false" outlineLevel="0" collapsed="false">
      <c r="A387" s="4" t="s">
        <v>515</v>
      </c>
      <c r="B387" s="1" t="s">
        <v>253</v>
      </c>
    </row>
    <row r="388" customFormat="false" ht="13.8" hidden="false" customHeight="false" outlineLevel="0" collapsed="false">
      <c r="A388" s="4" t="s">
        <v>516</v>
      </c>
      <c r="B388" s="1" t="s">
        <v>255</v>
      </c>
    </row>
    <row r="389" customFormat="false" ht="13.8" hidden="false" customHeight="false" outlineLevel="0" collapsed="false">
      <c r="A389" s="4" t="s">
        <v>517</v>
      </c>
      <c r="B389" s="1" t="s">
        <v>257</v>
      </c>
    </row>
    <row r="390" customFormat="false" ht="13.8" hidden="false" customHeight="false" outlineLevel="0" collapsed="false">
      <c r="A390" s="4" t="s">
        <v>518</v>
      </c>
    </row>
    <row r="391" customFormat="false" ht="13.8" hidden="false" customHeight="false" outlineLevel="0" collapsed="false">
      <c r="A391" s="4" t="s">
        <v>519</v>
      </c>
    </row>
    <row r="392" customFormat="false" ht="13.8" hidden="false" customHeight="false" outlineLevel="0" collapsed="false">
      <c r="A392" s="5" t="s">
        <v>520</v>
      </c>
      <c r="B392" s="1" t="s">
        <v>521</v>
      </c>
    </row>
    <row r="393" customFormat="false" ht="13.8" hidden="false" customHeight="false" outlineLevel="0" collapsed="false">
      <c r="A393" s="5" t="s">
        <v>522</v>
      </c>
      <c r="B393" s="1" t="s">
        <v>523</v>
      </c>
    </row>
    <row r="394" customFormat="false" ht="13.8" hidden="false" customHeight="false" outlineLevel="0" collapsed="false">
      <c r="A394" s="5" t="s">
        <v>524</v>
      </c>
      <c r="B394" s="1" t="s">
        <v>525</v>
      </c>
    </row>
    <row r="395" customFormat="false" ht="13.8" hidden="false" customHeight="false" outlineLevel="0" collapsed="false">
      <c r="A395" s="5" t="s">
        <v>526</v>
      </c>
      <c r="B395" s="1" t="s">
        <v>527</v>
      </c>
    </row>
    <row r="396" customFormat="false" ht="13.8" hidden="false" customHeight="false" outlineLevel="0" collapsed="false">
      <c r="A396" s="5" t="s">
        <v>528</v>
      </c>
      <c r="B396" s="1" t="s">
        <v>529</v>
      </c>
    </row>
    <row r="397" customFormat="false" ht="13.8" hidden="false" customHeight="false" outlineLevel="0" collapsed="false">
      <c r="A397" s="5" t="s">
        <v>530</v>
      </c>
      <c r="B397" s="1" t="s">
        <v>531</v>
      </c>
    </row>
    <row r="398" customFormat="false" ht="13.8" hidden="false" customHeight="false" outlineLevel="0" collapsed="false">
      <c r="A398" s="5" t="s">
        <v>532</v>
      </c>
      <c r="B398" s="1" t="s">
        <v>533</v>
      </c>
    </row>
    <row r="399" customFormat="false" ht="13.8" hidden="false" customHeight="false" outlineLevel="0" collapsed="false">
      <c r="A399" s="5" t="s">
        <v>534</v>
      </c>
      <c r="B399" s="1" t="s">
        <v>535</v>
      </c>
    </row>
    <row r="400" customFormat="false" ht="13.8" hidden="false" customHeight="false" outlineLevel="0" collapsed="false">
      <c r="A400" s="5" t="s">
        <v>536</v>
      </c>
      <c r="B400" s="1" t="s">
        <v>537</v>
      </c>
    </row>
    <row r="401" customFormat="false" ht="13.8" hidden="false" customHeight="false" outlineLevel="0" collapsed="false">
      <c r="A401" s="5" t="s">
        <v>538</v>
      </c>
      <c r="B401" s="1" t="s">
        <v>539</v>
      </c>
    </row>
    <row r="402" customFormat="false" ht="13.8" hidden="false" customHeight="false" outlineLevel="0" collapsed="false">
      <c r="A402" s="5" t="s">
        <v>540</v>
      </c>
      <c r="B402" s="1" t="s">
        <v>541</v>
      </c>
    </row>
    <row r="403" customFormat="false" ht="13.8" hidden="false" customHeight="false" outlineLevel="0" collapsed="false">
      <c r="A403" s="5" t="s">
        <v>542</v>
      </c>
      <c r="B403" s="1" t="s">
        <v>543</v>
      </c>
    </row>
    <row r="404" customFormat="false" ht="13.8" hidden="false" customHeight="false" outlineLevel="0" collapsed="false">
      <c r="A404" s="5" t="s">
        <v>544</v>
      </c>
      <c r="B404" s="1" t="s">
        <v>545</v>
      </c>
    </row>
    <row r="405" customFormat="false" ht="13.8" hidden="false" customHeight="false" outlineLevel="0" collapsed="false">
      <c r="A405" s="5" t="s">
        <v>546</v>
      </c>
      <c r="B405" s="1" t="s">
        <v>547</v>
      </c>
    </row>
    <row r="406" customFormat="false" ht="13.8" hidden="false" customHeight="false" outlineLevel="0" collapsed="false">
      <c r="A406" s="5" t="s">
        <v>548</v>
      </c>
      <c r="B406" s="1" t="s">
        <v>549</v>
      </c>
    </row>
    <row r="407" customFormat="false" ht="13.8" hidden="false" customHeight="false" outlineLevel="0" collapsed="false">
      <c r="A407" s="5" t="s">
        <v>550</v>
      </c>
      <c r="B407" s="1" t="s">
        <v>551</v>
      </c>
    </row>
    <row r="408" customFormat="false" ht="13.8" hidden="false" customHeight="false" outlineLevel="0" collapsed="false">
      <c r="A408" s="5" t="s">
        <v>552</v>
      </c>
      <c r="B408" s="1" t="s">
        <v>553</v>
      </c>
    </row>
    <row r="409" customFormat="false" ht="13.8" hidden="false" customHeight="false" outlineLevel="0" collapsed="false">
      <c r="A409" s="5" t="s">
        <v>554</v>
      </c>
      <c r="B409" s="1" t="s">
        <v>555</v>
      </c>
    </row>
    <row r="410" customFormat="false" ht="13.8" hidden="false" customHeight="false" outlineLevel="0" collapsed="false">
      <c r="A410" s="5" t="s">
        <v>556</v>
      </c>
      <c r="B410" s="1" t="s">
        <v>557</v>
      </c>
    </row>
    <row r="411" customFormat="false" ht="13.8" hidden="false" customHeight="false" outlineLevel="0" collapsed="false">
      <c r="A411" s="5" t="s">
        <v>558</v>
      </c>
      <c r="B411" s="1" t="s">
        <v>559</v>
      </c>
    </row>
    <row r="412" customFormat="false" ht="13.8" hidden="false" customHeight="false" outlineLevel="0" collapsed="false">
      <c r="A412" s="5" t="s">
        <v>560</v>
      </c>
      <c r="B412" s="1" t="s">
        <v>561</v>
      </c>
    </row>
    <row r="413" customFormat="false" ht="13.8" hidden="false" customHeight="false" outlineLevel="0" collapsed="false">
      <c r="A413" s="5" t="s">
        <v>562</v>
      </c>
      <c r="B413" s="1" t="s">
        <v>563</v>
      </c>
    </row>
    <row r="414" customFormat="false" ht="13.8" hidden="false" customHeight="false" outlineLevel="0" collapsed="false">
      <c r="A414" s="5" t="s">
        <v>564</v>
      </c>
      <c r="B414" s="1" t="s">
        <v>565</v>
      </c>
    </row>
    <row r="415" customFormat="false" ht="13.8" hidden="false" customHeight="false" outlineLevel="0" collapsed="false">
      <c r="A415" s="5" t="s">
        <v>566</v>
      </c>
      <c r="B415" s="1" t="s">
        <v>567</v>
      </c>
    </row>
    <row r="416" customFormat="false" ht="13.8" hidden="false" customHeight="false" outlineLevel="0" collapsed="false">
      <c r="A416" s="5" t="s">
        <v>568</v>
      </c>
      <c r="B416" s="1" t="s">
        <v>569</v>
      </c>
    </row>
    <row r="417" customFormat="false" ht="13.8" hidden="false" customHeight="false" outlineLevel="0" collapsed="false">
      <c r="A417" s="5" t="s">
        <v>570</v>
      </c>
      <c r="B417" s="1" t="s">
        <v>571</v>
      </c>
    </row>
    <row r="418" customFormat="false" ht="13.8" hidden="false" customHeight="false" outlineLevel="0" collapsed="false">
      <c r="A418" s="5" t="s">
        <v>572</v>
      </c>
      <c r="B418" s="1" t="s">
        <v>573</v>
      </c>
    </row>
    <row r="419" customFormat="false" ht="13.8" hidden="false" customHeight="false" outlineLevel="0" collapsed="false">
      <c r="A419" s="5" t="s">
        <v>574</v>
      </c>
      <c r="B419" s="1" t="s">
        <v>575</v>
      </c>
    </row>
    <row r="420" customFormat="false" ht="13.8" hidden="false" customHeight="false" outlineLevel="0" collapsed="false">
      <c r="A420" s="5" t="s">
        <v>576</v>
      </c>
      <c r="B420" s="1" t="s">
        <v>577</v>
      </c>
    </row>
    <row r="421" customFormat="false" ht="13.8" hidden="false" customHeight="false" outlineLevel="0" collapsed="false">
      <c r="A421" s="5" t="s">
        <v>578</v>
      </c>
      <c r="B421" s="1" t="s">
        <v>579</v>
      </c>
    </row>
    <row r="422" customFormat="false" ht="13.8" hidden="false" customHeight="false" outlineLevel="0" collapsed="false">
      <c r="A422" s="5" t="s">
        <v>580</v>
      </c>
      <c r="B422" s="1" t="s">
        <v>581</v>
      </c>
    </row>
    <row r="423" customFormat="false" ht="13.8" hidden="false" customHeight="false" outlineLevel="0" collapsed="false">
      <c r="A423" s="5" t="s">
        <v>582</v>
      </c>
      <c r="B423" s="1" t="s">
        <v>583</v>
      </c>
    </row>
    <row r="424" customFormat="false" ht="13.8" hidden="false" customHeight="false" outlineLevel="0" collapsed="false">
      <c r="A424" s="5" t="s">
        <v>584</v>
      </c>
      <c r="B424" s="1" t="s">
        <v>585</v>
      </c>
    </row>
    <row r="425" customFormat="false" ht="13.8" hidden="false" customHeight="false" outlineLevel="0" collapsed="false">
      <c r="A425" s="5" t="s">
        <v>586</v>
      </c>
      <c r="B425" s="1" t="s">
        <v>587</v>
      </c>
    </row>
    <row r="426" customFormat="false" ht="13.8" hidden="false" customHeight="false" outlineLevel="0" collapsed="false">
      <c r="A426" s="5" t="s">
        <v>588</v>
      </c>
      <c r="B426" s="1" t="s">
        <v>589</v>
      </c>
    </row>
    <row r="427" customFormat="false" ht="13.8" hidden="false" customHeight="false" outlineLevel="0" collapsed="false">
      <c r="A427" s="5" t="s">
        <v>590</v>
      </c>
      <c r="B427" s="1" t="s">
        <v>591</v>
      </c>
    </row>
    <row r="428" customFormat="false" ht="13.8" hidden="false" customHeight="false" outlineLevel="0" collapsed="false">
      <c r="A428" s="5" t="s">
        <v>592</v>
      </c>
      <c r="B428" s="1" t="s">
        <v>593</v>
      </c>
    </row>
    <row r="429" customFormat="false" ht="13.8" hidden="false" customHeight="false" outlineLevel="0" collapsed="false">
      <c r="A429" s="5" t="s">
        <v>594</v>
      </c>
      <c r="B429" s="1" t="s">
        <v>595</v>
      </c>
    </row>
    <row r="430" customFormat="false" ht="13.8" hidden="false" customHeight="false" outlineLevel="0" collapsed="false">
      <c r="A430" s="5" t="s">
        <v>596</v>
      </c>
      <c r="B430" s="1" t="s">
        <v>597</v>
      </c>
    </row>
    <row r="431" customFormat="false" ht="13.8" hidden="false" customHeight="false" outlineLevel="0" collapsed="false">
      <c r="A431" s="5" t="s">
        <v>598</v>
      </c>
      <c r="B431" s="1" t="s">
        <v>599</v>
      </c>
    </row>
    <row r="432" customFormat="false" ht="13.8" hidden="false" customHeight="false" outlineLevel="0" collapsed="false">
      <c r="A432" s="5" t="s">
        <v>600</v>
      </c>
      <c r="B432" s="1" t="s">
        <v>601</v>
      </c>
    </row>
    <row r="433" customFormat="false" ht="13.8" hidden="false" customHeight="false" outlineLevel="0" collapsed="false">
      <c r="A433" s="5" t="s">
        <v>602</v>
      </c>
      <c r="B433" s="1" t="s">
        <v>603</v>
      </c>
    </row>
    <row r="434" customFormat="false" ht="13.8" hidden="false" customHeight="false" outlineLevel="0" collapsed="false">
      <c r="A434" s="5" t="s">
        <v>604</v>
      </c>
      <c r="B434" s="1" t="s">
        <v>605</v>
      </c>
    </row>
    <row r="435" customFormat="false" ht="13.8" hidden="false" customHeight="false" outlineLevel="0" collapsed="false">
      <c r="A435" s="5" t="s">
        <v>606</v>
      </c>
      <c r="B435" s="1" t="s">
        <v>607</v>
      </c>
    </row>
    <row r="436" customFormat="false" ht="13.8" hidden="false" customHeight="false" outlineLevel="0" collapsed="false">
      <c r="A436" s="5" t="s">
        <v>608</v>
      </c>
      <c r="B436" s="1" t="s">
        <v>609</v>
      </c>
    </row>
    <row r="437" customFormat="false" ht="13.8" hidden="false" customHeight="false" outlineLevel="0" collapsed="false">
      <c r="A437" s="5" t="s">
        <v>610</v>
      </c>
      <c r="B437" s="1" t="s">
        <v>611</v>
      </c>
    </row>
    <row r="438" customFormat="false" ht="13.8" hidden="false" customHeight="false" outlineLevel="0" collapsed="false">
      <c r="A438" s="5" t="s">
        <v>612</v>
      </c>
      <c r="B438" s="1" t="s">
        <v>613</v>
      </c>
    </row>
    <row r="439" customFormat="false" ht="13.8" hidden="false" customHeight="false" outlineLevel="0" collapsed="false">
      <c r="A439" s="5" t="s">
        <v>614</v>
      </c>
      <c r="B439" s="1" t="s">
        <v>615</v>
      </c>
    </row>
    <row r="440" customFormat="false" ht="13.8" hidden="false" customHeight="false" outlineLevel="0" collapsed="false">
      <c r="A440" s="5" t="s">
        <v>616</v>
      </c>
      <c r="B440" s="1" t="s">
        <v>617</v>
      </c>
    </row>
    <row r="441" customFormat="false" ht="13.8" hidden="false" customHeight="false" outlineLevel="0" collapsed="false">
      <c r="A441" s="5" t="s">
        <v>618</v>
      </c>
      <c r="B441" s="1" t="s">
        <v>619</v>
      </c>
    </row>
    <row r="442" customFormat="false" ht="13.8" hidden="false" customHeight="false" outlineLevel="0" collapsed="false">
      <c r="A442" s="5" t="s">
        <v>620</v>
      </c>
      <c r="B442" s="1" t="s">
        <v>621</v>
      </c>
    </row>
    <row r="443" customFormat="false" ht="13.8" hidden="false" customHeight="false" outlineLevel="0" collapsed="false">
      <c r="A443" s="5" t="s">
        <v>622</v>
      </c>
      <c r="B443" s="1" t="s">
        <v>623</v>
      </c>
    </row>
    <row r="444" customFormat="false" ht="13.8" hidden="false" customHeight="false" outlineLevel="0" collapsed="false">
      <c r="A444" s="5" t="s">
        <v>624</v>
      </c>
      <c r="B444" s="1" t="s">
        <v>625</v>
      </c>
    </row>
    <row r="445" customFormat="false" ht="13.8" hidden="false" customHeight="false" outlineLevel="0" collapsed="false">
      <c r="A445" s="5" t="s">
        <v>626</v>
      </c>
      <c r="B445" s="1" t="s">
        <v>627</v>
      </c>
    </row>
    <row r="446" customFormat="false" ht="13.8" hidden="false" customHeight="false" outlineLevel="0" collapsed="false">
      <c r="A446" s="5" t="s">
        <v>628</v>
      </c>
      <c r="B446" s="1" t="s">
        <v>629</v>
      </c>
    </row>
    <row r="447" customFormat="false" ht="13.8" hidden="false" customHeight="false" outlineLevel="0" collapsed="false">
      <c r="A447" s="5" t="s">
        <v>630</v>
      </c>
      <c r="B447" s="1" t="s">
        <v>631</v>
      </c>
    </row>
    <row r="448" customFormat="false" ht="13.8" hidden="false" customHeight="false" outlineLevel="0" collapsed="false">
      <c r="A448" s="5" t="s">
        <v>632</v>
      </c>
      <c r="B448" s="1" t="s">
        <v>633</v>
      </c>
    </row>
    <row r="449" customFormat="false" ht="13.8" hidden="false" customHeight="false" outlineLevel="0" collapsed="false">
      <c r="A449" s="5" t="s">
        <v>634</v>
      </c>
      <c r="B449" s="1" t="s">
        <v>635</v>
      </c>
    </row>
    <row r="450" customFormat="false" ht="13.8" hidden="false" customHeight="false" outlineLevel="0" collapsed="false">
      <c r="A450" s="5" t="s">
        <v>636</v>
      </c>
      <c r="B450" s="1" t="s">
        <v>637</v>
      </c>
    </row>
    <row r="451" customFormat="false" ht="13.8" hidden="false" customHeight="false" outlineLevel="0" collapsed="false">
      <c r="A451" s="5" t="s">
        <v>638</v>
      </c>
      <c r="B451" s="1" t="s">
        <v>639</v>
      </c>
    </row>
    <row r="452" customFormat="false" ht="13.8" hidden="false" customHeight="false" outlineLevel="0" collapsed="false">
      <c r="A452" s="5" t="s">
        <v>640</v>
      </c>
      <c r="B452" s="1" t="s">
        <v>641</v>
      </c>
    </row>
    <row r="453" customFormat="false" ht="13.8" hidden="false" customHeight="false" outlineLevel="0" collapsed="false">
      <c r="A453" s="5" t="s">
        <v>642</v>
      </c>
      <c r="B453" s="1" t="s">
        <v>643</v>
      </c>
    </row>
    <row r="454" customFormat="false" ht="13.8" hidden="false" customHeight="false" outlineLevel="0" collapsed="false">
      <c r="A454" s="5" t="s">
        <v>644</v>
      </c>
      <c r="B454" s="1" t="s">
        <v>645</v>
      </c>
    </row>
    <row r="455" customFormat="false" ht="13.8" hidden="false" customHeight="false" outlineLevel="0" collapsed="false">
      <c r="A455" s="5" t="s">
        <v>646</v>
      </c>
      <c r="B455" s="1" t="s">
        <v>647</v>
      </c>
    </row>
    <row r="456" customFormat="false" ht="13.8" hidden="false" customHeight="false" outlineLevel="0" collapsed="false">
      <c r="A456" s="5" t="s">
        <v>648</v>
      </c>
      <c r="B456" s="1" t="s">
        <v>649</v>
      </c>
    </row>
    <row r="457" customFormat="false" ht="13.8" hidden="false" customHeight="false" outlineLevel="0" collapsed="false">
      <c r="A457" s="5" t="s">
        <v>650</v>
      </c>
      <c r="B457" s="1" t="s">
        <v>651</v>
      </c>
    </row>
    <row r="458" customFormat="false" ht="13.8" hidden="false" customHeight="false" outlineLevel="0" collapsed="false">
      <c r="A458" s="5" t="s">
        <v>652</v>
      </c>
      <c r="B458" s="1" t="s">
        <v>653</v>
      </c>
    </row>
    <row r="459" customFormat="false" ht="13.8" hidden="false" customHeight="false" outlineLevel="0" collapsed="false">
      <c r="A459" s="5" t="s">
        <v>654</v>
      </c>
      <c r="B459" s="1" t="s">
        <v>655</v>
      </c>
    </row>
    <row r="460" customFormat="false" ht="13.8" hidden="false" customHeight="false" outlineLevel="0" collapsed="false">
      <c r="A460" s="5" t="s">
        <v>656</v>
      </c>
      <c r="B460" s="1" t="s">
        <v>657</v>
      </c>
    </row>
    <row r="461" customFormat="false" ht="13.8" hidden="false" customHeight="false" outlineLevel="0" collapsed="false">
      <c r="A461" s="5" t="s">
        <v>658</v>
      </c>
      <c r="B461" s="1" t="s">
        <v>659</v>
      </c>
    </row>
    <row r="462" customFormat="false" ht="13.8" hidden="false" customHeight="false" outlineLevel="0" collapsed="false">
      <c r="A462" s="5" t="s">
        <v>660</v>
      </c>
      <c r="B462" s="1" t="s">
        <v>661</v>
      </c>
    </row>
    <row r="463" customFormat="false" ht="13.8" hidden="false" customHeight="false" outlineLevel="0" collapsed="false">
      <c r="A463" s="5" t="s">
        <v>662</v>
      </c>
      <c r="B463" s="1" t="s">
        <v>663</v>
      </c>
    </row>
    <row r="464" customFormat="false" ht="13.8" hidden="false" customHeight="false" outlineLevel="0" collapsed="false">
      <c r="A464" s="5" t="s">
        <v>664</v>
      </c>
      <c r="B464" s="1" t="s">
        <v>665</v>
      </c>
    </row>
    <row r="465" customFormat="false" ht="13.8" hidden="false" customHeight="false" outlineLevel="0" collapsed="false">
      <c r="A465" s="5" t="s">
        <v>666</v>
      </c>
      <c r="B465" s="1" t="s">
        <v>667</v>
      </c>
    </row>
    <row r="466" customFormat="false" ht="13.8" hidden="false" customHeight="false" outlineLevel="0" collapsed="false">
      <c r="A466" s="5" t="s">
        <v>668</v>
      </c>
      <c r="B466" s="1" t="s">
        <v>669</v>
      </c>
    </row>
    <row r="467" customFormat="false" ht="13.8" hidden="false" customHeight="false" outlineLevel="0" collapsed="false">
      <c r="A467" s="5" t="s">
        <v>670</v>
      </c>
      <c r="B467" s="1" t="s">
        <v>671</v>
      </c>
    </row>
    <row r="468" customFormat="false" ht="13.8" hidden="false" customHeight="false" outlineLevel="0" collapsed="false">
      <c r="A468" s="5" t="s">
        <v>672</v>
      </c>
      <c r="B468" s="1" t="s">
        <v>673</v>
      </c>
    </row>
    <row r="469" customFormat="false" ht="13.8" hidden="false" customHeight="false" outlineLevel="0" collapsed="false">
      <c r="A469" s="5" t="s">
        <v>674</v>
      </c>
      <c r="B469" s="1" t="s">
        <v>675</v>
      </c>
    </row>
    <row r="470" customFormat="false" ht="13.8" hidden="false" customHeight="false" outlineLevel="0" collapsed="false">
      <c r="A470" s="5" t="s">
        <v>676</v>
      </c>
      <c r="B470" s="1" t="s">
        <v>677</v>
      </c>
    </row>
    <row r="471" customFormat="false" ht="13.8" hidden="false" customHeight="false" outlineLevel="0" collapsed="false">
      <c r="A471" s="5" t="s">
        <v>678</v>
      </c>
      <c r="B471" s="1" t="s">
        <v>679</v>
      </c>
    </row>
    <row r="472" customFormat="false" ht="13.8" hidden="false" customHeight="false" outlineLevel="0" collapsed="false">
      <c r="A472" s="5" t="s">
        <v>680</v>
      </c>
      <c r="B472" s="1" t="s">
        <v>681</v>
      </c>
    </row>
    <row r="473" customFormat="false" ht="13.8" hidden="false" customHeight="false" outlineLevel="0" collapsed="false">
      <c r="A473" s="5" t="s">
        <v>682</v>
      </c>
      <c r="B473" s="1" t="s">
        <v>683</v>
      </c>
    </row>
    <row r="474" customFormat="false" ht="13.8" hidden="false" customHeight="false" outlineLevel="0" collapsed="false">
      <c r="A474" s="5" t="s">
        <v>684</v>
      </c>
      <c r="B474" s="1" t="s">
        <v>685</v>
      </c>
    </row>
    <row r="475" customFormat="false" ht="13.8" hidden="false" customHeight="false" outlineLevel="0" collapsed="false">
      <c r="A475" s="5" t="s">
        <v>686</v>
      </c>
      <c r="B475" s="1" t="s">
        <v>687</v>
      </c>
    </row>
    <row r="476" customFormat="false" ht="13.8" hidden="false" customHeight="false" outlineLevel="0" collapsed="false">
      <c r="A476" s="5" t="s">
        <v>688</v>
      </c>
      <c r="B476" s="1" t="s">
        <v>689</v>
      </c>
    </row>
    <row r="477" customFormat="false" ht="13.8" hidden="false" customHeight="false" outlineLevel="0" collapsed="false">
      <c r="A477" s="5" t="s">
        <v>690</v>
      </c>
      <c r="B477" s="1" t="s">
        <v>691</v>
      </c>
    </row>
    <row r="478" customFormat="false" ht="13.8" hidden="false" customHeight="false" outlineLevel="0" collapsed="false">
      <c r="A478" s="5" t="s">
        <v>692</v>
      </c>
      <c r="B478" s="1" t="s">
        <v>693</v>
      </c>
    </row>
    <row r="479" customFormat="false" ht="13.8" hidden="false" customHeight="false" outlineLevel="0" collapsed="false">
      <c r="A479" s="5" t="s">
        <v>694</v>
      </c>
      <c r="B479" s="1" t="s">
        <v>695</v>
      </c>
    </row>
    <row r="480" customFormat="false" ht="13.8" hidden="false" customHeight="false" outlineLevel="0" collapsed="false">
      <c r="A480" s="5" t="s">
        <v>696</v>
      </c>
      <c r="B480" s="1" t="s">
        <v>697</v>
      </c>
    </row>
    <row r="481" customFormat="false" ht="13.8" hidden="false" customHeight="false" outlineLevel="0" collapsed="false">
      <c r="A481" s="5" t="s">
        <v>698</v>
      </c>
      <c r="B481" s="1" t="s">
        <v>699</v>
      </c>
    </row>
    <row r="482" customFormat="false" ht="13.8" hidden="false" customHeight="false" outlineLevel="0" collapsed="false">
      <c r="A482" s="5" t="s">
        <v>700</v>
      </c>
      <c r="B482" s="1" t="s">
        <v>701</v>
      </c>
    </row>
    <row r="483" customFormat="false" ht="13.8" hidden="false" customHeight="false" outlineLevel="0" collapsed="false">
      <c r="A483" s="5" t="s">
        <v>702</v>
      </c>
      <c r="B483" s="1" t="s">
        <v>703</v>
      </c>
    </row>
    <row r="484" customFormat="false" ht="13.8" hidden="false" customHeight="false" outlineLevel="0" collapsed="false">
      <c r="A484" s="5" t="s">
        <v>704</v>
      </c>
      <c r="B484" s="1" t="s">
        <v>705</v>
      </c>
    </row>
    <row r="485" customFormat="false" ht="13.8" hidden="false" customHeight="false" outlineLevel="0" collapsed="false">
      <c r="A485" s="5" t="s">
        <v>706</v>
      </c>
      <c r="B485" s="1" t="s">
        <v>707</v>
      </c>
    </row>
    <row r="486" customFormat="false" ht="13.8" hidden="false" customHeight="false" outlineLevel="0" collapsed="false">
      <c r="A486" s="5" t="s">
        <v>708</v>
      </c>
      <c r="B486" s="1" t="s">
        <v>709</v>
      </c>
    </row>
    <row r="487" customFormat="false" ht="13.8" hidden="false" customHeight="false" outlineLevel="0" collapsed="false">
      <c r="A487" s="5" t="s">
        <v>710</v>
      </c>
      <c r="B487" s="1" t="s">
        <v>711</v>
      </c>
    </row>
    <row r="488" customFormat="false" ht="13.8" hidden="false" customHeight="false" outlineLevel="0" collapsed="false">
      <c r="A488" s="5" t="s">
        <v>712</v>
      </c>
      <c r="B488" s="1" t="s">
        <v>713</v>
      </c>
    </row>
    <row r="489" customFormat="false" ht="13.8" hidden="false" customHeight="false" outlineLevel="0" collapsed="false">
      <c r="A489" s="5" t="s">
        <v>714</v>
      </c>
      <c r="B489" s="1" t="s">
        <v>715</v>
      </c>
    </row>
    <row r="490" customFormat="false" ht="13.8" hidden="false" customHeight="false" outlineLevel="0" collapsed="false">
      <c r="A490" s="5" t="s">
        <v>716</v>
      </c>
      <c r="B490" s="1" t="s">
        <v>717</v>
      </c>
    </row>
    <row r="491" customFormat="false" ht="13.8" hidden="false" customHeight="false" outlineLevel="0" collapsed="false">
      <c r="A491" s="5" t="s">
        <v>718</v>
      </c>
      <c r="B491" s="1" t="s">
        <v>719</v>
      </c>
    </row>
    <row r="492" customFormat="false" ht="13.8" hidden="false" customHeight="false" outlineLevel="0" collapsed="false">
      <c r="A492" s="5" t="s">
        <v>720</v>
      </c>
      <c r="B492" s="1" t="s">
        <v>721</v>
      </c>
    </row>
    <row r="493" customFormat="false" ht="13.8" hidden="false" customHeight="false" outlineLevel="0" collapsed="false">
      <c r="A493" s="5" t="s">
        <v>722</v>
      </c>
      <c r="B493" s="1" t="s">
        <v>723</v>
      </c>
    </row>
    <row r="494" customFormat="false" ht="13.8" hidden="false" customHeight="false" outlineLevel="0" collapsed="false">
      <c r="A494" s="5" t="s">
        <v>724</v>
      </c>
      <c r="B494" s="1" t="s">
        <v>725</v>
      </c>
    </row>
    <row r="495" customFormat="false" ht="13.8" hidden="false" customHeight="false" outlineLevel="0" collapsed="false">
      <c r="A495" s="5" t="s">
        <v>726</v>
      </c>
      <c r="B495" s="1" t="s">
        <v>727</v>
      </c>
    </row>
    <row r="496" customFormat="false" ht="13.8" hidden="false" customHeight="false" outlineLevel="0" collapsed="false">
      <c r="A496" s="5" t="s">
        <v>728</v>
      </c>
      <c r="B496" s="1" t="s">
        <v>729</v>
      </c>
    </row>
    <row r="497" customFormat="false" ht="13.8" hidden="false" customHeight="false" outlineLevel="0" collapsed="false">
      <c r="A497" s="5" t="s">
        <v>730</v>
      </c>
      <c r="B497" s="1" t="s">
        <v>731</v>
      </c>
    </row>
    <row r="498" customFormat="false" ht="13.8" hidden="false" customHeight="false" outlineLevel="0" collapsed="false">
      <c r="A498" s="5" t="s">
        <v>732</v>
      </c>
      <c r="B498" s="1" t="s">
        <v>733</v>
      </c>
    </row>
    <row r="499" customFormat="false" ht="13.8" hidden="false" customHeight="false" outlineLevel="0" collapsed="false">
      <c r="A499" s="5" t="s">
        <v>734</v>
      </c>
      <c r="B499" s="1" t="s">
        <v>735</v>
      </c>
    </row>
    <row r="500" customFormat="false" ht="13.8" hidden="false" customHeight="false" outlineLevel="0" collapsed="false">
      <c r="A500" s="5" t="s">
        <v>736</v>
      </c>
      <c r="B500" s="1" t="s">
        <v>737</v>
      </c>
    </row>
    <row r="501" customFormat="false" ht="13.8" hidden="false" customHeight="false" outlineLevel="0" collapsed="false">
      <c r="A501" s="5" t="s">
        <v>738</v>
      </c>
      <c r="B501" s="1" t="s">
        <v>739</v>
      </c>
    </row>
    <row r="502" customFormat="false" ht="13.8" hidden="false" customHeight="false" outlineLevel="0" collapsed="false">
      <c r="A502" s="5" t="s">
        <v>740</v>
      </c>
      <c r="B502" s="1" t="s">
        <v>741</v>
      </c>
    </row>
    <row r="503" customFormat="false" ht="13.8" hidden="false" customHeight="false" outlineLevel="0" collapsed="false">
      <c r="A503" s="5" t="s">
        <v>742</v>
      </c>
      <c r="B503" s="1" t="s">
        <v>743</v>
      </c>
    </row>
    <row r="504" customFormat="false" ht="13.8" hidden="false" customHeight="false" outlineLevel="0" collapsed="false">
      <c r="A504" s="5" t="s">
        <v>744</v>
      </c>
      <c r="B504" s="1" t="s">
        <v>745</v>
      </c>
    </row>
    <row r="505" customFormat="false" ht="13.8" hidden="false" customHeight="false" outlineLevel="0" collapsed="false">
      <c r="A505" s="5" t="s">
        <v>746</v>
      </c>
      <c r="B505" s="1" t="s">
        <v>747</v>
      </c>
    </row>
    <row r="506" customFormat="false" ht="13.8" hidden="false" customHeight="false" outlineLevel="0" collapsed="false">
      <c r="A506" s="5" t="s">
        <v>748</v>
      </c>
      <c r="B506" s="1" t="s">
        <v>749</v>
      </c>
    </row>
    <row r="507" customFormat="false" ht="13.8" hidden="false" customHeight="false" outlineLevel="0" collapsed="false">
      <c r="A507" s="5" t="s">
        <v>750</v>
      </c>
      <c r="B507" s="1" t="s">
        <v>751</v>
      </c>
    </row>
    <row r="508" customFormat="false" ht="13.8" hidden="false" customHeight="false" outlineLevel="0" collapsed="false">
      <c r="A508" s="5" t="s">
        <v>752</v>
      </c>
      <c r="B508" s="1" t="s">
        <v>753</v>
      </c>
    </row>
    <row r="509" customFormat="false" ht="13.8" hidden="false" customHeight="false" outlineLevel="0" collapsed="false">
      <c r="A509" s="5" t="s">
        <v>754</v>
      </c>
      <c r="B509" s="1" t="s">
        <v>755</v>
      </c>
    </row>
    <row r="510" customFormat="false" ht="13.8" hidden="false" customHeight="false" outlineLevel="0" collapsed="false">
      <c r="A510" s="5" t="s">
        <v>756</v>
      </c>
      <c r="B510" s="1" t="s">
        <v>757</v>
      </c>
    </row>
    <row r="511" customFormat="false" ht="13.8" hidden="false" customHeight="false" outlineLevel="0" collapsed="false">
      <c r="A511" s="5" t="s">
        <v>758</v>
      </c>
      <c r="B511" s="1" t="s">
        <v>759</v>
      </c>
    </row>
    <row r="512" customFormat="false" ht="13.8" hidden="false" customHeight="false" outlineLevel="0" collapsed="false">
      <c r="A512" s="5" t="s">
        <v>760</v>
      </c>
      <c r="B512" s="1" t="s">
        <v>761</v>
      </c>
    </row>
    <row r="513" customFormat="false" ht="13.8" hidden="false" customHeight="false" outlineLevel="0" collapsed="false">
      <c r="A513" s="5" t="s">
        <v>762</v>
      </c>
      <c r="B513" s="1" t="s">
        <v>763</v>
      </c>
    </row>
    <row r="514" customFormat="false" ht="13.8" hidden="false" customHeight="false" outlineLevel="0" collapsed="false">
      <c r="A514" s="5" t="s">
        <v>764</v>
      </c>
      <c r="B514" s="1" t="s">
        <v>765</v>
      </c>
    </row>
    <row r="515" customFormat="false" ht="13.8" hidden="false" customHeight="false" outlineLevel="0" collapsed="false">
      <c r="A515" s="5" t="s">
        <v>766</v>
      </c>
      <c r="B515" s="1" t="s">
        <v>767</v>
      </c>
    </row>
    <row r="516" customFormat="false" ht="13.8" hidden="false" customHeight="false" outlineLevel="0" collapsed="false">
      <c r="A516" s="5" t="s">
        <v>768</v>
      </c>
      <c r="B516" s="1" t="s">
        <v>769</v>
      </c>
    </row>
    <row r="517" customFormat="false" ht="13.8" hidden="false" customHeight="false" outlineLevel="0" collapsed="false">
      <c r="A517" s="5" t="s">
        <v>770</v>
      </c>
      <c r="B517" s="1" t="s">
        <v>771</v>
      </c>
    </row>
    <row r="518" customFormat="false" ht="13.8" hidden="false" customHeight="false" outlineLevel="0" collapsed="false">
      <c r="A518" s="5" t="s">
        <v>772</v>
      </c>
      <c r="B518" s="1" t="s">
        <v>773</v>
      </c>
    </row>
    <row r="519" customFormat="false" ht="13.8" hidden="false" customHeight="false" outlineLevel="0" collapsed="false">
      <c r="A519" s="5" t="s">
        <v>774</v>
      </c>
      <c r="B519" s="1" t="s">
        <v>775</v>
      </c>
    </row>
    <row r="520" customFormat="false" ht="13.8" hidden="false" customHeight="false" outlineLevel="0" collapsed="false">
      <c r="A520" s="5" t="s">
        <v>776</v>
      </c>
    </row>
    <row r="521" customFormat="false" ht="13.8" hidden="false" customHeight="false" outlineLevel="0" collapsed="false">
      <c r="A521" s="5" t="s">
        <v>777</v>
      </c>
    </row>
    <row r="522" customFormat="false" ht="13.8" hidden="false" customHeight="false" outlineLevel="0" collapsed="false">
      <c r="A522" s="6" t="s">
        <v>778</v>
      </c>
      <c r="B522" s="1" t="s">
        <v>521</v>
      </c>
    </row>
    <row r="523" customFormat="false" ht="13.8" hidden="false" customHeight="false" outlineLevel="0" collapsed="false">
      <c r="A523" s="6" t="s">
        <v>779</v>
      </c>
      <c r="B523" s="1" t="s">
        <v>523</v>
      </c>
    </row>
    <row r="524" customFormat="false" ht="13.8" hidden="false" customHeight="false" outlineLevel="0" collapsed="false">
      <c r="A524" s="6" t="s">
        <v>780</v>
      </c>
      <c r="B524" s="1" t="s">
        <v>525</v>
      </c>
    </row>
    <row r="525" customFormat="false" ht="13.8" hidden="false" customHeight="false" outlineLevel="0" collapsed="false">
      <c r="A525" s="6" t="s">
        <v>781</v>
      </c>
      <c r="B525" s="1" t="s">
        <v>527</v>
      </c>
    </row>
    <row r="526" customFormat="false" ht="13.8" hidden="false" customHeight="false" outlineLevel="0" collapsed="false">
      <c r="A526" s="6" t="s">
        <v>782</v>
      </c>
      <c r="B526" s="1" t="s">
        <v>529</v>
      </c>
    </row>
    <row r="527" customFormat="false" ht="13.8" hidden="false" customHeight="false" outlineLevel="0" collapsed="false">
      <c r="A527" s="6" t="s">
        <v>783</v>
      </c>
      <c r="B527" s="1" t="s">
        <v>531</v>
      </c>
    </row>
    <row r="528" customFormat="false" ht="13.8" hidden="false" customHeight="false" outlineLevel="0" collapsed="false">
      <c r="A528" s="6" t="s">
        <v>784</v>
      </c>
      <c r="B528" s="1" t="s">
        <v>533</v>
      </c>
    </row>
    <row r="529" customFormat="false" ht="13.8" hidden="false" customHeight="false" outlineLevel="0" collapsed="false">
      <c r="A529" s="6" t="s">
        <v>785</v>
      </c>
      <c r="B529" s="1" t="s">
        <v>535</v>
      </c>
    </row>
    <row r="530" customFormat="false" ht="13.8" hidden="false" customHeight="false" outlineLevel="0" collapsed="false">
      <c r="A530" s="6" t="s">
        <v>786</v>
      </c>
      <c r="B530" s="1" t="s">
        <v>537</v>
      </c>
    </row>
    <row r="531" customFormat="false" ht="13.8" hidden="false" customHeight="false" outlineLevel="0" collapsed="false">
      <c r="A531" s="6" t="s">
        <v>787</v>
      </c>
      <c r="B531" s="1" t="s">
        <v>539</v>
      </c>
    </row>
    <row r="532" customFormat="false" ht="13.8" hidden="false" customHeight="false" outlineLevel="0" collapsed="false">
      <c r="A532" s="6" t="s">
        <v>788</v>
      </c>
      <c r="B532" s="1" t="s">
        <v>541</v>
      </c>
    </row>
    <row r="533" customFormat="false" ht="13.8" hidden="false" customHeight="false" outlineLevel="0" collapsed="false">
      <c r="A533" s="6" t="s">
        <v>789</v>
      </c>
      <c r="B533" s="1" t="s">
        <v>543</v>
      </c>
    </row>
    <row r="534" customFormat="false" ht="13.8" hidden="false" customHeight="false" outlineLevel="0" collapsed="false">
      <c r="A534" s="6" t="s">
        <v>790</v>
      </c>
      <c r="B534" s="1" t="s">
        <v>545</v>
      </c>
    </row>
    <row r="535" customFormat="false" ht="13.8" hidden="false" customHeight="false" outlineLevel="0" collapsed="false">
      <c r="A535" s="6" t="s">
        <v>791</v>
      </c>
      <c r="B535" s="1" t="s">
        <v>547</v>
      </c>
    </row>
    <row r="536" customFormat="false" ht="13.8" hidden="false" customHeight="false" outlineLevel="0" collapsed="false">
      <c r="A536" s="6" t="s">
        <v>792</v>
      </c>
      <c r="B536" s="1" t="s">
        <v>549</v>
      </c>
    </row>
    <row r="537" customFormat="false" ht="13.8" hidden="false" customHeight="false" outlineLevel="0" collapsed="false">
      <c r="A537" s="6" t="s">
        <v>793</v>
      </c>
      <c r="B537" s="1" t="s">
        <v>551</v>
      </c>
    </row>
    <row r="538" customFormat="false" ht="13.8" hidden="false" customHeight="false" outlineLevel="0" collapsed="false">
      <c r="A538" s="6" t="s">
        <v>794</v>
      </c>
      <c r="B538" s="1" t="s">
        <v>553</v>
      </c>
    </row>
    <row r="539" customFormat="false" ht="13.8" hidden="false" customHeight="false" outlineLevel="0" collapsed="false">
      <c r="A539" s="6" t="s">
        <v>795</v>
      </c>
      <c r="B539" s="1" t="s">
        <v>555</v>
      </c>
    </row>
    <row r="540" customFormat="false" ht="13.8" hidden="false" customHeight="false" outlineLevel="0" collapsed="false">
      <c r="A540" s="6" t="s">
        <v>796</v>
      </c>
      <c r="B540" s="1" t="s">
        <v>557</v>
      </c>
    </row>
    <row r="541" customFormat="false" ht="13.8" hidden="false" customHeight="false" outlineLevel="0" collapsed="false">
      <c r="A541" s="6" t="s">
        <v>797</v>
      </c>
      <c r="B541" s="1" t="s">
        <v>559</v>
      </c>
    </row>
    <row r="542" customFormat="false" ht="13.8" hidden="false" customHeight="false" outlineLevel="0" collapsed="false">
      <c r="A542" s="6" t="s">
        <v>798</v>
      </c>
      <c r="B542" s="1" t="s">
        <v>561</v>
      </c>
    </row>
    <row r="543" customFormat="false" ht="13.8" hidden="false" customHeight="false" outlineLevel="0" collapsed="false">
      <c r="A543" s="6" t="s">
        <v>799</v>
      </c>
      <c r="B543" s="1" t="s">
        <v>563</v>
      </c>
    </row>
    <row r="544" customFormat="false" ht="13.8" hidden="false" customHeight="false" outlineLevel="0" collapsed="false">
      <c r="A544" s="6" t="s">
        <v>800</v>
      </c>
      <c r="B544" s="1" t="s">
        <v>565</v>
      </c>
    </row>
    <row r="545" customFormat="false" ht="13.8" hidden="false" customHeight="false" outlineLevel="0" collapsed="false">
      <c r="A545" s="6" t="s">
        <v>801</v>
      </c>
      <c r="B545" s="1" t="s">
        <v>567</v>
      </c>
    </row>
    <row r="546" customFormat="false" ht="13.8" hidden="false" customHeight="false" outlineLevel="0" collapsed="false">
      <c r="A546" s="6" t="s">
        <v>802</v>
      </c>
      <c r="B546" s="1" t="s">
        <v>569</v>
      </c>
    </row>
    <row r="547" customFormat="false" ht="13.8" hidden="false" customHeight="false" outlineLevel="0" collapsed="false">
      <c r="A547" s="6" t="s">
        <v>803</v>
      </c>
      <c r="B547" s="1" t="s">
        <v>571</v>
      </c>
    </row>
    <row r="548" customFormat="false" ht="13.8" hidden="false" customHeight="false" outlineLevel="0" collapsed="false">
      <c r="A548" s="6" t="s">
        <v>804</v>
      </c>
      <c r="B548" s="1" t="s">
        <v>573</v>
      </c>
    </row>
    <row r="549" customFormat="false" ht="13.8" hidden="false" customHeight="false" outlineLevel="0" collapsed="false">
      <c r="A549" s="6" t="s">
        <v>805</v>
      </c>
      <c r="B549" s="1" t="s">
        <v>575</v>
      </c>
    </row>
    <row r="550" customFormat="false" ht="13.8" hidden="false" customHeight="false" outlineLevel="0" collapsed="false">
      <c r="A550" s="6" t="s">
        <v>806</v>
      </c>
      <c r="B550" s="1" t="s">
        <v>577</v>
      </c>
    </row>
    <row r="551" customFormat="false" ht="13.8" hidden="false" customHeight="false" outlineLevel="0" collapsed="false">
      <c r="A551" s="6" t="s">
        <v>807</v>
      </c>
      <c r="B551" s="1" t="s">
        <v>579</v>
      </c>
    </row>
    <row r="552" customFormat="false" ht="13.8" hidden="false" customHeight="false" outlineLevel="0" collapsed="false">
      <c r="A552" s="6" t="s">
        <v>808</v>
      </c>
      <c r="B552" s="1" t="s">
        <v>581</v>
      </c>
    </row>
    <row r="553" customFormat="false" ht="13.8" hidden="false" customHeight="false" outlineLevel="0" collapsed="false">
      <c r="A553" s="6" t="s">
        <v>809</v>
      </c>
      <c r="B553" s="1" t="s">
        <v>583</v>
      </c>
    </row>
    <row r="554" customFormat="false" ht="13.8" hidden="false" customHeight="false" outlineLevel="0" collapsed="false">
      <c r="A554" s="6" t="s">
        <v>810</v>
      </c>
      <c r="B554" s="1" t="s">
        <v>585</v>
      </c>
    </row>
    <row r="555" customFormat="false" ht="13.8" hidden="false" customHeight="false" outlineLevel="0" collapsed="false">
      <c r="A555" s="6" t="s">
        <v>811</v>
      </c>
      <c r="B555" s="1" t="s">
        <v>587</v>
      </c>
    </row>
    <row r="556" customFormat="false" ht="13.8" hidden="false" customHeight="false" outlineLevel="0" collapsed="false">
      <c r="A556" s="6" t="s">
        <v>812</v>
      </c>
      <c r="B556" s="1" t="s">
        <v>589</v>
      </c>
    </row>
    <row r="557" customFormat="false" ht="13.8" hidden="false" customHeight="false" outlineLevel="0" collapsed="false">
      <c r="A557" s="6" t="s">
        <v>813</v>
      </c>
      <c r="B557" s="1" t="s">
        <v>591</v>
      </c>
    </row>
    <row r="558" customFormat="false" ht="13.8" hidden="false" customHeight="false" outlineLevel="0" collapsed="false">
      <c r="A558" s="6" t="s">
        <v>814</v>
      </c>
      <c r="B558" s="1" t="s">
        <v>593</v>
      </c>
    </row>
    <row r="559" customFormat="false" ht="13.8" hidden="false" customHeight="false" outlineLevel="0" collapsed="false">
      <c r="A559" s="6" t="s">
        <v>815</v>
      </c>
      <c r="B559" s="1" t="s">
        <v>595</v>
      </c>
    </row>
    <row r="560" customFormat="false" ht="13.8" hidden="false" customHeight="false" outlineLevel="0" collapsed="false">
      <c r="A560" s="6" t="s">
        <v>816</v>
      </c>
      <c r="B560" s="1" t="s">
        <v>597</v>
      </c>
    </row>
    <row r="561" customFormat="false" ht="13.8" hidden="false" customHeight="false" outlineLevel="0" collapsed="false">
      <c r="A561" s="6" t="s">
        <v>817</v>
      </c>
      <c r="B561" s="1" t="s">
        <v>599</v>
      </c>
    </row>
    <row r="562" customFormat="false" ht="13.8" hidden="false" customHeight="false" outlineLevel="0" collapsed="false">
      <c r="A562" s="6" t="s">
        <v>818</v>
      </c>
      <c r="B562" s="1" t="s">
        <v>601</v>
      </c>
    </row>
    <row r="563" customFormat="false" ht="13.8" hidden="false" customHeight="false" outlineLevel="0" collapsed="false">
      <c r="A563" s="6" t="s">
        <v>819</v>
      </c>
      <c r="B563" s="1" t="s">
        <v>603</v>
      </c>
    </row>
    <row r="564" customFormat="false" ht="13.8" hidden="false" customHeight="false" outlineLevel="0" collapsed="false">
      <c r="A564" s="6" t="s">
        <v>820</v>
      </c>
      <c r="B564" s="1" t="s">
        <v>605</v>
      </c>
    </row>
    <row r="565" customFormat="false" ht="13.8" hidden="false" customHeight="false" outlineLevel="0" collapsed="false">
      <c r="A565" s="6" t="s">
        <v>821</v>
      </c>
      <c r="B565" s="1" t="s">
        <v>607</v>
      </c>
    </row>
    <row r="566" customFormat="false" ht="13.8" hidden="false" customHeight="false" outlineLevel="0" collapsed="false">
      <c r="A566" s="6" t="s">
        <v>822</v>
      </c>
      <c r="B566" s="1" t="s">
        <v>609</v>
      </c>
    </row>
    <row r="567" customFormat="false" ht="13.8" hidden="false" customHeight="false" outlineLevel="0" collapsed="false">
      <c r="A567" s="6" t="s">
        <v>823</v>
      </c>
      <c r="B567" s="1" t="s">
        <v>611</v>
      </c>
    </row>
    <row r="568" customFormat="false" ht="13.8" hidden="false" customHeight="false" outlineLevel="0" collapsed="false">
      <c r="A568" s="6" t="s">
        <v>824</v>
      </c>
      <c r="B568" s="1" t="s">
        <v>613</v>
      </c>
    </row>
    <row r="569" customFormat="false" ht="13.8" hidden="false" customHeight="false" outlineLevel="0" collapsed="false">
      <c r="A569" s="6" t="s">
        <v>825</v>
      </c>
      <c r="B569" s="1" t="s">
        <v>615</v>
      </c>
    </row>
    <row r="570" customFormat="false" ht="13.8" hidden="false" customHeight="false" outlineLevel="0" collapsed="false">
      <c r="A570" s="6" t="s">
        <v>826</v>
      </c>
      <c r="B570" s="1" t="s">
        <v>617</v>
      </c>
    </row>
    <row r="571" customFormat="false" ht="13.8" hidden="false" customHeight="false" outlineLevel="0" collapsed="false">
      <c r="A571" s="6" t="s">
        <v>827</v>
      </c>
      <c r="B571" s="1" t="s">
        <v>619</v>
      </c>
    </row>
    <row r="572" customFormat="false" ht="13.8" hidden="false" customHeight="false" outlineLevel="0" collapsed="false">
      <c r="A572" s="6" t="s">
        <v>828</v>
      </c>
      <c r="B572" s="1" t="s">
        <v>621</v>
      </c>
    </row>
    <row r="573" customFormat="false" ht="13.8" hidden="false" customHeight="false" outlineLevel="0" collapsed="false">
      <c r="A573" s="6" t="s">
        <v>829</v>
      </c>
      <c r="B573" s="1" t="s">
        <v>623</v>
      </c>
    </row>
    <row r="574" customFormat="false" ht="13.8" hidden="false" customHeight="false" outlineLevel="0" collapsed="false">
      <c r="A574" s="6" t="s">
        <v>830</v>
      </c>
      <c r="B574" s="1" t="s">
        <v>625</v>
      </c>
    </row>
    <row r="575" customFormat="false" ht="13.8" hidden="false" customHeight="false" outlineLevel="0" collapsed="false">
      <c r="A575" s="6" t="s">
        <v>831</v>
      </c>
      <c r="B575" s="1" t="s">
        <v>627</v>
      </c>
    </row>
    <row r="576" customFormat="false" ht="13.8" hidden="false" customHeight="false" outlineLevel="0" collapsed="false">
      <c r="A576" s="6" t="s">
        <v>832</v>
      </c>
      <c r="B576" s="1" t="s">
        <v>629</v>
      </c>
    </row>
    <row r="577" customFormat="false" ht="13.8" hidden="false" customHeight="false" outlineLevel="0" collapsed="false">
      <c r="A577" s="6" t="s">
        <v>833</v>
      </c>
      <c r="B577" s="1" t="s">
        <v>631</v>
      </c>
    </row>
    <row r="578" customFormat="false" ht="13.8" hidden="false" customHeight="false" outlineLevel="0" collapsed="false">
      <c r="A578" s="6" t="s">
        <v>834</v>
      </c>
      <c r="B578" s="1" t="s">
        <v>633</v>
      </c>
    </row>
    <row r="579" customFormat="false" ht="13.8" hidden="false" customHeight="false" outlineLevel="0" collapsed="false">
      <c r="A579" s="6" t="s">
        <v>835</v>
      </c>
      <c r="B579" s="1" t="s">
        <v>635</v>
      </c>
    </row>
    <row r="580" customFormat="false" ht="13.8" hidden="false" customHeight="false" outlineLevel="0" collapsed="false">
      <c r="A580" s="6" t="s">
        <v>836</v>
      </c>
      <c r="B580" s="1" t="s">
        <v>637</v>
      </c>
    </row>
    <row r="581" customFormat="false" ht="13.8" hidden="false" customHeight="false" outlineLevel="0" collapsed="false">
      <c r="A581" s="6" t="s">
        <v>837</v>
      </c>
      <c r="B581" s="1" t="s">
        <v>639</v>
      </c>
    </row>
    <row r="582" customFormat="false" ht="13.8" hidden="false" customHeight="false" outlineLevel="0" collapsed="false">
      <c r="A582" s="6" t="s">
        <v>838</v>
      </c>
      <c r="B582" s="1" t="s">
        <v>641</v>
      </c>
    </row>
    <row r="583" customFormat="false" ht="13.8" hidden="false" customHeight="false" outlineLevel="0" collapsed="false">
      <c r="A583" s="6" t="s">
        <v>839</v>
      </c>
      <c r="B583" s="1" t="s">
        <v>643</v>
      </c>
    </row>
    <row r="584" customFormat="false" ht="13.8" hidden="false" customHeight="false" outlineLevel="0" collapsed="false">
      <c r="A584" s="6" t="s">
        <v>840</v>
      </c>
      <c r="B584" s="1" t="s">
        <v>645</v>
      </c>
    </row>
    <row r="585" customFormat="false" ht="13.8" hidden="false" customHeight="false" outlineLevel="0" collapsed="false">
      <c r="A585" s="6" t="s">
        <v>841</v>
      </c>
      <c r="B585" s="1" t="s">
        <v>647</v>
      </c>
    </row>
    <row r="586" customFormat="false" ht="13.8" hidden="false" customHeight="false" outlineLevel="0" collapsed="false">
      <c r="A586" s="6" t="s">
        <v>842</v>
      </c>
      <c r="B586" s="1" t="s">
        <v>649</v>
      </c>
    </row>
    <row r="587" customFormat="false" ht="13.8" hidden="false" customHeight="false" outlineLevel="0" collapsed="false">
      <c r="A587" s="6" t="s">
        <v>843</v>
      </c>
      <c r="B587" s="1" t="s">
        <v>651</v>
      </c>
    </row>
    <row r="588" customFormat="false" ht="13.8" hidden="false" customHeight="false" outlineLevel="0" collapsed="false">
      <c r="A588" s="6" t="s">
        <v>844</v>
      </c>
      <c r="B588" s="1" t="s">
        <v>653</v>
      </c>
    </row>
    <row r="589" customFormat="false" ht="13.8" hidden="false" customHeight="false" outlineLevel="0" collapsed="false">
      <c r="A589" s="6" t="s">
        <v>845</v>
      </c>
      <c r="B589" s="1" t="s">
        <v>655</v>
      </c>
    </row>
    <row r="590" customFormat="false" ht="13.8" hidden="false" customHeight="false" outlineLevel="0" collapsed="false">
      <c r="A590" s="6" t="s">
        <v>846</v>
      </c>
      <c r="B590" s="1" t="s">
        <v>657</v>
      </c>
    </row>
    <row r="591" customFormat="false" ht="13.8" hidden="false" customHeight="false" outlineLevel="0" collapsed="false">
      <c r="A591" s="6" t="s">
        <v>847</v>
      </c>
      <c r="B591" s="1" t="s">
        <v>659</v>
      </c>
    </row>
    <row r="592" customFormat="false" ht="13.8" hidden="false" customHeight="false" outlineLevel="0" collapsed="false">
      <c r="A592" s="6" t="s">
        <v>848</v>
      </c>
      <c r="B592" s="1" t="s">
        <v>661</v>
      </c>
    </row>
    <row r="593" customFormat="false" ht="13.8" hidden="false" customHeight="false" outlineLevel="0" collapsed="false">
      <c r="A593" s="6" t="s">
        <v>849</v>
      </c>
      <c r="B593" s="1" t="s">
        <v>663</v>
      </c>
    </row>
    <row r="594" customFormat="false" ht="13.8" hidden="false" customHeight="false" outlineLevel="0" collapsed="false">
      <c r="A594" s="6" t="s">
        <v>850</v>
      </c>
      <c r="B594" s="1" t="s">
        <v>665</v>
      </c>
    </row>
    <row r="595" customFormat="false" ht="13.8" hidden="false" customHeight="false" outlineLevel="0" collapsed="false">
      <c r="A595" s="6" t="s">
        <v>851</v>
      </c>
      <c r="B595" s="1" t="s">
        <v>667</v>
      </c>
    </row>
    <row r="596" customFormat="false" ht="13.8" hidden="false" customHeight="false" outlineLevel="0" collapsed="false">
      <c r="A596" s="6" t="s">
        <v>852</v>
      </c>
      <c r="B596" s="1" t="s">
        <v>669</v>
      </c>
    </row>
    <row r="597" customFormat="false" ht="13.8" hidden="false" customHeight="false" outlineLevel="0" collapsed="false">
      <c r="A597" s="6" t="s">
        <v>853</v>
      </c>
      <c r="B597" s="1" t="s">
        <v>671</v>
      </c>
    </row>
    <row r="598" customFormat="false" ht="13.8" hidden="false" customHeight="false" outlineLevel="0" collapsed="false">
      <c r="A598" s="6" t="s">
        <v>854</v>
      </c>
      <c r="B598" s="1" t="s">
        <v>673</v>
      </c>
    </row>
    <row r="599" customFormat="false" ht="13.8" hidden="false" customHeight="false" outlineLevel="0" collapsed="false">
      <c r="A599" s="6" t="s">
        <v>855</v>
      </c>
      <c r="B599" s="1" t="s">
        <v>675</v>
      </c>
    </row>
    <row r="600" customFormat="false" ht="13.8" hidden="false" customHeight="false" outlineLevel="0" collapsed="false">
      <c r="A600" s="6" t="s">
        <v>856</v>
      </c>
      <c r="B600" s="1" t="s">
        <v>677</v>
      </c>
    </row>
    <row r="601" customFormat="false" ht="13.8" hidden="false" customHeight="false" outlineLevel="0" collapsed="false">
      <c r="A601" s="6" t="s">
        <v>857</v>
      </c>
      <c r="B601" s="1" t="s">
        <v>679</v>
      </c>
    </row>
    <row r="602" customFormat="false" ht="13.8" hidden="false" customHeight="false" outlineLevel="0" collapsed="false">
      <c r="A602" s="6" t="s">
        <v>858</v>
      </c>
      <c r="B602" s="1" t="s">
        <v>681</v>
      </c>
    </row>
    <row r="603" customFormat="false" ht="13.8" hidden="false" customHeight="false" outlineLevel="0" collapsed="false">
      <c r="A603" s="6" t="s">
        <v>859</v>
      </c>
      <c r="B603" s="1" t="s">
        <v>683</v>
      </c>
    </row>
    <row r="604" customFormat="false" ht="13.8" hidden="false" customHeight="false" outlineLevel="0" collapsed="false">
      <c r="A604" s="6" t="s">
        <v>860</v>
      </c>
      <c r="B604" s="1" t="s">
        <v>685</v>
      </c>
    </row>
    <row r="605" customFormat="false" ht="13.8" hidden="false" customHeight="false" outlineLevel="0" collapsed="false">
      <c r="A605" s="6" t="s">
        <v>861</v>
      </c>
      <c r="B605" s="1" t="s">
        <v>687</v>
      </c>
    </row>
    <row r="606" customFormat="false" ht="13.8" hidden="false" customHeight="false" outlineLevel="0" collapsed="false">
      <c r="A606" s="6" t="s">
        <v>862</v>
      </c>
      <c r="B606" s="1" t="s">
        <v>689</v>
      </c>
    </row>
    <row r="607" customFormat="false" ht="13.8" hidden="false" customHeight="false" outlineLevel="0" collapsed="false">
      <c r="A607" s="6" t="s">
        <v>863</v>
      </c>
      <c r="B607" s="1" t="s">
        <v>691</v>
      </c>
    </row>
    <row r="608" customFormat="false" ht="13.8" hidden="false" customHeight="false" outlineLevel="0" collapsed="false">
      <c r="A608" s="6" t="s">
        <v>864</v>
      </c>
      <c r="B608" s="1" t="s">
        <v>693</v>
      </c>
    </row>
    <row r="609" customFormat="false" ht="13.8" hidden="false" customHeight="false" outlineLevel="0" collapsed="false">
      <c r="A609" s="6" t="s">
        <v>865</v>
      </c>
      <c r="B609" s="1" t="s">
        <v>695</v>
      </c>
    </row>
    <row r="610" customFormat="false" ht="13.8" hidden="false" customHeight="false" outlineLevel="0" collapsed="false">
      <c r="A610" s="6" t="s">
        <v>866</v>
      </c>
      <c r="B610" s="1" t="s">
        <v>697</v>
      </c>
    </row>
    <row r="611" customFormat="false" ht="13.8" hidden="false" customHeight="false" outlineLevel="0" collapsed="false">
      <c r="A611" s="6" t="s">
        <v>867</v>
      </c>
      <c r="B611" s="1" t="s">
        <v>699</v>
      </c>
    </row>
    <row r="612" customFormat="false" ht="13.8" hidden="false" customHeight="false" outlineLevel="0" collapsed="false">
      <c r="A612" s="6" t="s">
        <v>868</v>
      </c>
      <c r="B612" s="1" t="s">
        <v>701</v>
      </c>
    </row>
    <row r="613" customFormat="false" ht="13.8" hidden="false" customHeight="false" outlineLevel="0" collapsed="false">
      <c r="A613" s="6" t="s">
        <v>869</v>
      </c>
      <c r="B613" s="1" t="s">
        <v>703</v>
      </c>
    </row>
    <row r="614" customFormat="false" ht="13.8" hidden="false" customHeight="false" outlineLevel="0" collapsed="false">
      <c r="A614" s="6" t="s">
        <v>870</v>
      </c>
      <c r="B614" s="1" t="s">
        <v>705</v>
      </c>
    </row>
    <row r="615" customFormat="false" ht="13.8" hidden="false" customHeight="false" outlineLevel="0" collapsed="false">
      <c r="A615" s="6" t="s">
        <v>871</v>
      </c>
      <c r="B615" s="1" t="s">
        <v>707</v>
      </c>
    </row>
    <row r="616" customFormat="false" ht="13.8" hidden="false" customHeight="false" outlineLevel="0" collapsed="false">
      <c r="A616" s="6" t="s">
        <v>872</v>
      </c>
      <c r="B616" s="1" t="s">
        <v>709</v>
      </c>
    </row>
    <row r="617" customFormat="false" ht="13.8" hidden="false" customHeight="false" outlineLevel="0" collapsed="false">
      <c r="A617" s="6" t="s">
        <v>873</v>
      </c>
      <c r="B617" s="1" t="s">
        <v>711</v>
      </c>
    </row>
    <row r="618" customFormat="false" ht="13.8" hidden="false" customHeight="false" outlineLevel="0" collapsed="false">
      <c r="A618" s="6" t="s">
        <v>874</v>
      </c>
      <c r="B618" s="1" t="s">
        <v>713</v>
      </c>
    </row>
    <row r="619" customFormat="false" ht="13.8" hidden="false" customHeight="false" outlineLevel="0" collapsed="false">
      <c r="A619" s="6" t="s">
        <v>875</v>
      </c>
      <c r="B619" s="1" t="s">
        <v>715</v>
      </c>
    </row>
    <row r="620" customFormat="false" ht="13.8" hidden="false" customHeight="false" outlineLevel="0" collapsed="false">
      <c r="A620" s="6" t="s">
        <v>876</v>
      </c>
      <c r="B620" s="1" t="s">
        <v>717</v>
      </c>
    </row>
    <row r="621" customFormat="false" ht="13.8" hidden="false" customHeight="false" outlineLevel="0" collapsed="false">
      <c r="A621" s="6" t="s">
        <v>877</v>
      </c>
      <c r="B621" s="1" t="s">
        <v>719</v>
      </c>
    </row>
    <row r="622" customFormat="false" ht="13.8" hidden="false" customHeight="false" outlineLevel="0" collapsed="false">
      <c r="A622" s="6" t="s">
        <v>878</v>
      </c>
      <c r="B622" s="1" t="s">
        <v>721</v>
      </c>
    </row>
    <row r="623" customFormat="false" ht="13.8" hidden="false" customHeight="false" outlineLevel="0" collapsed="false">
      <c r="A623" s="6" t="s">
        <v>879</v>
      </c>
      <c r="B623" s="1" t="s">
        <v>723</v>
      </c>
    </row>
    <row r="624" customFormat="false" ht="13.8" hidden="false" customHeight="false" outlineLevel="0" collapsed="false">
      <c r="A624" s="6" t="s">
        <v>880</v>
      </c>
      <c r="B624" s="1" t="s">
        <v>725</v>
      </c>
    </row>
    <row r="625" customFormat="false" ht="13.8" hidden="false" customHeight="false" outlineLevel="0" collapsed="false">
      <c r="A625" s="6" t="s">
        <v>881</v>
      </c>
      <c r="B625" s="1" t="s">
        <v>727</v>
      </c>
    </row>
    <row r="626" customFormat="false" ht="13.8" hidden="false" customHeight="false" outlineLevel="0" collapsed="false">
      <c r="A626" s="6" t="s">
        <v>882</v>
      </c>
      <c r="B626" s="1" t="s">
        <v>729</v>
      </c>
    </row>
    <row r="627" customFormat="false" ht="13.8" hidden="false" customHeight="false" outlineLevel="0" collapsed="false">
      <c r="A627" s="6" t="s">
        <v>883</v>
      </c>
      <c r="B627" s="1" t="s">
        <v>731</v>
      </c>
    </row>
    <row r="628" customFormat="false" ht="13.8" hidden="false" customHeight="false" outlineLevel="0" collapsed="false">
      <c r="A628" s="6" t="s">
        <v>884</v>
      </c>
      <c r="B628" s="1" t="s">
        <v>733</v>
      </c>
    </row>
    <row r="629" customFormat="false" ht="13.8" hidden="false" customHeight="false" outlineLevel="0" collapsed="false">
      <c r="A629" s="6" t="s">
        <v>885</v>
      </c>
      <c r="B629" s="1" t="s">
        <v>735</v>
      </c>
    </row>
    <row r="630" customFormat="false" ht="13.8" hidden="false" customHeight="false" outlineLevel="0" collapsed="false">
      <c r="A630" s="6" t="s">
        <v>886</v>
      </c>
      <c r="B630" s="1" t="s">
        <v>737</v>
      </c>
    </row>
    <row r="631" customFormat="false" ht="13.8" hidden="false" customHeight="false" outlineLevel="0" collapsed="false">
      <c r="A631" s="6" t="s">
        <v>887</v>
      </c>
      <c r="B631" s="1" t="s">
        <v>739</v>
      </c>
    </row>
    <row r="632" customFormat="false" ht="13.8" hidden="false" customHeight="false" outlineLevel="0" collapsed="false">
      <c r="A632" s="6" t="s">
        <v>888</v>
      </c>
      <c r="B632" s="1" t="s">
        <v>741</v>
      </c>
    </row>
    <row r="633" customFormat="false" ht="13.8" hidden="false" customHeight="false" outlineLevel="0" collapsed="false">
      <c r="A633" s="6" t="s">
        <v>889</v>
      </c>
      <c r="B633" s="1" t="s">
        <v>743</v>
      </c>
    </row>
    <row r="634" customFormat="false" ht="13.8" hidden="false" customHeight="false" outlineLevel="0" collapsed="false">
      <c r="A634" s="6" t="s">
        <v>890</v>
      </c>
      <c r="B634" s="1" t="s">
        <v>745</v>
      </c>
    </row>
    <row r="635" customFormat="false" ht="13.8" hidden="false" customHeight="false" outlineLevel="0" collapsed="false">
      <c r="A635" s="6" t="s">
        <v>891</v>
      </c>
      <c r="B635" s="1" t="s">
        <v>747</v>
      </c>
    </row>
    <row r="636" customFormat="false" ht="13.8" hidden="false" customHeight="false" outlineLevel="0" collapsed="false">
      <c r="A636" s="6" t="s">
        <v>892</v>
      </c>
      <c r="B636" s="1" t="s">
        <v>749</v>
      </c>
    </row>
    <row r="637" customFormat="false" ht="13.8" hidden="false" customHeight="false" outlineLevel="0" collapsed="false">
      <c r="A637" s="6" t="s">
        <v>893</v>
      </c>
      <c r="B637" s="1" t="s">
        <v>751</v>
      </c>
    </row>
    <row r="638" customFormat="false" ht="13.8" hidden="false" customHeight="false" outlineLevel="0" collapsed="false">
      <c r="A638" s="6" t="s">
        <v>894</v>
      </c>
      <c r="B638" s="1" t="s">
        <v>753</v>
      </c>
    </row>
    <row r="639" customFormat="false" ht="13.8" hidden="false" customHeight="false" outlineLevel="0" collapsed="false">
      <c r="A639" s="6" t="s">
        <v>895</v>
      </c>
      <c r="B639" s="1" t="s">
        <v>755</v>
      </c>
    </row>
    <row r="640" customFormat="false" ht="13.8" hidden="false" customHeight="false" outlineLevel="0" collapsed="false">
      <c r="A640" s="6" t="s">
        <v>896</v>
      </c>
      <c r="B640" s="1" t="s">
        <v>757</v>
      </c>
    </row>
    <row r="641" customFormat="false" ht="13.8" hidden="false" customHeight="false" outlineLevel="0" collapsed="false">
      <c r="A641" s="6" t="s">
        <v>897</v>
      </c>
      <c r="B641" s="1" t="s">
        <v>759</v>
      </c>
    </row>
    <row r="642" customFormat="false" ht="13.8" hidden="false" customHeight="false" outlineLevel="0" collapsed="false">
      <c r="A642" s="6" t="s">
        <v>898</v>
      </c>
      <c r="B642" s="1" t="s">
        <v>761</v>
      </c>
    </row>
    <row r="643" customFormat="false" ht="13.8" hidden="false" customHeight="false" outlineLevel="0" collapsed="false">
      <c r="A643" s="6" t="s">
        <v>899</v>
      </c>
      <c r="B643" s="1" t="s">
        <v>763</v>
      </c>
    </row>
    <row r="644" customFormat="false" ht="13.8" hidden="false" customHeight="false" outlineLevel="0" collapsed="false">
      <c r="A644" s="6" t="s">
        <v>900</v>
      </c>
      <c r="B644" s="1" t="s">
        <v>765</v>
      </c>
    </row>
    <row r="645" customFormat="false" ht="13.8" hidden="false" customHeight="false" outlineLevel="0" collapsed="false">
      <c r="A645" s="6" t="s">
        <v>901</v>
      </c>
      <c r="B645" s="1" t="s">
        <v>767</v>
      </c>
    </row>
    <row r="646" customFormat="false" ht="13.8" hidden="false" customHeight="false" outlineLevel="0" collapsed="false">
      <c r="A646" s="6" t="s">
        <v>902</v>
      </c>
      <c r="B646" s="1" t="s">
        <v>769</v>
      </c>
    </row>
    <row r="647" customFormat="false" ht="13.8" hidden="false" customHeight="false" outlineLevel="0" collapsed="false">
      <c r="A647" s="6" t="s">
        <v>903</v>
      </c>
      <c r="B647" s="1" t="s">
        <v>771</v>
      </c>
    </row>
    <row r="648" customFormat="false" ht="13.8" hidden="false" customHeight="false" outlineLevel="0" collapsed="false">
      <c r="A648" s="6" t="s">
        <v>904</v>
      </c>
      <c r="B648" s="1" t="s">
        <v>773</v>
      </c>
    </row>
    <row r="649" customFormat="false" ht="13.8" hidden="false" customHeight="false" outlineLevel="0" collapsed="false">
      <c r="A649" s="6" t="s">
        <v>905</v>
      </c>
      <c r="B649" s="1" t="s">
        <v>775</v>
      </c>
    </row>
    <row r="650" customFormat="false" ht="13.8" hidden="false" customHeight="false" outlineLevel="0" collapsed="false">
      <c r="A650" s="6" t="s">
        <v>906</v>
      </c>
    </row>
    <row r="651" customFormat="false" ht="13.8" hidden="false" customHeight="false" outlineLevel="0" collapsed="false">
      <c r="A651" s="6" t="s">
        <v>907</v>
      </c>
    </row>
    <row r="652" customFormat="false" ht="13.8" hidden="false" customHeight="false" outlineLevel="0" collapsed="false">
      <c r="A652" s="7" t="s">
        <v>908</v>
      </c>
      <c r="B652" s="1" t="s">
        <v>909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6"/>
  <sheetViews>
    <sheetView showFormulas="false" showGridLines="true" showRowColHeaders="true" showZeros="true" rightToLeft="false" tabSelected="false" showOutlineSymbols="true" defaultGridColor="true" view="normal" topLeftCell="A66" colorId="64" zoomScale="100" zoomScaleNormal="100" zoomScalePageLayoutView="100" workbookViewId="0">
      <selection pane="topLeft" activeCell="C79" activeCellId="0" sqref="C79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18.96"/>
  </cols>
  <sheetData>
    <row r="1" customFormat="false" ht="13.8" hidden="false" customHeight="false" outlineLevel="0" collapsed="false">
      <c r="A1" s="1" t="s">
        <v>910</v>
      </c>
      <c r="B1" s="1" t="s">
        <v>911</v>
      </c>
    </row>
    <row r="2" customFormat="false" ht="13.8" hidden="false" customHeight="false" outlineLevel="0" collapsed="false">
      <c r="A2" s="2" t="s">
        <v>912</v>
      </c>
      <c r="B2" s="1" t="s">
        <v>913</v>
      </c>
    </row>
    <row r="3" customFormat="false" ht="13.8" hidden="false" customHeight="false" outlineLevel="0" collapsed="false">
      <c r="A3" s="2" t="s">
        <v>914</v>
      </c>
      <c r="B3" s="1" t="s">
        <v>915</v>
      </c>
    </row>
    <row r="4" customFormat="false" ht="13.8" hidden="false" customHeight="false" outlineLevel="0" collapsed="false">
      <c r="A4" s="2" t="s">
        <v>916</v>
      </c>
      <c r="B4" s="1" t="s">
        <v>917</v>
      </c>
    </row>
    <row r="5" customFormat="false" ht="13.8" hidden="false" customHeight="false" outlineLevel="0" collapsed="false">
      <c r="A5" s="2" t="s">
        <v>918</v>
      </c>
      <c r="B5" s="1" t="s">
        <v>919</v>
      </c>
    </row>
    <row r="6" customFormat="false" ht="13.8" hidden="false" customHeight="false" outlineLevel="0" collapsed="false">
      <c r="A6" s="2" t="s">
        <v>920</v>
      </c>
      <c r="B6" s="1" t="s">
        <v>921</v>
      </c>
    </row>
    <row r="7" customFormat="false" ht="13.8" hidden="false" customHeight="false" outlineLevel="0" collapsed="false">
      <c r="A7" s="2" t="s">
        <v>922</v>
      </c>
      <c r="B7" s="1" t="s">
        <v>923</v>
      </c>
    </row>
    <row r="8" customFormat="false" ht="13.8" hidden="false" customHeight="false" outlineLevel="0" collapsed="false">
      <c r="A8" s="2" t="s">
        <v>924</v>
      </c>
      <c r="B8" s="1" t="s">
        <v>925</v>
      </c>
    </row>
    <row r="9" customFormat="false" ht="13.8" hidden="false" customHeight="false" outlineLevel="0" collapsed="false">
      <c r="A9" s="2" t="s">
        <v>926</v>
      </c>
      <c r="B9" s="1" t="s">
        <v>927</v>
      </c>
    </row>
    <row r="10" customFormat="false" ht="13.8" hidden="false" customHeight="false" outlineLevel="0" collapsed="false">
      <c r="A10" s="2" t="s">
        <v>928</v>
      </c>
      <c r="B10" s="1" t="s">
        <v>929</v>
      </c>
    </row>
    <row r="11" customFormat="false" ht="13.8" hidden="false" customHeight="false" outlineLevel="0" collapsed="false">
      <c r="A11" s="2" t="s">
        <v>930</v>
      </c>
      <c r="B11" s="1" t="s">
        <v>931</v>
      </c>
    </row>
    <row r="12" customFormat="false" ht="13.8" hidden="false" customHeight="false" outlineLevel="0" collapsed="false">
      <c r="A12" s="2" t="s">
        <v>932</v>
      </c>
      <c r="B12" s="1" t="s">
        <v>933</v>
      </c>
    </row>
    <row r="13" customFormat="false" ht="13.8" hidden="false" customHeight="false" outlineLevel="0" collapsed="false">
      <c r="A13" s="2" t="s">
        <v>934</v>
      </c>
      <c r="B13" s="1" t="s">
        <v>935</v>
      </c>
    </row>
    <row r="14" customFormat="false" ht="13.8" hidden="false" customHeight="false" outlineLevel="0" collapsed="false">
      <c r="A14" s="2" t="s">
        <v>936</v>
      </c>
      <c r="B14" s="1" t="s">
        <v>937</v>
      </c>
    </row>
    <row r="15" customFormat="false" ht="13.8" hidden="false" customHeight="false" outlineLevel="0" collapsed="false">
      <c r="A15" s="2" t="s">
        <v>938</v>
      </c>
      <c r="B15" s="1" t="s">
        <v>939</v>
      </c>
    </row>
    <row r="16" customFormat="false" ht="13.8" hidden="false" customHeight="false" outlineLevel="0" collapsed="false">
      <c r="A16" s="2" t="s">
        <v>940</v>
      </c>
      <c r="B16" s="1" t="s">
        <v>941</v>
      </c>
    </row>
    <row r="17" customFormat="false" ht="13.8" hidden="false" customHeight="false" outlineLevel="0" collapsed="false">
      <c r="A17" s="2" t="s">
        <v>942</v>
      </c>
      <c r="B17" s="1" t="s">
        <v>943</v>
      </c>
    </row>
    <row r="18" customFormat="false" ht="13.8" hidden="false" customHeight="false" outlineLevel="0" collapsed="false">
      <c r="A18" s="2" t="s">
        <v>944</v>
      </c>
      <c r="B18" s="1" t="s">
        <v>945</v>
      </c>
    </row>
    <row r="19" customFormat="false" ht="13.8" hidden="false" customHeight="false" outlineLevel="0" collapsed="false">
      <c r="A19" s="2" t="s">
        <v>946</v>
      </c>
      <c r="B19" s="1" t="s">
        <v>947</v>
      </c>
    </row>
    <row r="20" customFormat="false" ht="13.8" hidden="false" customHeight="false" outlineLevel="0" collapsed="false">
      <c r="A20" s="2" t="s">
        <v>948</v>
      </c>
      <c r="B20" s="1" t="s">
        <v>949</v>
      </c>
    </row>
    <row r="21" customFormat="false" ht="13.8" hidden="false" customHeight="false" outlineLevel="0" collapsed="false">
      <c r="A21" s="2" t="s">
        <v>950</v>
      </c>
      <c r="B21" s="1" t="s">
        <v>951</v>
      </c>
    </row>
    <row r="22" customFormat="false" ht="13.8" hidden="false" customHeight="false" outlineLevel="0" collapsed="false">
      <c r="A22" s="2" t="s">
        <v>952</v>
      </c>
      <c r="B22" s="1" t="s">
        <v>953</v>
      </c>
    </row>
    <row r="23" customFormat="false" ht="13.8" hidden="false" customHeight="false" outlineLevel="0" collapsed="false">
      <c r="A23" s="2" t="s">
        <v>954</v>
      </c>
      <c r="B23" s="1" t="s">
        <v>955</v>
      </c>
    </row>
    <row r="24" customFormat="false" ht="13.8" hidden="false" customHeight="false" outlineLevel="0" collapsed="false">
      <c r="A24" s="2" t="s">
        <v>956</v>
      </c>
      <c r="B24" s="1" t="s">
        <v>957</v>
      </c>
    </row>
    <row r="25" customFormat="false" ht="13.8" hidden="false" customHeight="false" outlineLevel="0" collapsed="false">
      <c r="A25" s="2" t="s">
        <v>958</v>
      </c>
      <c r="B25" s="1" t="s">
        <v>959</v>
      </c>
    </row>
    <row r="26" customFormat="false" ht="13.8" hidden="false" customHeight="false" outlineLevel="0" collapsed="false">
      <c r="A26" s="2" t="s">
        <v>960</v>
      </c>
      <c r="B26" s="1" t="s">
        <v>961</v>
      </c>
    </row>
    <row r="27" customFormat="false" ht="13.8" hidden="false" customHeight="false" outlineLevel="0" collapsed="false">
      <c r="A27" s="2" t="s">
        <v>962</v>
      </c>
      <c r="B27" s="1" t="s">
        <v>963</v>
      </c>
    </row>
    <row r="28" customFormat="false" ht="13.8" hidden="false" customHeight="false" outlineLevel="0" collapsed="false">
      <c r="A28" s="2" t="s">
        <v>964</v>
      </c>
      <c r="B28" s="1" t="s">
        <v>965</v>
      </c>
    </row>
    <row r="29" customFormat="false" ht="13.8" hidden="false" customHeight="false" outlineLevel="0" collapsed="false">
      <c r="A29" s="2" t="s">
        <v>966</v>
      </c>
      <c r="B29" s="1" t="s">
        <v>967</v>
      </c>
    </row>
    <row r="30" customFormat="false" ht="13.8" hidden="false" customHeight="false" outlineLevel="0" collapsed="false">
      <c r="A30" s="2" t="s">
        <v>968</v>
      </c>
      <c r="B30" s="1" t="s">
        <v>969</v>
      </c>
    </row>
    <row r="31" customFormat="false" ht="13.8" hidden="false" customHeight="false" outlineLevel="0" collapsed="false">
      <c r="A31" s="2" t="s">
        <v>970</v>
      </c>
      <c r="B31" s="1" t="s">
        <v>971</v>
      </c>
    </row>
    <row r="32" customFormat="false" ht="13.8" hidden="false" customHeight="false" outlineLevel="0" collapsed="false">
      <c r="A32" s="2" t="s">
        <v>972</v>
      </c>
      <c r="B32" s="1" t="s">
        <v>973</v>
      </c>
    </row>
    <row r="33" customFormat="false" ht="13.8" hidden="false" customHeight="false" outlineLevel="0" collapsed="false">
      <c r="A33" s="2" t="s">
        <v>974</v>
      </c>
      <c r="B33" s="1" t="s">
        <v>975</v>
      </c>
    </row>
    <row r="34" customFormat="false" ht="13.8" hidden="false" customHeight="false" outlineLevel="0" collapsed="false">
      <c r="A34" s="2" t="s">
        <v>976</v>
      </c>
      <c r="B34" s="1" t="s">
        <v>977</v>
      </c>
    </row>
    <row r="35" customFormat="false" ht="13.8" hidden="false" customHeight="false" outlineLevel="0" collapsed="false">
      <c r="A35" s="2" t="s">
        <v>978</v>
      </c>
      <c r="B35" s="1" t="s">
        <v>979</v>
      </c>
    </row>
    <row r="36" customFormat="false" ht="13.8" hidden="false" customHeight="false" outlineLevel="0" collapsed="false">
      <c r="A36" s="2" t="s">
        <v>980</v>
      </c>
      <c r="B36" s="1" t="s">
        <v>981</v>
      </c>
    </row>
    <row r="37" customFormat="false" ht="13.8" hidden="false" customHeight="false" outlineLevel="0" collapsed="false">
      <c r="A37" s="2" t="s">
        <v>982</v>
      </c>
      <c r="B37" s="1" t="s">
        <v>983</v>
      </c>
    </row>
    <row r="38" customFormat="false" ht="13.8" hidden="false" customHeight="false" outlineLevel="0" collapsed="false">
      <c r="A38" s="2" t="s">
        <v>984</v>
      </c>
      <c r="B38" s="1" t="s">
        <v>985</v>
      </c>
    </row>
    <row r="39" customFormat="false" ht="13.8" hidden="false" customHeight="false" outlineLevel="0" collapsed="false">
      <c r="A39" s="2" t="s">
        <v>986</v>
      </c>
      <c r="B39" s="1" t="s">
        <v>987</v>
      </c>
    </row>
    <row r="40" customFormat="false" ht="13.8" hidden="false" customHeight="false" outlineLevel="0" collapsed="false">
      <c r="A40" s="2" t="s">
        <v>988</v>
      </c>
      <c r="B40" s="1" t="s">
        <v>989</v>
      </c>
    </row>
    <row r="41" customFormat="false" ht="13.8" hidden="false" customHeight="false" outlineLevel="0" collapsed="false">
      <c r="A41" s="2" t="s">
        <v>990</v>
      </c>
      <c r="B41" s="1" t="s">
        <v>991</v>
      </c>
    </row>
    <row r="42" customFormat="false" ht="13.8" hidden="false" customHeight="false" outlineLevel="0" collapsed="false">
      <c r="A42" s="2" t="s">
        <v>992</v>
      </c>
      <c r="B42" s="1" t="s">
        <v>993</v>
      </c>
    </row>
    <row r="43" customFormat="false" ht="13.8" hidden="false" customHeight="false" outlineLevel="0" collapsed="false">
      <c r="A43" s="2" t="s">
        <v>994</v>
      </c>
      <c r="B43" s="1" t="s">
        <v>995</v>
      </c>
    </row>
    <row r="44" customFormat="false" ht="13.8" hidden="false" customHeight="false" outlineLevel="0" collapsed="false">
      <c r="A44" s="2" t="s">
        <v>996</v>
      </c>
      <c r="B44" s="1" t="s">
        <v>997</v>
      </c>
    </row>
    <row r="45" customFormat="false" ht="13.8" hidden="false" customHeight="false" outlineLevel="0" collapsed="false">
      <c r="A45" s="2" t="s">
        <v>998</v>
      </c>
      <c r="B45" s="1" t="s">
        <v>999</v>
      </c>
    </row>
    <row r="46" customFormat="false" ht="13.8" hidden="false" customHeight="false" outlineLevel="0" collapsed="false">
      <c r="A46" s="2" t="s">
        <v>1000</v>
      </c>
      <c r="B46" s="1" t="s">
        <v>1001</v>
      </c>
    </row>
    <row r="47" customFormat="false" ht="13.8" hidden="false" customHeight="false" outlineLevel="0" collapsed="false">
      <c r="A47" s="2" t="s">
        <v>1002</v>
      </c>
      <c r="B47" s="1" t="s">
        <v>1003</v>
      </c>
    </row>
    <row r="48" customFormat="false" ht="13.8" hidden="false" customHeight="false" outlineLevel="0" collapsed="false">
      <c r="A48" s="2" t="s">
        <v>1004</v>
      </c>
      <c r="B48" s="1" t="s">
        <v>1005</v>
      </c>
    </row>
    <row r="49" customFormat="false" ht="13.8" hidden="false" customHeight="false" outlineLevel="0" collapsed="false">
      <c r="A49" s="2" t="s">
        <v>1006</v>
      </c>
      <c r="B49" s="1" t="s">
        <v>1007</v>
      </c>
    </row>
    <row r="50" customFormat="false" ht="13.8" hidden="false" customHeight="false" outlineLevel="0" collapsed="false">
      <c r="A50" s="2" t="s">
        <v>1008</v>
      </c>
      <c r="B50" s="1" t="s">
        <v>1009</v>
      </c>
    </row>
    <row r="51" customFormat="false" ht="13.8" hidden="false" customHeight="false" outlineLevel="0" collapsed="false">
      <c r="A51" s="2" t="s">
        <v>1010</v>
      </c>
      <c r="B51" s="1" t="s">
        <v>1011</v>
      </c>
    </row>
    <row r="52" customFormat="false" ht="13.8" hidden="false" customHeight="false" outlineLevel="0" collapsed="false">
      <c r="A52" s="2" t="s">
        <v>1012</v>
      </c>
      <c r="B52" s="1" t="s">
        <v>1013</v>
      </c>
    </row>
    <row r="53" customFormat="false" ht="13.8" hidden="false" customHeight="false" outlineLevel="0" collapsed="false">
      <c r="A53" s="2" t="s">
        <v>1014</v>
      </c>
      <c r="B53" s="1" t="s">
        <v>1015</v>
      </c>
    </row>
    <row r="54" customFormat="false" ht="13.8" hidden="false" customHeight="false" outlineLevel="0" collapsed="false">
      <c r="A54" s="2" t="s">
        <v>1016</v>
      </c>
      <c r="B54" s="1" t="s">
        <v>1017</v>
      </c>
    </row>
    <row r="55" customFormat="false" ht="13.8" hidden="false" customHeight="false" outlineLevel="0" collapsed="false">
      <c r="A55" s="2" t="s">
        <v>1018</v>
      </c>
      <c r="B55" s="1" t="s">
        <v>1019</v>
      </c>
    </row>
    <row r="56" customFormat="false" ht="13.8" hidden="false" customHeight="false" outlineLevel="0" collapsed="false">
      <c r="A56" s="2" t="s">
        <v>1020</v>
      </c>
      <c r="B56" s="1" t="s">
        <v>1021</v>
      </c>
    </row>
    <row r="57" customFormat="false" ht="13.8" hidden="false" customHeight="false" outlineLevel="0" collapsed="false">
      <c r="A57" s="2" t="s">
        <v>1022</v>
      </c>
      <c r="B57" s="1" t="s">
        <v>1023</v>
      </c>
    </row>
    <row r="58" customFormat="false" ht="13.8" hidden="false" customHeight="false" outlineLevel="0" collapsed="false">
      <c r="A58" s="2" t="s">
        <v>1024</v>
      </c>
      <c r="B58" s="1" t="s">
        <v>1025</v>
      </c>
    </row>
    <row r="59" customFormat="false" ht="13.8" hidden="false" customHeight="false" outlineLevel="0" collapsed="false">
      <c r="A59" s="2" t="s">
        <v>1026</v>
      </c>
      <c r="B59" s="1" t="s">
        <v>1027</v>
      </c>
    </row>
    <row r="60" customFormat="false" ht="13.8" hidden="false" customHeight="false" outlineLevel="0" collapsed="false">
      <c r="A60" s="2" t="s">
        <v>1028</v>
      </c>
      <c r="B60" s="1" t="s">
        <v>1029</v>
      </c>
    </row>
    <row r="61" customFormat="false" ht="13.8" hidden="false" customHeight="false" outlineLevel="0" collapsed="false">
      <c r="A61" s="2" t="s">
        <v>1030</v>
      </c>
      <c r="B61" s="1" t="s">
        <v>1031</v>
      </c>
    </row>
    <row r="62" customFormat="false" ht="13.8" hidden="false" customHeight="false" outlineLevel="0" collapsed="false">
      <c r="A62" s="2" t="s">
        <v>1032</v>
      </c>
      <c r="B62" s="1" t="s">
        <v>1033</v>
      </c>
    </row>
    <row r="63" customFormat="false" ht="13.8" hidden="false" customHeight="false" outlineLevel="0" collapsed="false">
      <c r="A63" s="2" t="s">
        <v>1034</v>
      </c>
      <c r="B63" s="1" t="s">
        <v>1035</v>
      </c>
    </row>
    <row r="64" customFormat="false" ht="13.8" hidden="false" customHeight="false" outlineLevel="0" collapsed="false">
      <c r="A64" s="2" t="s">
        <v>1036</v>
      </c>
      <c r="B64" s="1" t="s">
        <v>1037</v>
      </c>
    </row>
    <row r="65" customFormat="false" ht="13.8" hidden="false" customHeight="false" outlineLevel="0" collapsed="false">
      <c r="A65" s="2" t="s">
        <v>1038</v>
      </c>
      <c r="B65" s="1" t="s">
        <v>1039</v>
      </c>
    </row>
    <row r="66" customFormat="false" ht="13.8" hidden="false" customHeight="false" outlineLevel="0" collapsed="false">
      <c r="A66" s="2" t="s">
        <v>1040</v>
      </c>
      <c r="B66" s="1" t="s">
        <v>1041</v>
      </c>
    </row>
    <row r="67" customFormat="false" ht="13.8" hidden="false" customHeight="false" outlineLevel="0" collapsed="false">
      <c r="A67" s="2" t="s">
        <v>1042</v>
      </c>
      <c r="B67" s="1" t="s">
        <v>1043</v>
      </c>
    </row>
    <row r="68" customFormat="false" ht="13.8" hidden="false" customHeight="false" outlineLevel="0" collapsed="false">
      <c r="A68" s="2" t="s">
        <v>1044</v>
      </c>
      <c r="B68" s="1" t="s">
        <v>1045</v>
      </c>
    </row>
    <row r="69" customFormat="false" ht="13.8" hidden="false" customHeight="false" outlineLevel="0" collapsed="false">
      <c r="A69" s="2" t="s">
        <v>1046</v>
      </c>
      <c r="B69" s="1" t="s">
        <v>1047</v>
      </c>
    </row>
    <row r="70" customFormat="false" ht="13.8" hidden="false" customHeight="false" outlineLevel="0" collapsed="false">
      <c r="A70" s="2" t="s">
        <v>1048</v>
      </c>
      <c r="B70" s="1" t="s">
        <v>1049</v>
      </c>
    </row>
    <row r="71" customFormat="false" ht="13.8" hidden="false" customHeight="false" outlineLevel="0" collapsed="false">
      <c r="A71" s="3" t="s">
        <v>1050</v>
      </c>
      <c r="B71" s="1" t="s">
        <v>1051</v>
      </c>
    </row>
    <row r="72" customFormat="false" ht="13.8" hidden="false" customHeight="false" outlineLevel="0" collapsed="false">
      <c r="A72" s="4" t="s">
        <v>1052</v>
      </c>
    </row>
    <row r="73" customFormat="false" ht="13.8" hidden="false" customHeight="false" outlineLevel="0" collapsed="false">
      <c r="A73" s="4" t="s">
        <v>1053</v>
      </c>
      <c r="B73" s="1" t="s">
        <v>1054</v>
      </c>
    </row>
    <row r="74" customFormat="false" ht="13.8" hidden="false" customHeight="false" outlineLevel="0" collapsed="false">
      <c r="A74" s="4" t="s">
        <v>1055</v>
      </c>
      <c r="B74" s="1" t="s">
        <v>1056</v>
      </c>
    </row>
    <row r="75" customFormat="false" ht="13.8" hidden="false" customHeight="false" outlineLevel="0" collapsed="false">
      <c r="A75" s="4" t="s">
        <v>1057</v>
      </c>
      <c r="B75" s="1" t="s">
        <v>1058</v>
      </c>
    </row>
    <row r="76" customFormat="false" ht="13.8" hidden="false" customHeight="false" outlineLevel="0" collapsed="false">
      <c r="A76" s="4" t="s">
        <v>1059</v>
      </c>
      <c r="B76" s="1" t="s">
        <v>1060</v>
      </c>
    </row>
    <row r="77" customFormat="false" ht="13.8" hidden="false" customHeight="false" outlineLevel="0" collapsed="false">
      <c r="A77" s="4" t="s">
        <v>1061</v>
      </c>
      <c r="B77" s="1" t="s">
        <v>1062</v>
      </c>
    </row>
    <row r="78" customFormat="false" ht="13.8" hidden="false" customHeight="false" outlineLevel="0" collapsed="false">
      <c r="A78" s="4" t="s">
        <v>1063</v>
      </c>
      <c r="B78" s="1" t="s">
        <v>1064</v>
      </c>
    </row>
    <row r="79" customFormat="false" ht="13.8" hidden="false" customHeight="false" outlineLevel="0" collapsed="false">
      <c r="A79" s="4" t="s">
        <v>1065</v>
      </c>
      <c r="B79" s="1" t="s">
        <v>1066</v>
      </c>
    </row>
    <row r="80" customFormat="false" ht="13.8" hidden="false" customHeight="false" outlineLevel="0" collapsed="false">
      <c r="A80" s="4" t="s">
        <v>1067</v>
      </c>
    </row>
    <row r="81" customFormat="false" ht="13.8" hidden="false" customHeight="false" outlineLevel="0" collapsed="false">
      <c r="A81" s="5" t="s">
        <v>1068</v>
      </c>
      <c r="B81" s="1" t="s">
        <v>1069</v>
      </c>
    </row>
    <row r="82" customFormat="false" ht="13.8" hidden="false" customHeight="false" outlineLevel="0" collapsed="false">
      <c r="A82" s="5" t="s">
        <v>1070</v>
      </c>
      <c r="B82" s="1" t="s">
        <v>1071</v>
      </c>
    </row>
    <row r="83" customFormat="false" ht="13.8" hidden="false" customHeight="false" outlineLevel="0" collapsed="false">
      <c r="A83" s="5" t="s">
        <v>1072</v>
      </c>
      <c r="B83" s="1" t="s">
        <v>1073</v>
      </c>
    </row>
    <row r="84" customFormat="false" ht="13.8" hidden="false" customHeight="false" outlineLevel="0" collapsed="false">
      <c r="A84" s="5" t="s">
        <v>1074</v>
      </c>
      <c r="B84" s="1" t="s">
        <v>1075</v>
      </c>
    </row>
    <row r="85" customFormat="false" ht="13.8" hidden="false" customHeight="false" outlineLevel="0" collapsed="false">
      <c r="A85" s="5" t="s">
        <v>1076</v>
      </c>
      <c r="B85" s="1" t="s">
        <v>1077</v>
      </c>
    </row>
    <row r="86" customFormat="false" ht="13.8" hidden="false" customHeight="false" outlineLevel="0" collapsed="false">
      <c r="A86" s="5" t="s">
        <v>1078</v>
      </c>
      <c r="B86" s="1" t="s">
        <v>1079</v>
      </c>
    </row>
    <row r="87" customFormat="false" ht="13.8" hidden="false" customHeight="false" outlineLevel="0" collapsed="false">
      <c r="A87" s="5" t="s">
        <v>1080</v>
      </c>
      <c r="B87" s="1" t="s">
        <v>1081</v>
      </c>
    </row>
    <row r="88" customFormat="false" ht="13.8" hidden="false" customHeight="false" outlineLevel="0" collapsed="false">
      <c r="A88" s="5" t="s">
        <v>1082</v>
      </c>
      <c r="B88" s="1" t="s">
        <v>1083</v>
      </c>
    </row>
    <row r="89" customFormat="false" ht="13.8" hidden="false" customHeight="false" outlineLevel="0" collapsed="false">
      <c r="A89" s="5" t="s">
        <v>1084</v>
      </c>
      <c r="B89" s="1" t="s">
        <v>1085</v>
      </c>
    </row>
    <row r="90" customFormat="false" ht="13.8" hidden="false" customHeight="false" outlineLevel="0" collapsed="false">
      <c r="A90" s="5" t="s">
        <v>1086</v>
      </c>
      <c r="B90" s="1" t="s">
        <v>1087</v>
      </c>
    </row>
    <row r="91" customFormat="false" ht="13.8" hidden="false" customHeight="false" outlineLevel="0" collapsed="false">
      <c r="A91" s="5" t="s">
        <v>1088</v>
      </c>
      <c r="B91" s="1" t="s">
        <v>1089</v>
      </c>
    </row>
    <row r="92" customFormat="false" ht="13.8" hidden="false" customHeight="false" outlineLevel="0" collapsed="false">
      <c r="A92" s="5" t="s">
        <v>1090</v>
      </c>
      <c r="B92" s="1" t="s">
        <v>1091</v>
      </c>
    </row>
    <row r="93" customFormat="false" ht="13.8" hidden="false" customHeight="false" outlineLevel="0" collapsed="false">
      <c r="A93" s="5" t="s">
        <v>1092</v>
      </c>
      <c r="B93" s="1" t="s">
        <v>1093</v>
      </c>
    </row>
    <row r="94" customFormat="false" ht="13.8" hidden="false" customHeight="false" outlineLevel="0" collapsed="false">
      <c r="A94" s="5" t="s">
        <v>1094</v>
      </c>
      <c r="B94" s="1" t="s">
        <v>1095</v>
      </c>
    </row>
    <row r="95" customFormat="false" ht="13.8" hidden="false" customHeight="false" outlineLevel="0" collapsed="false">
      <c r="A95" s="5" t="s">
        <v>1096</v>
      </c>
      <c r="B95" s="1" t="s">
        <v>1097</v>
      </c>
    </row>
    <row r="96" customFormat="false" ht="13.8" hidden="false" customHeight="false" outlineLevel="0" collapsed="false">
      <c r="A96" s="5" t="s">
        <v>1098</v>
      </c>
      <c r="B96" s="1" t="s">
        <v>1099</v>
      </c>
    </row>
    <row r="97" customFormat="false" ht="13.8" hidden="false" customHeight="false" outlineLevel="0" collapsed="false">
      <c r="A97" s="5" t="s">
        <v>1100</v>
      </c>
      <c r="B97" s="1" t="s">
        <v>1101</v>
      </c>
    </row>
    <row r="98" customFormat="false" ht="13.8" hidden="false" customHeight="false" outlineLevel="0" collapsed="false">
      <c r="A98" s="5" t="s">
        <v>1102</v>
      </c>
      <c r="B98" s="1" t="s">
        <v>1103</v>
      </c>
    </row>
    <row r="99" customFormat="false" ht="13.8" hidden="false" customHeight="false" outlineLevel="0" collapsed="false">
      <c r="A99" s="5" t="s">
        <v>1104</v>
      </c>
      <c r="B99" s="1" t="s">
        <v>1105</v>
      </c>
    </row>
    <row r="100" customFormat="false" ht="13.8" hidden="false" customHeight="false" outlineLevel="0" collapsed="false">
      <c r="A100" s="5" t="s">
        <v>1106</v>
      </c>
      <c r="B100" s="1" t="s">
        <v>1107</v>
      </c>
    </row>
    <row r="101" customFormat="false" ht="13.8" hidden="false" customHeight="false" outlineLevel="0" collapsed="false">
      <c r="A101" s="5" t="s">
        <v>1108</v>
      </c>
      <c r="B101" s="1" t="s">
        <v>1109</v>
      </c>
    </row>
    <row r="102" customFormat="false" ht="13.8" hidden="false" customHeight="false" outlineLevel="0" collapsed="false">
      <c r="A102" s="5" t="s">
        <v>1110</v>
      </c>
      <c r="B102" s="1" t="s">
        <v>1111</v>
      </c>
    </row>
    <row r="103" customFormat="false" ht="13.8" hidden="false" customHeight="false" outlineLevel="0" collapsed="false">
      <c r="A103" s="5" t="s">
        <v>1112</v>
      </c>
      <c r="B103" s="1" t="s">
        <v>1113</v>
      </c>
    </row>
    <row r="104" customFormat="false" ht="13.8" hidden="false" customHeight="false" outlineLevel="0" collapsed="false">
      <c r="A104" s="5" t="s">
        <v>1114</v>
      </c>
      <c r="B104" s="1" t="s">
        <v>1115</v>
      </c>
    </row>
    <row r="105" customFormat="false" ht="13.8" hidden="false" customHeight="false" outlineLevel="0" collapsed="false">
      <c r="A105" s="5" t="s">
        <v>1116</v>
      </c>
      <c r="B105" s="1" t="s">
        <v>1117</v>
      </c>
    </row>
    <row r="106" customFormat="false" ht="13.8" hidden="false" customHeight="false" outlineLevel="0" collapsed="false">
      <c r="A106" s="5" t="s">
        <v>1118</v>
      </c>
      <c r="B106" s="1" t="s">
        <v>1119</v>
      </c>
    </row>
    <row r="107" customFormat="false" ht="13.8" hidden="false" customHeight="false" outlineLevel="0" collapsed="false">
      <c r="A107" s="5" t="s">
        <v>1120</v>
      </c>
      <c r="B107" s="1" t="s">
        <v>1121</v>
      </c>
    </row>
    <row r="108" customFormat="false" ht="13.8" hidden="false" customHeight="false" outlineLevel="0" collapsed="false">
      <c r="A108" s="5" t="s">
        <v>1122</v>
      </c>
      <c r="B108" s="1" t="s">
        <v>1123</v>
      </c>
    </row>
    <row r="109" customFormat="false" ht="13.8" hidden="false" customHeight="false" outlineLevel="0" collapsed="false">
      <c r="A109" s="5" t="s">
        <v>1124</v>
      </c>
      <c r="B109" s="1" t="s">
        <v>1125</v>
      </c>
    </row>
    <row r="110" customFormat="false" ht="13.8" hidden="false" customHeight="false" outlineLevel="0" collapsed="false">
      <c r="A110" s="5" t="s">
        <v>1126</v>
      </c>
      <c r="B110" s="1" t="s">
        <v>1127</v>
      </c>
    </row>
    <row r="111" customFormat="false" ht="13.8" hidden="false" customHeight="false" outlineLevel="0" collapsed="false">
      <c r="A111" s="5" t="s">
        <v>1128</v>
      </c>
      <c r="B111" s="1" t="s">
        <v>1129</v>
      </c>
    </row>
    <row r="112" customFormat="false" ht="13.8" hidden="false" customHeight="false" outlineLevel="0" collapsed="false">
      <c r="A112" s="5" t="s">
        <v>1130</v>
      </c>
      <c r="B112" s="1" t="s">
        <v>1131</v>
      </c>
    </row>
    <row r="113" customFormat="false" ht="13.8" hidden="false" customHeight="false" outlineLevel="0" collapsed="false">
      <c r="A113" s="5" t="s">
        <v>1132</v>
      </c>
      <c r="B113" s="1" t="s">
        <v>1133</v>
      </c>
    </row>
    <row r="114" customFormat="false" ht="13.8" hidden="false" customHeight="false" outlineLevel="0" collapsed="false">
      <c r="A114" s="5" t="s">
        <v>1134</v>
      </c>
      <c r="B114" s="1" t="s">
        <v>1135</v>
      </c>
    </row>
    <row r="115" customFormat="false" ht="13.8" hidden="false" customHeight="false" outlineLevel="0" collapsed="false">
      <c r="A115" s="5" t="s">
        <v>1136</v>
      </c>
      <c r="B115" s="1" t="s">
        <v>1137</v>
      </c>
    </row>
    <row r="116" customFormat="false" ht="13.8" hidden="false" customHeight="false" outlineLevel="0" collapsed="false">
      <c r="A116" s="5" t="s">
        <v>1138</v>
      </c>
      <c r="B116" s="1" t="s">
        <v>1139</v>
      </c>
    </row>
    <row r="117" customFormat="false" ht="13.8" hidden="false" customHeight="false" outlineLevel="0" collapsed="false">
      <c r="A117" s="5" t="s">
        <v>1140</v>
      </c>
      <c r="B117" s="1" t="s">
        <v>1141</v>
      </c>
    </row>
    <row r="118" customFormat="false" ht="13.8" hidden="false" customHeight="false" outlineLevel="0" collapsed="false">
      <c r="A118" s="5" t="s">
        <v>1142</v>
      </c>
      <c r="B118" s="1" t="s">
        <v>1143</v>
      </c>
    </row>
    <row r="119" customFormat="false" ht="13.8" hidden="false" customHeight="false" outlineLevel="0" collapsed="false">
      <c r="A119" s="5" t="s">
        <v>1144</v>
      </c>
      <c r="B119" s="1" t="s">
        <v>1145</v>
      </c>
    </row>
    <row r="120" customFormat="false" ht="13.8" hidden="false" customHeight="false" outlineLevel="0" collapsed="false">
      <c r="A120" s="5" t="s">
        <v>1146</v>
      </c>
      <c r="B120" s="1" t="s">
        <v>1147</v>
      </c>
    </row>
    <row r="121" customFormat="false" ht="13.8" hidden="false" customHeight="false" outlineLevel="0" collapsed="false">
      <c r="A121" s="5" t="s">
        <v>1148</v>
      </c>
      <c r="B121" s="1" t="s">
        <v>1149</v>
      </c>
    </row>
    <row r="122" customFormat="false" ht="13.8" hidden="false" customHeight="false" outlineLevel="0" collapsed="false">
      <c r="A122" s="5" t="s">
        <v>1150</v>
      </c>
      <c r="B122" s="1" t="s">
        <v>1151</v>
      </c>
    </row>
    <row r="123" customFormat="false" ht="13.8" hidden="false" customHeight="false" outlineLevel="0" collapsed="false">
      <c r="A123" s="5" t="s">
        <v>1152</v>
      </c>
      <c r="B123" s="1" t="s">
        <v>1153</v>
      </c>
    </row>
    <row r="124" customFormat="false" ht="13.8" hidden="false" customHeight="false" outlineLevel="0" collapsed="false">
      <c r="A124" s="5" t="s">
        <v>1154</v>
      </c>
      <c r="B124" s="1" t="s">
        <v>1155</v>
      </c>
    </row>
    <row r="125" customFormat="false" ht="13.8" hidden="false" customHeight="false" outlineLevel="0" collapsed="false">
      <c r="A125" s="5" t="s">
        <v>1156</v>
      </c>
      <c r="B125" s="1" t="s">
        <v>1157</v>
      </c>
    </row>
    <row r="126" customFormat="false" ht="13.8" hidden="false" customHeight="false" outlineLevel="0" collapsed="false">
      <c r="A126" s="5" t="s">
        <v>1158</v>
      </c>
      <c r="B126" s="1" t="s">
        <v>1159</v>
      </c>
    </row>
    <row r="127" customFormat="false" ht="13.8" hidden="false" customHeight="false" outlineLevel="0" collapsed="false">
      <c r="A127" s="5" t="s">
        <v>1160</v>
      </c>
      <c r="B127" s="1" t="s">
        <v>1161</v>
      </c>
    </row>
    <row r="128" customFormat="false" ht="13.8" hidden="false" customHeight="false" outlineLevel="0" collapsed="false">
      <c r="A128" s="5" t="s">
        <v>1162</v>
      </c>
      <c r="B128" s="1" t="s">
        <v>1163</v>
      </c>
    </row>
    <row r="129" customFormat="false" ht="13.8" hidden="false" customHeight="false" outlineLevel="0" collapsed="false">
      <c r="A129" s="5" t="s">
        <v>1164</v>
      </c>
      <c r="B129" s="1" t="s">
        <v>1165</v>
      </c>
    </row>
    <row r="130" customFormat="false" ht="13.8" hidden="false" customHeight="false" outlineLevel="0" collapsed="false">
      <c r="A130" s="5" t="s">
        <v>1166</v>
      </c>
      <c r="B130" s="1" t="s">
        <v>1167</v>
      </c>
    </row>
    <row r="131" customFormat="false" ht="13.8" hidden="false" customHeight="false" outlineLevel="0" collapsed="false">
      <c r="A131" s="5" t="s">
        <v>1168</v>
      </c>
      <c r="B131" s="1" t="s">
        <v>1169</v>
      </c>
    </row>
    <row r="132" customFormat="false" ht="13.8" hidden="false" customHeight="false" outlineLevel="0" collapsed="false">
      <c r="A132" s="5" t="s">
        <v>1170</v>
      </c>
      <c r="B132" s="1" t="s">
        <v>1171</v>
      </c>
    </row>
    <row r="133" customFormat="false" ht="13.8" hidden="false" customHeight="false" outlineLevel="0" collapsed="false">
      <c r="A133" s="5" t="s">
        <v>1172</v>
      </c>
      <c r="B133" s="1" t="s">
        <v>1173</v>
      </c>
    </row>
    <row r="134" customFormat="false" ht="13.8" hidden="false" customHeight="false" outlineLevel="0" collapsed="false">
      <c r="A134" s="5" t="s">
        <v>1174</v>
      </c>
      <c r="B134" s="1" t="s">
        <v>1175</v>
      </c>
    </row>
    <row r="135" customFormat="false" ht="13.8" hidden="false" customHeight="false" outlineLevel="0" collapsed="false">
      <c r="A135" s="5" t="s">
        <v>1176</v>
      </c>
      <c r="B135" s="1" t="s">
        <v>1177</v>
      </c>
    </row>
    <row r="136" customFormat="false" ht="13.8" hidden="false" customHeight="false" outlineLevel="0" collapsed="false">
      <c r="A136" s="5" t="s">
        <v>1178</v>
      </c>
      <c r="B136" s="1" t="s">
        <v>1179</v>
      </c>
    </row>
    <row r="137" customFormat="false" ht="13.8" hidden="false" customHeight="false" outlineLevel="0" collapsed="false">
      <c r="A137" s="5" t="s">
        <v>1180</v>
      </c>
      <c r="B137" s="1" t="s">
        <v>1181</v>
      </c>
    </row>
    <row r="138" customFormat="false" ht="13.8" hidden="false" customHeight="false" outlineLevel="0" collapsed="false">
      <c r="A138" s="5" t="s">
        <v>1182</v>
      </c>
      <c r="B138" s="1" t="s">
        <v>1183</v>
      </c>
    </row>
    <row r="139" customFormat="false" ht="13.8" hidden="false" customHeight="false" outlineLevel="0" collapsed="false">
      <c r="A139" s="5" t="s">
        <v>1184</v>
      </c>
      <c r="B139" s="1" t="s">
        <v>1185</v>
      </c>
    </row>
    <row r="140" customFormat="false" ht="13.8" hidden="false" customHeight="false" outlineLevel="0" collapsed="false">
      <c r="A140" s="5" t="s">
        <v>1186</v>
      </c>
      <c r="B140" s="1" t="s">
        <v>1187</v>
      </c>
    </row>
    <row r="141" customFormat="false" ht="13.8" hidden="false" customHeight="false" outlineLevel="0" collapsed="false">
      <c r="A141" s="5" t="s">
        <v>1188</v>
      </c>
      <c r="B141" s="1" t="s">
        <v>1189</v>
      </c>
    </row>
    <row r="142" customFormat="false" ht="13.8" hidden="false" customHeight="false" outlineLevel="0" collapsed="false">
      <c r="A142" s="5" t="s">
        <v>1190</v>
      </c>
      <c r="B142" s="1" t="s">
        <v>1191</v>
      </c>
    </row>
    <row r="143" customFormat="false" ht="13.8" hidden="false" customHeight="false" outlineLevel="0" collapsed="false">
      <c r="A143" s="5" t="s">
        <v>1192</v>
      </c>
      <c r="B143" s="1" t="s">
        <v>1193</v>
      </c>
    </row>
    <row r="144" customFormat="false" ht="13.8" hidden="false" customHeight="false" outlineLevel="0" collapsed="false">
      <c r="A144" s="5" t="s">
        <v>1194</v>
      </c>
      <c r="B144" s="1" t="s">
        <v>1195</v>
      </c>
    </row>
    <row r="145" customFormat="false" ht="13.8" hidden="false" customHeight="false" outlineLevel="0" collapsed="false">
      <c r="A145" s="5" t="s">
        <v>1196</v>
      </c>
      <c r="B145" s="1" t="s">
        <v>1197</v>
      </c>
    </row>
    <row r="146" customFormat="false" ht="13.8" hidden="false" customHeight="false" outlineLevel="0" collapsed="false">
      <c r="A146" s="5" t="s">
        <v>1198</v>
      </c>
      <c r="B146" s="1" t="s">
        <v>1199</v>
      </c>
    </row>
    <row r="147" customFormat="false" ht="13.8" hidden="false" customHeight="false" outlineLevel="0" collapsed="false">
      <c r="A147" s="5" t="s">
        <v>1200</v>
      </c>
      <c r="B147" s="1" t="s">
        <v>1201</v>
      </c>
    </row>
    <row r="148" customFormat="false" ht="13.8" hidden="false" customHeight="false" outlineLevel="0" collapsed="false">
      <c r="A148" s="5" t="s">
        <v>1202</v>
      </c>
      <c r="B148" s="1" t="s">
        <v>1203</v>
      </c>
    </row>
    <row r="149" customFormat="false" ht="13.8" hidden="false" customHeight="false" outlineLevel="0" collapsed="false">
      <c r="A149" s="5" t="s">
        <v>1204</v>
      </c>
      <c r="B149" s="1" t="s">
        <v>1205</v>
      </c>
    </row>
    <row r="150" customFormat="false" ht="13.8" hidden="false" customHeight="false" outlineLevel="0" collapsed="false">
      <c r="A150" s="6" t="s">
        <v>1206</v>
      </c>
      <c r="B150" s="1" t="s">
        <v>1207</v>
      </c>
    </row>
    <row r="151" customFormat="false" ht="13.8" hidden="false" customHeight="false" outlineLevel="0" collapsed="false">
      <c r="A151" s="6" t="s">
        <v>1208</v>
      </c>
      <c r="B151" s="1" t="s">
        <v>1209</v>
      </c>
    </row>
    <row r="152" customFormat="false" ht="13.8" hidden="false" customHeight="false" outlineLevel="0" collapsed="false">
      <c r="A152" s="6" t="s">
        <v>1210</v>
      </c>
      <c r="B152" s="1" t="s">
        <v>1211</v>
      </c>
    </row>
    <row r="153" customFormat="false" ht="13.8" hidden="false" customHeight="false" outlineLevel="0" collapsed="false">
      <c r="A153" s="6" t="s">
        <v>1212</v>
      </c>
      <c r="B153" s="1" t="s">
        <v>1213</v>
      </c>
    </row>
    <row r="154" customFormat="false" ht="13.8" hidden="false" customHeight="false" outlineLevel="0" collapsed="false">
      <c r="A154" s="6" t="s">
        <v>1214</v>
      </c>
      <c r="B154" s="1" t="s">
        <v>1215</v>
      </c>
    </row>
    <row r="155" customFormat="false" ht="13.8" hidden="false" customHeight="false" outlineLevel="0" collapsed="false">
      <c r="A155" s="6" t="s">
        <v>1216</v>
      </c>
      <c r="B155" s="1" t="s">
        <v>1217</v>
      </c>
    </row>
    <row r="156" customFormat="false" ht="13.8" hidden="false" customHeight="false" outlineLevel="0" collapsed="false">
      <c r="A156" s="6" t="s">
        <v>1218</v>
      </c>
      <c r="B156" s="1" t="s">
        <v>1219</v>
      </c>
    </row>
    <row r="157" customFormat="false" ht="13.8" hidden="false" customHeight="false" outlineLevel="0" collapsed="false">
      <c r="A157" s="6" t="s">
        <v>1220</v>
      </c>
      <c r="B157" s="1" t="s">
        <v>1221</v>
      </c>
    </row>
    <row r="158" customFormat="false" ht="13.8" hidden="false" customHeight="false" outlineLevel="0" collapsed="false">
      <c r="A158" s="7" t="s">
        <v>1222</v>
      </c>
      <c r="B158" s="1" t="s">
        <v>1223</v>
      </c>
    </row>
    <row r="159" customFormat="false" ht="13.8" hidden="false" customHeight="false" outlineLevel="0" collapsed="false">
      <c r="A159" s="7" t="s">
        <v>1224</v>
      </c>
      <c r="B159" s="1" t="s">
        <v>1225</v>
      </c>
    </row>
    <row r="160" customFormat="false" ht="13.8" hidden="false" customHeight="false" outlineLevel="0" collapsed="false">
      <c r="A160" s="7" t="s">
        <v>1226</v>
      </c>
      <c r="B160" s="1" t="s">
        <v>1227</v>
      </c>
    </row>
    <row r="161" customFormat="false" ht="13.8" hidden="false" customHeight="false" outlineLevel="0" collapsed="false">
      <c r="A161" s="7" t="s">
        <v>1228</v>
      </c>
      <c r="B161" s="1" t="s">
        <v>1229</v>
      </c>
    </row>
    <row r="162" customFormat="false" ht="13.8" hidden="false" customHeight="false" outlineLevel="0" collapsed="false">
      <c r="A162" s="7" t="s">
        <v>1230</v>
      </c>
      <c r="B162" s="1" t="s">
        <v>1231</v>
      </c>
    </row>
    <row r="163" customFormat="false" ht="13.8" hidden="false" customHeight="false" outlineLevel="0" collapsed="false">
      <c r="A163" s="7" t="s">
        <v>1232</v>
      </c>
      <c r="B163" s="1" t="s">
        <v>1233</v>
      </c>
    </row>
    <row r="164" customFormat="false" ht="13.8" hidden="false" customHeight="false" outlineLevel="0" collapsed="false">
      <c r="A164" s="7" t="s">
        <v>1234</v>
      </c>
      <c r="B164" s="1" t="s">
        <v>1235</v>
      </c>
    </row>
    <row r="165" customFormat="false" ht="13.8" hidden="false" customHeight="false" outlineLevel="0" collapsed="false">
      <c r="A165" s="7" t="s">
        <v>1236</v>
      </c>
      <c r="B165" s="1" t="s">
        <v>1237</v>
      </c>
    </row>
    <row r="166" customFormat="false" ht="13.8" hidden="false" customHeight="false" outlineLevel="0" collapsed="false">
      <c r="A166" s="7" t="s">
        <v>1238</v>
      </c>
      <c r="B166" s="1" t="s">
        <v>1239</v>
      </c>
    </row>
    <row r="167" customFormat="false" ht="13.8" hidden="false" customHeight="false" outlineLevel="0" collapsed="false">
      <c r="A167" s="7" t="s">
        <v>1240</v>
      </c>
      <c r="B167" s="1" t="s">
        <v>1241</v>
      </c>
    </row>
    <row r="168" customFormat="false" ht="13.8" hidden="false" customHeight="false" outlineLevel="0" collapsed="false">
      <c r="A168" s="7" t="s">
        <v>1242</v>
      </c>
      <c r="B168" s="1" t="s">
        <v>1243</v>
      </c>
    </row>
    <row r="169" customFormat="false" ht="13.8" hidden="false" customHeight="false" outlineLevel="0" collapsed="false">
      <c r="A169" s="7" t="s">
        <v>1244</v>
      </c>
      <c r="B169" s="1" t="s">
        <v>1245</v>
      </c>
    </row>
    <row r="170" customFormat="false" ht="13.8" hidden="false" customHeight="false" outlineLevel="0" collapsed="false">
      <c r="A170" s="7" t="s">
        <v>1246</v>
      </c>
      <c r="B170" s="1" t="s">
        <v>1247</v>
      </c>
    </row>
    <row r="171" customFormat="false" ht="13.8" hidden="false" customHeight="false" outlineLevel="0" collapsed="false">
      <c r="A171" s="7" t="s">
        <v>1248</v>
      </c>
      <c r="B171" s="1" t="s">
        <v>1249</v>
      </c>
    </row>
    <row r="172" customFormat="false" ht="13.8" hidden="false" customHeight="false" outlineLevel="0" collapsed="false">
      <c r="A172" s="7" t="s">
        <v>1250</v>
      </c>
      <c r="B172" s="1" t="s">
        <v>1251</v>
      </c>
    </row>
    <row r="173" customFormat="false" ht="13.8" hidden="false" customHeight="false" outlineLevel="0" collapsed="false">
      <c r="A173" s="7" t="s">
        <v>1252</v>
      </c>
      <c r="B173" s="1" t="s">
        <v>1253</v>
      </c>
    </row>
    <row r="174" customFormat="false" ht="13.8" hidden="false" customHeight="false" outlineLevel="0" collapsed="false">
      <c r="A174" s="7" t="s">
        <v>1254</v>
      </c>
      <c r="B174" s="1" t="s">
        <v>1255</v>
      </c>
    </row>
    <row r="175" customFormat="false" ht="13.8" hidden="false" customHeight="false" outlineLevel="0" collapsed="false">
      <c r="A175" s="7" t="s">
        <v>1256</v>
      </c>
      <c r="B175" s="1" t="s">
        <v>1257</v>
      </c>
    </row>
    <row r="176" customFormat="false" ht="13.8" hidden="false" customHeight="false" outlineLevel="0" collapsed="false">
      <c r="A176" s="7" t="s">
        <v>1258</v>
      </c>
      <c r="B176" s="1" t="s">
        <v>1259</v>
      </c>
    </row>
    <row r="177" customFormat="false" ht="13.8" hidden="false" customHeight="false" outlineLevel="0" collapsed="false">
      <c r="A177" s="7" t="s">
        <v>1260</v>
      </c>
      <c r="B177" s="1" t="s">
        <v>1261</v>
      </c>
    </row>
    <row r="178" customFormat="false" ht="13.8" hidden="false" customHeight="false" outlineLevel="0" collapsed="false">
      <c r="A178" s="7" t="s">
        <v>1262</v>
      </c>
      <c r="B178" s="1" t="s">
        <v>1263</v>
      </c>
    </row>
    <row r="179" customFormat="false" ht="13.8" hidden="false" customHeight="false" outlineLevel="0" collapsed="false">
      <c r="A179" s="7" t="s">
        <v>1264</v>
      </c>
      <c r="B179" s="1" t="s">
        <v>1265</v>
      </c>
    </row>
    <row r="180" customFormat="false" ht="13.8" hidden="false" customHeight="false" outlineLevel="0" collapsed="false">
      <c r="A180" s="7" t="s">
        <v>1266</v>
      </c>
      <c r="B180" s="1" t="s">
        <v>1267</v>
      </c>
    </row>
    <row r="181" customFormat="false" ht="13.8" hidden="false" customHeight="false" outlineLevel="0" collapsed="false">
      <c r="A181" s="7" t="s">
        <v>1268</v>
      </c>
      <c r="B181" s="1" t="s">
        <v>1269</v>
      </c>
    </row>
    <row r="182" customFormat="false" ht="13.8" hidden="false" customHeight="false" outlineLevel="0" collapsed="false">
      <c r="A182" s="7" t="s">
        <v>1270</v>
      </c>
      <c r="B182" s="1" t="s">
        <v>1271</v>
      </c>
    </row>
    <row r="183" customFormat="false" ht="13.8" hidden="false" customHeight="false" outlineLevel="0" collapsed="false">
      <c r="A183" s="7" t="s">
        <v>1272</v>
      </c>
      <c r="B183" s="1" t="s">
        <v>1273</v>
      </c>
    </row>
    <row r="184" customFormat="false" ht="13.8" hidden="false" customHeight="false" outlineLevel="0" collapsed="false">
      <c r="A184" s="7" t="s">
        <v>1274</v>
      </c>
      <c r="B184" s="1" t="s">
        <v>1275</v>
      </c>
    </row>
    <row r="185" customFormat="false" ht="13.8" hidden="false" customHeight="false" outlineLevel="0" collapsed="false">
      <c r="A185" s="7" t="s">
        <v>1276</v>
      </c>
      <c r="B185" s="1" t="s">
        <v>1277</v>
      </c>
    </row>
    <row r="186" customFormat="false" ht="13.8" hidden="false" customHeight="false" outlineLevel="0" collapsed="false">
      <c r="A186" s="7" t="s">
        <v>1278</v>
      </c>
      <c r="B186" s="1" t="s">
        <v>1279</v>
      </c>
    </row>
    <row r="187" customFormat="false" ht="13.8" hidden="false" customHeight="false" outlineLevel="0" collapsed="false">
      <c r="A187" s="7" t="s">
        <v>1280</v>
      </c>
      <c r="B187" s="1" t="s">
        <v>1281</v>
      </c>
    </row>
    <row r="188" customFormat="false" ht="13.8" hidden="false" customHeight="false" outlineLevel="0" collapsed="false">
      <c r="A188" s="7" t="s">
        <v>1282</v>
      </c>
      <c r="B188" s="1" t="s">
        <v>1283</v>
      </c>
    </row>
    <row r="189" customFormat="false" ht="13.8" hidden="false" customHeight="false" outlineLevel="0" collapsed="false">
      <c r="A189" s="7" t="s">
        <v>1284</v>
      </c>
      <c r="B189" s="1" t="s">
        <v>1285</v>
      </c>
    </row>
    <row r="190" customFormat="false" ht="13.8" hidden="false" customHeight="false" outlineLevel="0" collapsed="false">
      <c r="A190" s="7" t="s">
        <v>1286</v>
      </c>
      <c r="B190" s="1" t="s">
        <v>1287</v>
      </c>
    </row>
    <row r="191" customFormat="false" ht="13.8" hidden="false" customHeight="false" outlineLevel="0" collapsed="false">
      <c r="A191" s="7" t="s">
        <v>1288</v>
      </c>
      <c r="B191" s="1" t="s">
        <v>1289</v>
      </c>
    </row>
    <row r="192" customFormat="false" ht="13.8" hidden="false" customHeight="false" outlineLevel="0" collapsed="false">
      <c r="A192" s="7" t="s">
        <v>1290</v>
      </c>
      <c r="B192" s="1" t="s">
        <v>1291</v>
      </c>
    </row>
    <row r="193" customFormat="false" ht="13.8" hidden="false" customHeight="false" outlineLevel="0" collapsed="false">
      <c r="A193" s="7" t="s">
        <v>1292</v>
      </c>
      <c r="B193" s="1" t="s">
        <v>1293</v>
      </c>
    </row>
    <row r="194" customFormat="false" ht="13.8" hidden="false" customHeight="false" outlineLevel="0" collapsed="false">
      <c r="A194" s="7" t="s">
        <v>1294</v>
      </c>
      <c r="B194" s="1" t="s">
        <v>1295</v>
      </c>
    </row>
    <row r="195" customFormat="false" ht="13.8" hidden="false" customHeight="false" outlineLevel="0" collapsed="false">
      <c r="A195" s="7" t="s">
        <v>1296</v>
      </c>
      <c r="B195" s="1" t="s">
        <v>1297</v>
      </c>
    </row>
    <row r="196" customFormat="false" ht="13.8" hidden="false" customHeight="false" outlineLevel="0" collapsed="false">
      <c r="A196" s="7" t="s">
        <v>1298</v>
      </c>
      <c r="B196" s="1" t="s">
        <v>1299</v>
      </c>
    </row>
    <row r="197" customFormat="false" ht="13.8" hidden="false" customHeight="false" outlineLevel="0" collapsed="false">
      <c r="A197" s="7" t="s">
        <v>1300</v>
      </c>
      <c r="B197" s="1" t="s">
        <v>1301</v>
      </c>
    </row>
    <row r="198" customFormat="false" ht="13.8" hidden="false" customHeight="false" outlineLevel="0" collapsed="false">
      <c r="A198" s="7" t="s">
        <v>1302</v>
      </c>
      <c r="B198" s="1" t="s">
        <v>1303</v>
      </c>
    </row>
    <row r="199" customFormat="false" ht="13.8" hidden="false" customHeight="false" outlineLevel="0" collapsed="false">
      <c r="A199" s="7" t="s">
        <v>1304</v>
      </c>
      <c r="B199" s="1" t="s">
        <v>1305</v>
      </c>
    </row>
    <row r="200" customFormat="false" ht="13.8" hidden="false" customHeight="false" outlineLevel="0" collapsed="false">
      <c r="A200" s="7" t="s">
        <v>1306</v>
      </c>
      <c r="B200" s="1" t="s">
        <v>1307</v>
      </c>
    </row>
    <row r="201" customFormat="false" ht="13.8" hidden="false" customHeight="false" outlineLevel="0" collapsed="false">
      <c r="A201" s="7" t="s">
        <v>1308</v>
      </c>
      <c r="B201" s="1" t="s">
        <v>1309</v>
      </c>
    </row>
    <row r="202" customFormat="false" ht="13.8" hidden="false" customHeight="false" outlineLevel="0" collapsed="false">
      <c r="A202" s="7" t="s">
        <v>1310</v>
      </c>
      <c r="B202" s="1" t="s">
        <v>1311</v>
      </c>
    </row>
    <row r="203" customFormat="false" ht="13.8" hidden="false" customHeight="false" outlineLevel="0" collapsed="false">
      <c r="A203" s="7" t="s">
        <v>1312</v>
      </c>
      <c r="B203" s="1" t="s">
        <v>1313</v>
      </c>
    </row>
    <row r="204" customFormat="false" ht="13.8" hidden="false" customHeight="false" outlineLevel="0" collapsed="false">
      <c r="A204" s="7" t="s">
        <v>1314</v>
      </c>
      <c r="B204" s="1" t="s">
        <v>1315</v>
      </c>
    </row>
    <row r="205" customFormat="false" ht="13.8" hidden="false" customHeight="false" outlineLevel="0" collapsed="false">
      <c r="A205" s="7" t="s">
        <v>1316</v>
      </c>
      <c r="B205" s="1" t="s">
        <v>1317</v>
      </c>
    </row>
    <row r="206" customFormat="false" ht="13.8" hidden="false" customHeight="false" outlineLevel="0" collapsed="false">
      <c r="A206" s="7" t="s">
        <v>1318</v>
      </c>
      <c r="B206" s="1" t="s">
        <v>1319</v>
      </c>
    </row>
    <row r="207" customFormat="false" ht="13.8" hidden="false" customHeight="false" outlineLevel="0" collapsed="false">
      <c r="A207" s="7" t="s">
        <v>1320</v>
      </c>
      <c r="B207" s="1" t="s">
        <v>1321</v>
      </c>
    </row>
    <row r="208" customFormat="false" ht="13.8" hidden="false" customHeight="false" outlineLevel="0" collapsed="false">
      <c r="A208" s="7" t="s">
        <v>1322</v>
      </c>
      <c r="B208" s="1" t="s">
        <v>1323</v>
      </c>
    </row>
    <row r="209" customFormat="false" ht="13.8" hidden="false" customHeight="false" outlineLevel="0" collapsed="false">
      <c r="A209" s="7" t="s">
        <v>1324</v>
      </c>
      <c r="B209" s="1" t="s">
        <v>1325</v>
      </c>
    </row>
    <row r="210" customFormat="false" ht="13.8" hidden="false" customHeight="false" outlineLevel="0" collapsed="false">
      <c r="A210" s="7" t="s">
        <v>1326</v>
      </c>
      <c r="B210" s="1" t="s">
        <v>1327</v>
      </c>
    </row>
    <row r="211" customFormat="false" ht="13.8" hidden="false" customHeight="false" outlineLevel="0" collapsed="false">
      <c r="A211" s="7" t="s">
        <v>1328</v>
      </c>
      <c r="B211" s="1" t="s">
        <v>1329</v>
      </c>
    </row>
    <row r="212" customFormat="false" ht="13.8" hidden="false" customHeight="false" outlineLevel="0" collapsed="false">
      <c r="A212" s="7" t="s">
        <v>1330</v>
      </c>
      <c r="B212" s="1" t="s">
        <v>1331</v>
      </c>
    </row>
    <row r="213" customFormat="false" ht="13.8" hidden="false" customHeight="false" outlineLevel="0" collapsed="false">
      <c r="A213" s="7" t="s">
        <v>1332</v>
      </c>
      <c r="B213" s="1" t="s">
        <v>1333</v>
      </c>
    </row>
    <row r="214" customFormat="false" ht="13.8" hidden="false" customHeight="false" outlineLevel="0" collapsed="false">
      <c r="A214" s="7" t="s">
        <v>1334</v>
      </c>
      <c r="B214" s="1" t="s">
        <v>1335</v>
      </c>
    </row>
    <row r="215" customFormat="false" ht="13.8" hidden="false" customHeight="false" outlineLevel="0" collapsed="false">
      <c r="A215" s="7" t="s">
        <v>1336</v>
      </c>
      <c r="B215" s="1" t="s">
        <v>1337</v>
      </c>
    </row>
    <row r="216" customFormat="false" ht="13.8" hidden="false" customHeight="false" outlineLevel="0" collapsed="false">
      <c r="A216" s="7" t="s">
        <v>1338</v>
      </c>
      <c r="B216" s="1" t="s">
        <v>1339</v>
      </c>
    </row>
    <row r="217" customFormat="false" ht="13.8" hidden="false" customHeight="false" outlineLevel="0" collapsed="false">
      <c r="A217" s="7" t="s">
        <v>1340</v>
      </c>
      <c r="B217" s="1" t="s">
        <v>1341</v>
      </c>
    </row>
    <row r="218" customFormat="false" ht="13.8" hidden="false" customHeight="false" outlineLevel="0" collapsed="false">
      <c r="A218" s="7" t="s">
        <v>1342</v>
      </c>
      <c r="B218" s="1" t="s">
        <v>1343</v>
      </c>
    </row>
    <row r="219" customFormat="false" ht="13.8" hidden="false" customHeight="false" outlineLevel="0" collapsed="false">
      <c r="A219" s="7" t="s">
        <v>1344</v>
      </c>
      <c r="B219" s="1" t="s">
        <v>1345</v>
      </c>
    </row>
    <row r="220" customFormat="false" ht="13.8" hidden="false" customHeight="false" outlineLevel="0" collapsed="false">
      <c r="A220" s="7" t="s">
        <v>1346</v>
      </c>
      <c r="B220" s="1" t="s">
        <v>1347</v>
      </c>
    </row>
    <row r="221" customFormat="false" ht="13.8" hidden="false" customHeight="false" outlineLevel="0" collapsed="false">
      <c r="A221" s="7" t="s">
        <v>1348</v>
      </c>
      <c r="B221" s="1" t="s">
        <v>1349</v>
      </c>
    </row>
    <row r="222" customFormat="false" ht="13.8" hidden="false" customHeight="false" outlineLevel="0" collapsed="false">
      <c r="A222" s="7" t="s">
        <v>1350</v>
      </c>
      <c r="B222" s="1" t="s">
        <v>1351</v>
      </c>
    </row>
    <row r="223" customFormat="false" ht="13.8" hidden="false" customHeight="false" outlineLevel="0" collapsed="false">
      <c r="A223" s="7" t="s">
        <v>1352</v>
      </c>
      <c r="B223" s="1" t="s">
        <v>1353</v>
      </c>
    </row>
    <row r="224" customFormat="false" ht="13.8" hidden="false" customHeight="false" outlineLevel="0" collapsed="false">
      <c r="A224" s="7" t="s">
        <v>1354</v>
      </c>
      <c r="B224" s="1" t="s">
        <v>1355</v>
      </c>
    </row>
    <row r="225" customFormat="false" ht="13.8" hidden="false" customHeight="false" outlineLevel="0" collapsed="false">
      <c r="A225" s="7" t="s">
        <v>1356</v>
      </c>
      <c r="B225" s="1" t="s">
        <v>1357</v>
      </c>
    </row>
    <row r="226" customFormat="false" ht="13.8" hidden="false" customHeight="false" outlineLevel="0" collapsed="false">
      <c r="A226" s="7" t="s">
        <v>1358</v>
      </c>
      <c r="B226" s="1" t="s">
        <v>1359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3"/>
    <col collapsed="false" customWidth="true" hidden="false" outlineLevel="0" max="2" min="2" style="1" width="8.63"/>
    <col collapsed="false" customWidth="true" hidden="false" outlineLevel="0" max="3" min="3" style="1" width="11.17"/>
    <col collapsed="false" customWidth="true" hidden="false" outlineLevel="0" max="4" min="4" style="1" width="9.52"/>
    <col collapsed="false" customWidth="true" hidden="false" outlineLevel="0" max="5" min="5" style="1" width="9.23"/>
    <col collapsed="false" customWidth="true" hidden="false" outlineLevel="0" max="6" min="6" style="1" width="8.43"/>
  </cols>
  <sheetData>
    <row r="1" customFormat="false" ht="13.8" hidden="false" customHeight="false" outlineLevel="0" collapsed="false">
      <c r="A1" s="8" t="s">
        <v>1360</v>
      </c>
      <c r="B1" s="8" t="s">
        <v>1361</v>
      </c>
      <c r="C1" s="8" t="s">
        <v>1362</v>
      </c>
      <c r="D1" s="8" t="s">
        <v>1363</v>
      </c>
      <c r="E1" s="8" t="s">
        <v>1364</v>
      </c>
      <c r="F1" s="8" t="s">
        <v>1365</v>
      </c>
    </row>
    <row r="2" customFormat="false" ht="13.8" hidden="false" customHeight="false" outlineLevel="0" collapsed="false">
      <c r="A2" s="1" t="s">
        <v>1366</v>
      </c>
      <c r="B2" s="1" t="s">
        <v>1367</v>
      </c>
      <c r="C2" s="1" t="s">
        <v>1368</v>
      </c>
      <c r="D2" s="1" t="s">
        <v>1369</v>
      </c>
      <c r="E2" s="1" t="s">
        <v>1370</v>
      </c>
      <c r="F2" s="1" t="s">
        <v>1371</v>
      </c>
    </row>
    <row r="3" customFormat="false" ht="13.8" hidden="false" customHeight="false" outlineLevel="0" collapsed="false">
      <c r="A3" s="1" t="s">
        <v>1372</v>
      </c>
      <c r="B3" s="1" t="s">
        <v>1373</v>
      </c>
      <c r="C3" s="1" t="s">
        <v>1368</v>
      </c>
      <c r="D3" s="1" t="s">
        <v>1374</v>
      </c>
      <c r="E3" s="1" t="s">
        <v>1370</v>
      </c>
    </row>
    <row r="4" customFormat="false" ht="13.8" hidden="false" customHeight="false" outlineLevel="0" collapsed="false">
      <c r="A4" s="1" t="s">
        <v>1375</v>
      </c>
      <c r="B4" s="1" t="s">
        <v>1376</v>
      </c>
      <c r="C4" s="1" t="s">
        <v>1368</v>
      </c>
      <c r="D4" s="1" t="s">
        <v>1377</v>
      </c>
      <c r="E4" s="1" t="s">
        <v>1370</v>
      </c>
      <c r="F4" s="1" t="s">
        <v>1378</v>
      </c>
    </row>
    <row r="5" customFormat="false" ht="13.8" hidden="false" customHeight="false" outlineLevel="0" collapsed="false">
      <c r="A5" s="1" t="s">
        <v>1379</v>
      </c>
      <c r="B5" s="1" t="s">
        <v>1380</v>
      </c>
      <c r="C5" s="1" t="s">
        <v>1381</v>
      </c>
      <c r="D5" s="1" t="s">
        <v>1369</v>
      </c>
      <c r="E5" s="1" t="s">
        <v>1370</v>
      </c>
      <c r="F5" s="1" t="s">
        <v>1371</v>
      </c>
    </row>
    <row r="6" customFormat="false" ht="13.8" hidden="false" customHeight="false" outlineLevel="0" collapsed="false">
      <c r="A6" s="1" t="s">
        <v>1382</v>
      </c>
      <c r="B6" s="1" t="s">
        <v>1383</v>
      </c>
      <c r="C6" s="1" t="s">
        <v>1381</v>
      </c>
      <c r="D6" s="1" t="s">
        <v>1384</v>
      </c>
      <c r="E6" s="1" t="s">
        <v>1370</v>
      </c>
      <c r="F6" s="1" t="s">
        <v>1385</v>
      </c>
    </row>
    <row r="7" customFormat="false" ht="13.8" hidden="false" customHeight="false" outlineLevel="0" collapsed="false">
      <c r="A7" s="1" t="s">
        <v>1386</v>
      </c>
      <c r="B7" s="1" t="s">
        <v>1387</v>
      </c>
      <c r="C7" s="1" t="s">
        <v>1388</v>
      </c>
      <c r="D7" s="1" t="s">
        <v>1389</v>
      </c>
      <c r="F7" s="1" t="s">
        <v>1371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3"/>
  <sheetViews>
    <sheetView showFormulas="false" showGridLines="true" showRowColHeaders="true" showZeros="true" rightToLeft="false" tabSelected="false" showOutlineSymbols="true" defaultGridColor="true" view="normal" topLeftCell="E1" colorId="64" zoomScale="70" zoomScaleNormal="70" zoomScalePageLayoutView="100" workbookViewId="0">
      <selection pane="topLeft" activeCell="K13" activeCellId="0" sqref="K13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9" width="9.27"/>
    <col collapsed="false" customWidth="true" hidden="false" outlineLevel="0" max="2" min="2" style="9" width="13.54"/>
    <col collapsed="false" customWidth="true" hidden="false" outlineLevel="0" max="3" min="3" style="9" width="30.82"/>
    <col collapsed="false" customWidth="true" hidden="false" outlineLevel="0" max="4" min="4" style="9" width="30.54"/>
    <col collapsed="false" customWidth="true" hidden="false" outlineLevel="0" max="5" min="5" style="9" width="19"/>
    <col collapsed="false" customWidth="true" hidden="false" outlineLevel="0" max="6" min="6" style="10" width="22.91"/>
    <col collapsed="false" customWidth="true" hidden="false" outlineLevel="0" max="7" min="7" style="9" width="28.73"/>
    <col collapsed="false" customWidth="true" hidden="false" outlineLevel="0" max="8" min="8" style="9" width="23.82"/>
    <col collapsed="false" customWidth="true" hidden="false" outlineLevel="0" max="9" min="9" style="10" width="21.73"/>
    <col collapsed="false" customWidth="true" hidden="false" outlineLevel="0" max="10" min="10" style="9" width="59"/>
    <col collapsed="false" customWidth="true" hidden="false" outlineLevel="0" max="11" min="11" style="11" width="14.18"/>
    <col collapsed="false" customWidth="true" hidden="false" outlineLevel="0" max="12" min="12" style="9" width="11"/>
    <col collapsed="false" customWidth="false" hidden="false" outlineLevel="0" max="14" min="13" style="9" width="8.73"/>
    <col collapsed="false" customWidth="true" hidden="false" outlineLevel="0" max="15" min="15" style="9" width="13.18"/>
    <col collapsed="false" customWidth="true" hidden="false" outlineLevel="0" max="16" min="16" style="9" width="23.45"/>
    <col collapsed="false" customWidth="false" hidden="false" outlineLevel="0" max="16384" min="17" style="9" width="8.73"/>
  </cols>
  <sheetData>
    <row r="1" customFormat="false" ht="57.45" hidden="false" customHeight="false" outlineLevel="0" collapsed="false">
      <c r="A1" s="12" t="s">
        <v>911</v>
      </c>
      <c r="B1" s="13" t="s">
        <v>1390</v>
      </c>
      <c r="C1" s="14" t="s">
        <v>1391</v>
      </c>
      <c r="D1" s="13" t="s">
        <v>1392</v>
      </c>
      <c r="E1" s="13" t="s">
        <v>1393</v>
      </c>
      <c r="F1" s="13" t="s">
        <v>1394</v>
      </c>
      <c r="G1" s="13" t="s">
        <v>1395</v>
      </c>
      <c r="H1" s="13" t="s">
        <v>1396</v>
      </c>
      <c r="I1" s="13" t="s">
        <v>1397</v>
      </c>
      <c r="J1" s="15" t="s">
        <v>1398</v>
      </c>
      <c r="K1" s="13" t="s">
        <v>1399</v>
      </c>
      <c r="L1" s="13" t="s">
        <v>1400</v>
      </c>
      <c r="M1" s="13" t="s">
        <v>1401</v>
      </c>
      <c r="N1" s="13" t="s">
        <v>1402</v>
      </c>
      <c r="O1" s="13" t="s">
        <v>1403</v>
      </c>
      <c r="P1" s="16" t="s">
        <v>1404</v>
      </c>
    </row>
    <row r="2" customFormat="false" ht="14.25" hidden="false" customHeight="false" outlineLevel="0" collapsed="false">
      <c r="A2" s="17" t="s">
        <v>913</v>
      </c>
      <c r="B2" s="18" t="s">
        <v>1405</v>
      </c>
      <c r="C2" s="19" t="str">
        <f aca="false">+VLOOKUP(B2,'transacciones '!$A$2:$I$39,2,FALSE())</f>
        <v>ATC01</v>
      </c>
      <c r="D2" s="19" t="str">
        <f aca="false">+VLOOKUP(B2,'transacciones '!$A$2:$I$39,3,FALSE())</f>
        <v>Producción / Consumo intermedio</v>
      </c>
      <c r="E2" s="19" t="str">
        <f aca="false">+VLOOKUP(B2,'transacciones '!$A$2:$I$39,4,FALSE())</f>
        <v>Producción</v>
      </c>
      <c r="F2" s="19" t="n">
        <f aca="false">+VLOOKUP(B2,'transacciones '!$A$2:$I$39,5,FALSE())</f>
        <v>1</v>
      </c>
      <c r="G2" s="19" t="str">
        <f aca="false">+VLOOKUP(B2,'transacciones '!$A$2:$I$39,6,FALSE())</f>
        <v>P1</v>
      </c>
      <c r="H2" s="19" t="str">
        <f aca="false">+VLOOKUP(B2,'transacciones '!$A$2:$I$39,7,FALSE())</f>
        <v>Producción</v>
      </c>
      <c r="I2" s="20" t="s">
        <v>1406</v>
      </c>
      <c r="J2" s="21" t="s">
        <v>1407</v>
      </c>
      <c r="K2" s="22" t="s">
        <v>1408</v>
      </c>
      <c r="L2" s="22" t="str">
        <f aca="false">+VLOOKUP(K2,'Correl CIIU'!$A$1:$F$26,2,FALSE())</f>
        <v>Agricultura, ganadería, silvicultura y pesca</v>
      </c>
      <c r="M2" s="22" t="str">
        <f aca="false">+VLOOKUP(K2,'Correl CIIU'!$A$1:$F$26,3,FALSE())</f>
        <v>Agricultura</v>
      </c>
      <c r="N2" s="22" t="str">
        <f aca="false">+VLOOKUP(K2,'Correl CIIU'!$A$1:$F$26,4,FALSE())</f>
        <v>Agriculture, forestry and fishing</v>
      </c>
      <c r="O2" s="22" t="n">
        <v>1</v>
      </c>
      <c r="P2" s="23" t="str">
        <f aca="false">+VLOOKUP(O2,bio!$A$2:$B$4,2,FALSE())</f>
        <v>Bioeconomía</v>
      </c>
    </row>
    <row r="3" customFormat="false" ht="14.25" hidden="false" customHeight="false" outlineLevel="0" collapsed="false">
      <c r="A3" s="24" t="s">
        <v>915</v>
      </c>
      <c r="B3" s="25" t="s">
        <v>1405</v>
      </c>
      <c r="C3" s="26" t="str">
        <f aca="false">+VLOOKUP(B3,'transacciones '!$A$2:$I$39,2,FALSE())</f>
        <v>ATC01</v>
      </c>
      <c r="D3" s="26" t="str">
        <f aca="false">+VLOOKUP(B3,'transacciones '!$A$2:$I$39,3,FALSE())</f>
        <v>Producción / Consumo intermedio</v>
      </c>
      <c r="E3" s="26" t="str">
        <f aca="false">+VLOOKUP(B3,'transacciones '!$A$2:$I$39,4,FALSE())</f>
        <v>Producción</v>
      </c>
      <c r="F3" s="26" t="n">
        <f aca="false">+VLOOKUP(B3,'transacciones '!$A$2:$I$39,5,FALSE())</f>
        <v>1</v>
      </c>
      <c r="G3" s="26" t="str">
        <f aca="false">+VLOOKUP(B3,'transacciones '!$A$2:$I$39,6,FALSE())</f>
        <v>P1</v>
      </c>
      <c r="H3" s="26" t="str">
        <f aca="false">+VLOOKUP(B3,'transacciones '!$A$2:$I$39,7,FALSE())</f>
        <v>Producción</v>
      </c>
      <c r="I3" s="9" t="s">
        <v>1409</v>
      </c>
      <c r="J3" s="9" t="s">
        <v>1410</v>
      </c>
      <c r="K3" s="27" t="s">
        <v>1408</v>
      </c>
      <c r="L3" s="27" t="str">
        <f aca="false">+VLOOKUP(K3,'Correl CIIU'!$A$1:$F$26,2,FALSE())</f>
        <v>Agricultura, ganadería, silvicultura y pesca</v>
      </c>
      <c r="M3" s="27" t="str">
        <f aca="false">+VLOOKUP(K3,'Correl CIIU'!$A$1:$F$26,3,FALSE())</f>
        <v>Agricultura</v>
      </c>
      <c r="N3" s="27" t="str">
        <f aca="false">+VLOOKUP(K3,'Correl CIIU'!$A$1:$F$26,4,FALSE())</f>
        <v>Agriculture, forestry and fishing</v>
      </c>
      <c r="O3" s="27" t="n">
        <v>1</v>
      </c>
      <c r="P3" s="28" t="str">
        <f aca="false">+VLOOKUP(O3,bio!$A$2:$B$4,2,FALSE())</f>
        <v>Bioeconomía</v>
      </c>
    </row>
    <row r="4" customFormat="false" ht="14.25" hidden="false" customHeight="false" outlineLevel="0" collapsed="false">
      <c r="A4" s="24" t="s">
        <v>917</v>
      </c>
      <c r="B4" s="25" t="s">
        <v>1405</v>
      </c>
      <c r="C4" s="26" t="str">
        <f aca="false">+VLOOKUP(B4,'transacciones '!$A$2:$I$39,2,FALSE())</f>
        <v>ATC01</v>
      </c>
      <c r="D4" s="26" t="str">
        <f aca="false">+VLOOKUP(B4,'transacciones '!$A$2:$I$39,3,FALSE())</f>
        <v>Producción / Consumo intermedio</v>
      </c>
      <c r="E4" s="26" t="str">
        <f aca="false">+VLOOKUP(B4,'transacciones '!$A$2:$I$39,4,FALSE())</f>
        <v>Producción</v>
      </c>
      <c r="F4" s="26" t="n">
        <f aca="false">+VLOOKUP(B4,'transacciones '!$A$2:$I$39,5,FALSE())</f>
        <v>1</v>
      </c>
      <c r="G4" s="26" t="str">
        <f aca="false">+VLOOKUP(B4,'transacciones '!$A$2:$I$39,6,FALSE())</f>
        <v>P1</v>
      </c>
      <c r="H4" s="26" t="str">
        <f aca="false">+VLOOKUP(B4,'transacciones '!$A$2:$I$39,7,FALSE())</f>
        <v>Producción</v>
      </c>
      <c r="I4" s="26" t="s">
        <v>1411</v>
      </c>
      <c r="J4" s="26" t="s">
        <v>1412</v>
      </c>
      <c r="K4" s="27" t="s">
        <v>1408</v>
      </c>
      <c r="L4" s="27" t="str">
        <f aca="false">+VLOOKUP(K4,'Correl CIIU'!$A$1:$F$26,2,FALSE())</f>
        <v>Agricultura, ganadería, silvicultura y pesca</v>
      </c>
      <c r="M4" s="27" t="str">
        <f aca="false">+VLOOKUP(K4,'Correl CIIU'!$A$1:$F$26,3,FALSE())</f>
        <v>Agricultura</v>
      </c>
      <c r="N4" s="27" t="str">
        <f aca="false">+VLOOKUP(K4,'Correl CIIU'!$A$1:$F$26,4,FALSE())</f>
        <v>Agriculture, forestry and fishing</v>
      </c>
      <c r="O4" s="27" t="n">
        <v>1</v>
      </c>
      <c r="P4" s="28" t="str">
        <f aca="false">+VLOOKUP(O4,bio!$A$2:$B$4,2,FALSE())</f>
        <v>Bioeconomía</v>
      </c>
    </row>
    <row r="5" customFormat="false" ht="14.25" hidden="false" customHeight="false" outlineLevel="0" collapsed="false">
      <c r="A5" s="24" t="s">
        <v>919</v>
      </c>
      <c r="B5" s="25" t="s">
        <v>1405</v>
      </c>
      <c r="C5" s="26" t="str">
        <f aca="false">+VLOOKUP(B5,'transacciones '!$A$2:$I$39,2,FALSE())</f>
        <v>ATC01</v>
      </c>
      <c r="D5" s="26" t="str">
        <f aca="false">+VLOOKUP(B5,'transacciones '!$A$2:$I$39,3,FALSE())</f>
        <v>Producción / Consumo intermedio</v>
      </c>
      <c r="E5" s="26" t="str">
        <f aca="false">+VLOOKUP(B5,'transacciones '!$A$2:$I$39,4,FALSE())</f>
        <v>Producción</v>
      </c>
      <c r="F5" s="26" t="n">
        <f aca="false">+VLOOKUP(B5,'transacciones '!$A$2:$I$39,5,FALSE())</f>
        <v>1</v>
      </c>
      <c r="G5" s="26" t="str">
        <f aca="false">+VLOOKUP(B5,'transacciones '!$A$2:$I$39,6,FALSE())</f>
        <v>P1</v>
      </c>
      <c r="H5" s="26" t="str">
        <f aca="false">+VLOOKUP(B5,'transacciones '!$A$2:$I$39,7,FALSE())</f>
        <v>Producción</v>
      </c>
      <c r="I5" s="9" t="s">
        <v>1413</v>
      </c>
      <c r="J5" s="9" t="s">
        <v>1414</v>
      </c>
      <c r="K5" s="27" t="s">
        <v>1415</v>
      </c>
      <c r="L5" s="27" t="str">
        <f aca="false">+VLOOKUP(K5,'Correl CIIU'!$A$1:$F$26,2,FALSE())</f>
        <v>Explotación de minas y canteras</v>
      </c>
      <c r="M5" s="27" t="str">
        <f aca="false">+VLOOKUP(K5,'Correl CIIU'!$A$1:$F$26,3,FALSE())</f>
        <v>Minería</v>
      </c>
      <c r="N5" s="27" t="str">
        <f aca="false">+VLOOKUP(K5,'Correl CIIU'!$A$1:$F$26,4,FALSE())</f>
        <v>Mining and quarrying</v>
      </c>
      <c r="O5" s="27" t="n">
        <v>3</v>
      </c>
      <c r="P5" s="28" t="str">
        <f aca="false">+VLOOKUP(O5,bio!$A$2:$B$4,2,FALSE())</f>
        <v>No bioeconomía</v>
      </c>
    </row>
    <row r="6" customFormat="false" ht="14.25" hidden="false" customHeight="false" outlineLevel="0" collapsed="false">
      <c r="A6" s="24" t="s">
        <v>921</v>
      </c>
      <c r="B6" s="25" t="s">
        <v>1405</v>
      </c>
      <c r="C6" s="26" t="str">
        <f aca="false">+VLOOKUP(B6,'transacciones '!$A$2:$I$39,2,FALSE())</f>
        <v>ATC01</v>
      </c>
      <c r="D6" s="26" t="str">
        <f aca="false">+VLOOKUP(B6,'transacciones '!$A$2:$I$39,3,FALSE())</f>
        <v>Producción / Consumo intermedio</v>
      </c>
      <c r="E6" s="26" t="str">
        <f aca="false">+VLOOKUP(B6,'transacciones '!$A$2:$I$39,4,FALSE())</f>
        <v>Producción</v>
      </c>
      <c r="F6" s="26" t="n">
        <f aca="false">+VLOOKUP(B6,'transacciones '!$A$2:$I$39,5,FALSE())</f>
        <v>1</v>
      </c>
      <c r="G6" s="26" t="str">
        <f aca="false">+VLOOKUP(B6,'transacciones '!$A$2:$I$39,6,FALSE())</f>
        <v>P1</v>
      </c>
      <c r="H6" s="26" t="str">
        <f aca="false">+VLOOKUP(B6,'transacciones '!$A$2:$I$39,7,FALSE())</f>
        <v>Producción</v>
      </c>
      <c r="I6" s="26" t="s">
        <v>1416</v>
      </c>
      <c r="J6" s="26" t="s">
        <v>1417</v>
      </c>
      <c r="K6" s="27" t="s">
        <v>1415</v>
      </c>
      <c r="L6" s="27" t="str">
        <f aca="false">+VLOOKUP(K6,'Correl CIIU'!$A$1:$F$26,2,FALSE())</f>
        <v>Explotación de minas y canteras</v>
      </c>
      <c r="M6" s="27" t="str">
        <f aca="false">+VLOOKUP(K6,'Correl CIIU'!$A$1:$F$26,3,FALSE())</f>
        <v>Minería</v>
      </c>
      <c r="N6" s="27" t="str">
        <f aca="false">+VLOOKUP(K6,'Correl CIIU'!$A$1:$F$26,4,FALSE())</f>
        <v>Mining and quarrying</v>
      </c>
      <c r="O6" s="27" t="n">
        <v>3</v>
      </c>
      <c r="P6" s="28" t="str">
        <f aca="false">+VLOOKUP(O6,bio!$A$2:$B$4,2,FALSE())</f>
        <v>No bioeconomía</v>
      </c>
    </row>
    <row r="7" customFormat="false" ht="14.25" hidden="false" customHeight="false" outlineLevel="0" collapsed="false">
      <c r="A7" s="24" t="s">
        <v>923</v>
      </c>
      <c r="B7" s="25" t="s">
        <v>1405</v>
      </c>
      <c r="C7" s="26" t="str">
        <f aca="false">+VLOOKUP(B7,'transacciones '!$A$2:$I$39,2,FALSE())</f>
        <v>ATC01</v>
      </c>
      <c r="D7" s="26" t="str">
        <f aca="false">+VLOOKUP(B7,'transacciones '!$A$2:$I$39,3,FALSE())</f>
        <v>Producción / Consumo intermedio</v>
      </c>
      <c r="E7" s="26" t="str">
        <f aca="false">+VLOOKUP(B7,'transacciones '!$A$2:$I$39,4,FALSE())</f>
        <v>Producción</v>
      </c>
      <c r="F7" s="26" t="n">
        <f aca="false">+VLOOKUP(B7,'transacciones '!$A$2:$I$39,5,FALSE())</f>
        <v>1</v>
      </c>
      <c r="G7" s="26" t="str">
        <f aca="false">+VLOOKUP(B7,'transacciones '!$A$2:$I$39,6,FALSE())</f>
        <v>P1</v>
      </c>
      <c r="H7" s="26" t="str">
        <f aca="false">+VLOOKUP(B7,'transacciones '!$A$2:$I$39,7,FALSE())</f>
        <v>Producción</v>
      </c>
      <c r="I7" s="9" t="s">
        <v>1418</v>
      </c>
      <c r="J7" s="9" t="s">
        <v>1419</v>
      </c>
      <c r="K7" s="27" t="s">
        <v>1415</v>
      </c>
      <c r="L7" s="27" t="str">
        <f aca="false">+VLOOKUP(K7,'Correl CIIU'!$A$1:$F$26,2,FALSE())</f>
        <v>Explotación de minas y canteras</v>
      </c>
      <c r="M7" s="27" t="str">
        <f aca="false">+VLOOKUP(K7,'Correl CIIU'!$A$1:$F$26,3,FALSE())</f>
        <v>Minería</v>
      </c>
      <c r="N7" s="27" t="str">
        <f aca="false">+VLOOKUP(K7,'Correl CIIU'!$A$1:$F$26,4,FALSE())</f>
        <v>Mining and quarrying</v>
      </c>
      <c r="O7" s="27" t="n">
        <v>3</v>
      </c>
      <c r="P7" s="28" t="str">
        <f aca="false">+VLOOKUP(O7,bio!$A$2:$B$4,2,FALSE())</f>
        <v>No bioeconomía</v>
      </c>
    </row>
    <row r="8" customFormat="false" ht="14.25" hidden="false" customHeight="false" outlineLevel="0" collapsed="false">
      <c r="A8" s="24" t="s">
        <v>925</v>
      </c>
      <c r="B8" s="25" t="s">
        <v>1405</v>
      </c>
      <c r="C8" s="26" t="str">
        <f aca="false">+VLOOKUP(B8,'transacciones '!$A$2:$I$39,2,FALSE())</f>
        <v>ATC01</v>
      </c>
      <c r="D8" s="26" t="str">
        <f aca="false">+VLOOKUP(B8,'transacciones '!$A$2:$I$39,3,FALSE())</f>
        <v>Producción / Consumo intermedio</v>
      </c>
      <c r="E8" s="26" t="str">
        <f aca="false">+VLOOKUP(B8,'transacciones '!$A$2:$I$39,4,FALSE())</f>
        <v>Producción</v>
      </c>
      <c r="F8" s="26" t="n">
        <f aca="false">+VLOOKUP(B8,'transacciones '!$A$2:$I$39,5,FALSE())</f>
        <v>1</v>
      </c>
      <c r="G8" s="26" t="str">
        <f aca="false">+VLOOKUP(B8,'transacciones '!$A$2:$I$39,6,FALSE())</f>
        <v>P1</v>
      </c>
      <c r="H8" s="26" t="str">
        <f aca="false">+VLOOKUP(B8,'transacciones '!$A$2:$I$39,7,FALSE())</f>
        <v>Producción</v>
      </c>
      <c r="I8" s="26" t="s">
        <v>1420</v>
      </c>
      <c r="J8" s="26" t="s">
        <v>1421</v>
      </c>
      <c r="K8" s="27" t="s">
        <v>1415</v>
      </c>
      <c r="L8" s="27" t="str">
        <f aca="false">+VLOOKUP(K8,'Correl CIIU'!$A$1:$F$26,2,FALSE())</f>
        <v>Explotación de minas y canteras</v>
      </c>
      <c r="M8" s="27" t="str">
        <f aca="false">+VLOOKUP(K8,'Correl CIIU'!$A$1:$F$26,3,FALSE())</f>
        <v>Minería</v>
      </c>
      <c r="N8" s="27" t="str">
        <f aca="false">+VLOOKUP(K8,'Correl CIIU'!$A$1:$F$26,4,FALSE())</f>
        <v>Mining and quarrying</v>
      </c>
      <c r="O8" s="27" t="n">
        <v>3</v>
      </c>
      <c r="P8" s="28" t="str">
        <f aca="false">+VLOOKUP(O8,bio!$A$2:$B$4,2,FALSE())</f>
        <v>No bioeconomía</v>
      </c>
    </row>
    <row r="9" customFormat="false" ht="14.25" hidden="false" customHeight="false" outlineLevel="0" collapsed="false">
      <c r="A9" s="24" t="s">
        <v>927</v>
      </c>
      <c r="B9" s="25" t="s">
        <v>1405</v>
      </c>
      <c r="C9" s="26" t="str">
        <f aca="false">+VLOOKUP(B9,'transacciones '!$A$2:$I$39,2,FALSE())</f>
        <v>ATC01</v>
      </c>
      <c r="D9" s="26" t="str">
        <f aca="false">+VLOOKUP(B9,'transacciones '!$A$2:$I$39,3,FALSE())</f>
        <v>Producción / Consumo intermedio</v>
      </c>
      <c r="E9" s="26" t="str">
        <f aca="false">+VLOOKUP(B9,'transacciones '!$A$2:$I$39,4,FALSE())</f>
        <v>Producción</v>
      </c>
      <c r="F9" s="26" t="n">
        <f aca="false">+VLOOKUP(B9,'transacciones '!$A$2:$I$39,5,FALSE())</f>
        <v>1</v>
      </c>
      <c r="G9" s="26" t="str">
        <f aca="false">+VLOOKUP(B9,'transacciones '!$A$2:$I$39,6,FALSE())</f>
        <v>P1</v>
      </c>
      <c r="H9" s="26" t="str">
        <f aca="false">+VLOOKUP(B9,'transacciones '!$A$2:$I$39,7,FALSE())</f>
        <v>Producción</v>
      </c>
      <c r="I9" s="9" t="s">
        <v>1422</v>
      </c>
      <c r="J9" s="9" t="s">
        <v>1423</v>
      </c>
      <c r="K9" s="27" t="s">
        <v>1424</v>
      </c>
      <c r="L9" s="27" t="str">
        <f aca="false">+VLOOKUP(K9,'Correl CIIU'!$A$1:$F$26,2,FALSE())</f>
        <v>Industrias manufactureras</v>
      </c>
      <c r="M9" s="27" t="str">
        <f aca="false">+VLOOKUP(K9,'Correl CIIU'!$A$1:$F$26,3,FALSE())</f>
        <v>Manufacturas</v>
      </c>
      <c r="N9" s="27" t="str">
        <f aca="false">+VLOOKUP(K9,'Correl CIIU'!$A$1:$F$26,4,FALSE())</f>
        <v>Manufacturing</v>
      </c>
      <c r="O9" s="27" t="n">
        <v>1</v>
      </c>
      <c r="P9" s="28" t="str">
        <f aca="false">+VLOOKUP(O9,bio!$A$2:$B$4,2,FALSE())</f>
        <v>Bioeconomía</v>
      </c>
    </row>
    <row r="10" customFormat="false" ht="14.25" hidden="false" customHeight="false" outlineLevel="0" collapsed="false">
      <c r="A10" s="24" t="s">
        <v>929</v>
      </c>
      <c r="B10" s="25" t="s">
        <v>1405</v>
      </c>
      <c r="C10" s="26" t="str">
        <f aca="false">+VLOOKUP(B10,'transacciones '!$A$2:$I$39,2,FALSE())</f>
        <v>ATC01</v>
      </c>
      <c r="D10" s="26" t="str">
        <f aca="false">+VLOOKUP(B10,'transacciones '!$A$2:$I$39,3,FALSE())</f>
        <v>Producción / Consumo intermedio</v>
      </c>
      <c r="E10" s="26" t="str">
        <f aca="false">+VLOOKUP(B10,'transacciones '!$A$2:$I$39,4,FALSE())</f>
        <v>Producción</v>
      </c>
      <c r="F10" s="26" t="n">
        <f aca="false">+VLOOKUP(B10,'transacciones '!$A$2:$I$39,5,FALSE())</f>
        <v>1</v>
      </c>
      <c r="G10" s="26" t="str">
        <f aca="false">+VLOOKUP(B10,'transacciones '!$A$2:$I$39,6,FALSE())</f>
        <v>P1</v>
      </c>
      <c r="H10" s="26" t="str">
        <f aca="false">+VLOOKUP(B10,'transacciones '!$A$2:$I$39,7,FALSE())</f>
        <v>Producción</v>
      </c>
      <c r="I10" s="26" t="s">
        <v>1425</v>
      </c>
      <c r="J10" s="26" t="s">
        <v>1426</v>
      </c>
      <c r="K10" s="27" t="s">
        <v>1424</v>
      </c>
      <c r="L10" s="27" t="str">
        <f aca="false">+VLOOKUP(K10,'Correl CIIU'!$A$1:$F$26,2,FALSE())</f>
        <v>Industrias manufactureras</v>
      </c>
      <c r="M10" s="27" t="str">
        <f aca="false">+VLOOKUP(K10,'Correl CIIU'!$A$1:$F$26,3,FALSE())</f>
        <v>Manufacturas</v>
      </c>
      <c r="N10" s="27" t="str">
        <f aca="false">+VLOOKUP(K10,'Correl CIIU'!$A$1:$F$26,4,FALSE())</f>
        <v>Manufacturing</v>
      </c>
      <c r="O10" s="27" t="n">
        <v>1</v>
      </c>
      <c r="P10" s="28" t="str">
        <f aca="false">+VLOOKUP(O10,bio!$A$2:$B$4,2,FALSE())</f>
        <v>Bioeconomía</v>
      </c>
    </row>
    <row r="11" customFormat="false" ht="14.25" hidden="false" customHeight="false" outlineLevel="0" collapsed="false">
      <c r="A11" s="24" t="s">
        <v>931</v>
      </c>
      <c r="B11" s="25" t="s">
        <v>1405</v>
      </c>
      <c r="C11" s="26" t="str">
        <f aca="false">+VLOOKUP(B11,'transacciones '!$A$2:$I$39,2,FALSE())</f>
        <v>ATC01</v>
      </c>
      <c r="D11" s="26" t="str">
        <f aca="false">+VLOOKUP(B11,'transacciones '!$A$2:$I$39,3,FALSE())</f>
        <v>Producción / Consumo intermedio</v>
      </c>
      <c r="E11" s="26" t="str">
        <f aca="false">+VLOOKUP(B11,'transacciones '!$A$2:$I$39,4,FALSE())</f>
        <v>Producción</v>
      </c>
      <c r="F11" s="26" t="n">
        <f aca="false">+VLOOKUP(B11,'transacciones '!$A$2:$I$39,5,FALSE())</f>
        <v>1</v>
      </c>
      <c r="G11" s="26" t="str">
        <f aca="false">+VLOOKUP(B11,'transacciones '!$A$2:$I$39,6,FALSE())</f>
        <v>P1</v>
      </c>
      <c r="H11" s="26" t="str">
        <f aca="false">+VLOOKUP(B11,'transacciones '!$A$2:$I$39,7,FALSE())</f>
        <v>Producción</v>
      </c>
      <c r="I11" s="9" t="s">
        <v>1427</v>
      </c>
      <c r="J11" s="9" t="s">
        <v>1428</v>
      </c>
      <c r="K11" s="27" t="s">
        <v>1424</v>
      </c>
      <c r="L11" s="27" t="str">
        <f aca="false">+VLOOKUP(K11,'Correl CIIU'!$A$1:$F$26,2,FALSE())</f>
        <v>Industrias manufactureras</v>
      </c>
      <c r="M11" s="27" t="str">
        <f aca="false">+VLOOKUP(K11,'Correl CIIU'!$A$1:$F$26,3,FALSE())</f>
        <v>Manufacturas</v>
      </c>
      <c r="N11" s="27" t="str">
        <f aca="false">+VLOOKUP(K11,'Correl CIIU'!$A$1:$F$26,4,FALSE())</f>
        <v>Manufacturing</v>
      </c>
      <c r="O11" s="27" t="n">
        <v>1</v>
      </c>
      <c r="P11" s="28" t="str">
        <f aca="false">+VLOOKUP(O11,bio!$A$2:$B$4,2,FALSE())</f>
        <v>Bioeconomía</v>
      </c>
    </row>
    <row r="12" customFormat="false" ht="14.25" hidden="false" customHeight="false" outlineLevel="0" collapsed="false">
      <c r="A12" s="24" t="s">
        <v>933</v>
      </c>
      <c r="B12" s="25" t="s">
        <v>1405</v>
      </c>
      <c r="C12" s="26" t="str">
        <f aca="false">+VLOOKUP(B12,'transacciones '!$A$2:$I$39,2,FALSE())</f>
        <v>ATC01</v>
      </c>
      <c r="D12" s="26" t="str">
        <f aca="false">+VLOOKUP(B12,'transacciones '!$A$2:$I$39,3,FALSE())</f>
        <v>Producción / Consumo intermedio</v>
      </c>
      <c r="E12" s="26" t="str">
        <f aca="false">+VLOOKUP(B12,'transacciones '!$A$2:$I$39,4,FALSE())</f>
        <v>Producción</v>
      </c>
      <c r="F12" s="26" t="n">
        <f aca="false">+VLOOKUP(B12,'transacciones '!$A$2:$I$39,5,FALSE())</f>
        <v>1</v>
      </c>
      <c r="G12" s="26" t="str">
        <f aca="false">+VLOOKUP(B12,'transacciones '!$A$2:$I$39,6,FALSE())</f>
        <v>P1</v>
      </c>
      <c r="H12" s="26" t="str">
        <f aca="false">+VLOOKUP(B12,'transacciones '!$A$2:$I$39,7,FALSE())</f>
        <v>Producción</v>
      </c>
      <c r="I12" s="26" t="s">
        <v>1429</v>
      </c>
      <c r="J12" s="26" t="s">
        <v>1430</v>
      </c>
      <c r="K12" s="27" t="s">
        <v>1424</v>
      </c>
      <c r="L12" s="27" t="str">
        <f aca="false">+VLOOKUP(K12,'Correl CIIU'!$A$1:$F$26,2,FALSE())</f>
        <v>Industrias manufactureras</v>
      </c>
      <c r="M12" s="27" t="str">
        <f aca="false">+VLOOKUP(K12,'Correl CIIU'!$A$1:$F$26,3,FALSE())</f>
        <v>Manufacturas</v>
      </c>
      <c r="N12" s="27" t="str">
        <f aca="false">+VLOOKUP(K12,'Correl CIIU'!$A$1:$F$26,4,FALSE())</f>
        <v>Manufacturing</v>
      </c>
      <c r="O12" s="27" t="n">
        <v>1</v>
      </c>
      <c r="P12" s="28" t="str">
        <f aca="false">+VLOOKUP(O12,bio!$A$2:$B$4,2,FALSE())</f>
        <v>Bioeconomía</v>
      </c>
    </row>
    <row r="13" customFormat="false" ht="23.3" hidden="false" customHeight="false" outlineLevel="0" collapsed="false">
      <c r="A13" s="24" t="s">
        <v>935</v>
      </c>
      <c r="B13" s="25" t="s">
        <v>1405</v>
      </c>
      <c r="C13" s="26" t="str">
        <f aca="false">+VLOOKUP(B13,'transacciones '!$A$2:$I$39,2,FALSE())</f>
        <v>ATC01</v>
      </c>
      <c r="D13" s="26" t="str">
        <f aca="false">+VLOOKUP(B13,'transacciones '!$A$2:$I$39,3,FALSE())</f>
        <v>Producción / Consumo intermedio</v>
      </c>
      <c r="E13" s="26" t="str">
        <f aca="false">+VLOOKUP(B13,'transacciones '!$A$2:$I$39,4,FALSE())</f>
        <v>Producción</v>
      </c>
      <c r="F13" s="26" t="n">
        <f aca="false">+VLOOKUP(B13,'transacciones '!$A$2:$I$39,5,FALSE())</f>
        <v>1</v>
      </c>
      <c r="G13" s="26" t="str">
        <f aca="false">+VLOOKUP(B13,'transacciones '!$A$2:$I$39,6,FALSE())</f>
        <v>P1</v>
      </c>
      <c r="H13" s="26" t="str">
        <f aca="false">+VLOOKUP(B13,'transacciones '!$A$2:$I$39,7,FALSE())</f>
        <v>Producción</v>
      </c>
      <c r="I13" s="9" t="s">
        <v>1431</v>
      </c>
      <c r="J13" s="29" t="s">
        <v>1432</v>
      </c>
      <c r="K13" s="27" t="s">
        <v>1424</v>
      </c>
      <c r="L13" s="27" t="str">
        <f aca="false">+VLOOKUP(K13,'Correl CIIU'!$A$1:$F$26,2,FALSE())</f>
        <v>Industrias manufactureras</v>
      </c>
      <c r="M13" s="27" t="str">
        <f aca="false">+VLOOKUP(K13,'Correl CIIU'!$A$1:$F$26,3,FALSE())</f>
        <v>Manufacturas</v>
      </c>
      <c r="N13" s="27" t="str">
        <f aca="false">+VLOOKUP(K13,'Correl CIIU'!$A$1:$F$26,4,FALSE())</f>
        <v>Manufacturing</v>
      </c>
      <c r="O13" s="27" t="n">
        <v>1</v>
      </c>
      <c r="P13" s="28" t="str">
        <f aca="false">+VLOOKUP(O13,bio!$A$2:$B$4,2,FALSE())</f>
        <v>Bioeconomía</v>
      </c>
    </row>
    <row r="14" customFormat="false" ht="14.25" hidden="false" customHeight="false" outlineLevel="0" collapsed="false">
      <c r="A14" s="24" t="s">
        <v>937</v>
      </c>
      <c r="B14" s="25" t="s">
        <v>1405</v>
      </c>
      <c r="C14" s="26" t="str">
        <f aca="false">+VLOOKUP(B14,'transacciones '!$A$2:$I$39,2,FALSE())</f>
        <v>ATC01</v>
      </c>
      <c r="D14" s="26" t="str">
        <f aca="false">+VLOOKUP(B14,'transacciones '!$A$2:$I$39,3,FALSE())</f>
        <v>Producción / Consumo intermedio</v>
      </c>
      <c r="E14" s="26" t="str">
        <f aca="false">+VLOOKUP(B14,'transacciones '!$A$2:$I$39,4,FALSE())</f>
        <v>Producción</v>
      </c>
      <c r="F14" s="26" t="n">
        <f aca="false">+VLOOKUP(B14,'transacciones '!$A$2:$I$39,5,FALSE())</f>
        <v>1</v>
      </c>
      <c r="G14" s="26" t="str">
        <f aca="false">+VLOOKUP(B14,'transacciones '!$A$2:$I$39,6,FALSE())</f>
        <v>P1</v>
      </c>
      <c r="H14" s="26" t="str">
        <f aca="false">+VLOOKUP(B14,'transacciones '!$A$2:$I$39,7,FALSE())</f>
        <v>Producción</v>
      </c>
      <c r="I14" s="26" t="s">
        <v>1433</v>
      </c>
      <c r="J14" s="26" t="s">
        <v>1434</v>
      </c>
      <c r="K14" s="27" t="s">
        <v>1424</v>
      </c>
      <c r="L14" s="27" t="str">
        <f aca="false">+VLOOKUP(K14,'Correl CIIU'!$A$1:$F$26,2,FALSE())</f>
        <v>Industrias manufactureras</v>
      </c>
      <c r="M14" s="27" t="str">
        <f aca="false">+VLOOKUP(K14,'Correl CIIU'!$A$1:$F$26,3,FALSE())</f>
        <v>Manufacturas</v>
      </c>
      <c r="N14" s="27" t="str">
        <f aca="false">+VLOOKUP(K14,'Correl CIIU'!$A$1:$F$26,4,FALSE())</f>
        <v>Manufacturing</v>
      </c>
      <c r="O14" s="27" t="n">
        <v>2</v>
      </c>
      <c r="P14" s="28" t="str">
        <f aca="false">+VLOOKUP(O14,bio!$A$2:$B$4,2,FALSE())</f>
        <v>Bioeconomía extendida</v>
      </c>
    </row>
    <row r="15" customFormat="false" ht="14.25" hidden="false" customHeight="false" outlineLevel="0" collapsed="false">
      <c r="A15" s="24" t="s">
        <v>939</v>
      </c>
      <c r="B15" s="25" t="s">
        <v>1405</v>
      </c>
      <c r="C15" s="26" t="str">
        <f aca="false">+VLOOKUP(B15,'transacciones '!$A$2:$I$39,2,FALSE())</f>
        <v>ATC01</v>
      </c>
      <c r="D15" s="26" t="str">
        <f aca="false">+VLOOKUP(B15,'transacciones '!$A$2:$I$39,3,FALSE())</f>
        <v>Producción / Consumo intermedio</v>
      </c>
      <c r="E15" s="26" t="str">
        <f aca="false">+VLOOKUP(B15,'transacciones '!$A$2:$I$39,4,FALSE())</f>
        <v>Producción</v>
      </c>
      <c r="F15" s="26" t="n">
        <f aca="false">+VLOOKUP(B15,'transacciones '!$A$2:$I$39,5,FALSE())</f>
        <v>1</v>
      </c>
      <c r="G15" s="26" t="str">
        <f aca="false">+VLOOKUP(B15,'transacciones '!$A$2:$I$39,6,FALSE())</f>
        <v>P1</v>
      </c>
      <c r="H15" s="26" t="str">
        <f aca="false">+VLOOKUP(B15,'transacciones '!$A$2:$I$39,7,FALSE())</f>
        <v>Producción</v>
      </c>
      <c r="I15" s="9" t="s">
        <v>1435</v>
      </c>
      <c r="J15" s="9" t="s">
        <v>1436</v>
      </c>
      <c r="K15" s="27" t="s">
        <v>1424</v>
      </c>
      <c r="L15" s="27" t="str">
        <f aca="false">+VLOOKUP(K15,'Correl CIIU'!$A$1:$F$26,2,FALSE())</f>
        <v>Industrias manufactureras</v>
      </c>
      <c r="M15" s="27" t="str">
        <f aca="false">+VLOOKUP(K15,'Correl CIIU'!$A$1:$F$26,3,FALSE())</f>
        <v>Manufacturas</v>
      </c>
      <c r="N15" s="27" t="str">
        <f aca="false">+VLOOKUP(K15,'Correl CIIU'!$A$1:$F$26,4,FALSE())</f>
        <v>Manufacturing</v>
      </c>
      <c r="O15" s="27" t="n">
        <v>2</v>
      </c>
      <c r="P15" s="28" t="str">
        <f aca="false">+VLOOKUP(O15,bio!$A$2:$B$4,2,FALSE())</f>
        <v>Bioeconomía extendida</v>
      </c>
    </row>
    <row r="16" customFormat="false" ht="14.25" hidden="false" customHeight="false" outlineLevel="0" collapsed="false">
      <c r="A16" s="24" t="s">
        <v>941</v>
      </c>
      <c r="B16" s="25" t="s">
        <v>1405</v>
      </c>
      <c r="C16" s="26" t="str">
        <f aca="false">+VLOOKUP(B16,'transacciones '!$A$2:$I$39,2,FALSE())</f>
        <v>ATC01</v>
      </c>
      <c r="D16" s="26" t="str">
        <f aca="false">+VLOOKUP(B16,'transacciones '!$A$2:$I$39,3,FALSE())</f>
        <v>Producción / Consumo intermedio</v>
      </c>
      <c r="E16" s="26" t="str">
        <f aca="false">+VLOOKUP(B16,'transacciones '!$A$2:$I$39,4,FALSE())</f>
        <v>Producción</v>
      </c>
      <c r="F16" s="26" t="n">
        <f aca="false">+VLOOKUP(B16,'transacciones '!$A$2:$I$39,5,FALSE())</f>
        <v>1</v>
      </c>
      <c r="G16" s="26" t="str">
        <f aca="false">+VLOOKUP(B16,'transacciones '!$A$2:$I$39,6,FALSE())</f>
        <v>P1</v>
      </c>
      <c r="H16" s="26" t="str">
        <f aca="false">+VLOOKUP(B16,'transacciones '!$A$2:$I$39,7,FALSE())</f>
        <v>Producción</v>
      </c>
      <c r="I16" s="26" t="s">
        <v>1437</v>
      </c>
      <c r="J16" s="26" t="s">
        <v>1438</v>
      </c>
      <c r="K16" s="27" t="s">
        <v>1424</v>
      </c>
      <c r="L16" s="27" t="str">
        <f aca="false">+VLOOKUP(K16,'Correl CIIU'!$A$1:$F$26,2,FALSE())</f>
        <v>Industrias manufactureras</v>
      </c>
      <c r="M16" s="27" t="str">
        <f aca="false">+VLOOKUP(K16,'Correl CIIU'!$A$1:$F$26,3,FALSE())</f>
        <v>Manufacturas</v>
      </c>
      <c r="N16" s="27" t="str">
        <f aca="false">+VLOOKUP(K16,'Correl CIIU'!$A$1:$F$26,4,FALSE())</f>
        <v>Manufacturing</v>
      </c>
      <c r="O16" s="27" t="n">
        <v>2</v>
      </c>
      <c r="P16" s="28" t="str">
        <f aca="false">+VLOOKUP(O16,bio!$A$2:$B$4,2,FALSE())</f>
        <v>Bioeconomía extendida</v>
      </c>
    </row>
    <row r="17" customFormat="false" ht="14.25" hidden="false" customHeight="false" outlineLevel="0" collapsed="false">
      <c r="A17" s="24" t="s">
        <v>943</v>
      </c>
      <c r="B17" s="25" t="s">
        <v>1405</v>
      </c>
      <c r="C17" s="26" t="str">
        <f aca="false">+VLOOKUP(B17,'transacciones '!$A$2:$I$39,2,FALSE())</f>
        <v>ATC01</v>
      </c>
      <c r="D17" s="26" t="str">
        <f aca="false">+VLOOKUP(B17,'transacciones '!$A$2:$I$39,3,FALSE())</f>
        <v>Producción / Consumo intermedio</v>
      </c>
      <c r="E17" s="26" t="str">
        <f aca="false">+VLOOKUP(B17,'transacciones '!$A$2:$I$39,4,FALSE())</f>
        <v>Producción</v>
      </c>
      <c r="F17" s="26" t="n">
        <f aca="false">+VLOOKUP(B17,'transacciones '!$A$2:$I$39,5,FALSE())</f>
        <v>1</v>
      </c>
      <c r="G17" s="26" t="str">
        <f aca="false">+VLOOKUP(B17,'transacciones '!$A$2:$I$39,6,FALSE())</f>
        <v>P1</v>
      </c>
      <c r="H17" s="26" t="str">
        <f aca="false">+VLOOKUP(B17,'transacciones '!$A$2:$I$39,7,FALSE())</f>
        <v>Producción</v>
      </c>
      <c r="I17" s="9" t="s">
        <v>1439</v>
      </c>
      <c r="J17" s="9" t="s">
        <v>1440</v>
      </c>
      <c r="K17" s="27" t="s">
        <v>1424</v>
      </c>
      <c r="L17" s="27" t="str">
        <f aca="false">+VLOOKUP(K17,'Correl CIIU'!$A$1:$F$26,2,FALSE())</f>
        <v>Industrias manufactureras</v>
      </c>
      <c r="M17" s="27" t="str">
        <f aca="false">+VLOOKUP(K17,'Correl CIIU'!$A$1:$F$26,3,FALSE())</f>
        <v>Manufacturas</v>
      </c>
      <c r="N17" s="27" t="str">
        <f aca="false">+VLOOKUP(K17,'Correl CIIU'!$A$1:$F$26,4,FALSE())</f>
        <v>Manufacturing</v>
      </c>
      <c r="O17" s="27" t="n">
        <v>1</v>
      </c>
      <c r="P17" s="28" t="str">
        <f aca="false">+VLOOKUP(O17,bio!$A$2:$B$4,2,FALSE())</f>
        <v>Bioeconomía</v>
      </c>
    </row>
    <row r="18" customFormat="false" ht="14.25" hidden="false" customHeight="false" outlineLevel="0" collapsed="false">
      <c r="A18" s="24" t="s">
        <v>945</v>
      </c>
      <c r="B18" s="25" t="s">
        <v>1405</v>
      </c>
      <c r="C18" s="26" t="str">
        <f aca="false">+VLOOKUP(B18,'transacciones '!$A$2:$I$39,2,FALSE())</f>
        <v>ATC01</v>
      </c>
      <c r="D18" s="26" t="str">
        <f aca="false">+VLOOKUP(B18,'transacciones '!$A$2:$I$39,3,FALSE())</f>
        <v>Producción / Consumo intermedio</v>
      </c>
      <c r="E18" s="26" t="str">
        <f aca="false">+VLOOKUP(B18,'transacciones '!$A$2:$I$39,4,FALSE())</f>
        <v>Producción</v>
      </c>
      <c r="F18" s="26" t="n">
        <f aca="false">+VLOOKUP(B18,'transacciones '!$A$2:$I$39,5,FALSE())</f>
        <v>1</v>
      </c>
      <c r="G18" s="26" t="str">
        <f aca="false">+VLOOKUP(B18,'transacciones '!$A$2:$I$39,6,FALSE())</f>
        <v>P1</v>
      </c>
      <c r="H18" s="26" t="str">
        <f aca="false">+VLOOKUP(B18,'transacciones '!$A$2:$I$39,7,FALSE())</f>
        <v>Producción</v>
      </c>
      <c r="I18" s="26" t="s">
        <v>1441</v>
      </c>
      <c r="J18" s="26" t="s">
        <v>1442</v>
      </c>
      <c r="K18" s="27" t="s">
        <v>1424</v>
      </c>
      <c r="L18" s="27" t="str">
        <f aca="false">+VLOOKUP(K18,'Correl CIIU'!$A$1:$F$26,2,FALSE())</f>
        <v>Industrias manufactureras</v>
      </c>
      <c r="M18" s="27" t="str">
        <f aca="false">+VLOOKUP(K18,'Correl CIIU'!$A$1:$F$26,3,FALSE())</f>
        <v>Manufacturas</v>
      </c>
      <c r="N18" s="27" t="str">
        <f aca="false">+VLOOKUP(K18,'Correl CIIU'!$A$1:$F$26,4,FALSE())</f>
        <v>Manufacturing</v>
      </c>
      <c r="O18" s="27" t="n">
        <v>2</v>
      </c>
      <c r="P18" s="28" t="str">
        <f aca="false">+VLOOKUP(O18,bio!$A$2:$B$4,2,FALSE())</f>
        <v>Bioeconomía extendida</v>
      </c>
    </row>
    <row r="19" customFormat="false" ht="14.25" hidden="false" customHeight="false" outlineLevel="0" collapsed="false">
      <c r="A19" s="24" t="s">
        <v>947</v>
      </c>
      <c r="B19" s="25" t="s">
        <v>1405</v>
      </c>
      <c r="C19" s="26" t="str">
        <f aca="false">+VLOOKUP(B19,'transacciones '!$A$2:$I$39,2,FALSE())</f>
        <v>ATC01</v>
      </c>
      <c r="D19" s="26" t="str">
        <f aca="false">+VLOOKUP(B19,'transacciones '!$A$2:$I$39,3,FALSE())</f>
        <v>Producción / Consumo intermedio</v>
      </c>
      <c r="E19" s="26" t="str">
        <f aca="false">+VLOOKUP(B19,'transacciones '!$A$2:$I$39,4,FALSE())</f>
        <v>Producción</v>
      </c>
      <c r="F19" s="26" t="n">
        <f aca="false">+VLOOKUP(B19,'transacciones '!$A$2:$I$39,5,FALSE())</f>
        <v>1</v>
      </c>
      <c r="G19" s="26" t="str">
        <f aca="false">+VLOOKUP(B19,'transacciones '!$A$2:$I$39,6,FALSE())</f>
        <v>P1</v>
      </c>
      <c r="H19" s="26" t="str">
        <f aca="false">+VLOOKUP(B19,'transacciones '!$A$2:$I$39,7,FALSE())</f>
        <v>Producción</v>
      </c>
      <c r="I19" s="9" t="s">
        <v>1443</v>
      </c>
      <c r="J19" s="9" t="s">
        <v>1444</v>
      </c>
      <c r="K19" s="27" t="s">
        <v>1424</v>
      </c>
      <c r="L19" s="27" t="str">
        <f aca="false">+VLOOKUP(K19,'Correl CIIU'!$A$1:$F$26,2,FALSE())</f>
        <v>Industrias manufactureras</v>
      </c>
      <c r="M19" s="27" t="str">
        <f aca="false">+VLOOKUP(K19,'Correl CIIU'!$A$1:$F$26,3,FALSE())</f>
        <v>Manufacturas</v>
      </c>
      <c r="N19" s="27" t="str">
        <f aca="false">+VLOOKUP(K19,'Correl CIIU'!$A$1:$F$26,4,FALSE())</f>
        <v>Manufacturing</v>
      </c>
      <c r="O19" s="27" t="n">
        <v>3</v>
      </c>
      <c r="P19" s="28" t="str">
        <f aca="false">+VLOOKUP(O19,bio!$A$2:$B$4,2,FALSE())</f>
        <v>No bioeconomía</v>
      </c>
    </row>
    <row r="20" customFormat="false" ht="14.25" hidden="false" customHeight="false" outlineLevel="0" collapsed="false">
      <c r="A20" s="24" t="s">
        <v>949</v>
      </c>
      <c r="B20" s="25" t="s">
        <v>1405</v>
      </c>
      <c r="C20" s="26" t="str">
        <f aca="false">+VLOOKUP(B20,'transacciones '!$A$2:$I$39,2,FALSE())</f>
        <v>ATC01</v>
      </c>
      <c r="D20" s="26" t="str">
        <f aca="false">+VLOOKUP(B20,'transacciones '!$A$2:$I$39,3,FALSE())</f>
        <v>Producción / Consumo intermedio</v>
      </c>
      <c r="E20" s="26" t="str">
        <f aca="false">+VLOOKUP(B20,'transacciones '!$A$2:$I$39,4,FALSE())</f>
        <v>Producción</v>
      </c>
      <c r="F20" s="26" t="n">
        <f aca="false">+VLOOKUP(B20,'transacciones '!$A$2:$I$39,5,FALSE())</f>
        <v>1</v>
      </c>
      <c r="G20" s="26" t="str">
        <f aca="false">+VLOOKUP(B20,'transacciones '!$A$2:$I$39,6,FALSE())</f>
        <v>P1</v>
      </c>
      <c r="H20" s="26" t="str">
        <f aca="false">+VLOOKUP(B20,'transacciones '!$A$2:$I$39,7,FALSE())</f>
        <v>Producción</v>
      </c>
      <c r="I20" s="26" t="s">
        <v>1445</v>
      </c>
      <c r="J20" s="26" t="s">
        <v>1446</v>
      </c>
      <c r="K20" s="27" t="s">
        <v>1424</v>
      </c>
      <c r="L20" s="27" t="str">
        <f aca="false">+VLOOKUP(K20,'Correl CIIU'!$A$1:$F$26,2,FALSE())</f>
        <v>Industrias manufactureras</v>
      </c>
      <c r="M20" s="27" t="str">
        <f aca="false">+VLOOKUP(K20,'Correl CIIU'!$A$1:$F$26,3,FALSE())</f>
        <v>Manufacturas</v>
      </c>
      <c r="N20" s="27" t="str">
        <f aca="false">+VLOOKUP(K20,'Correl CIIU'!$A$1:$F$26,4,FALSE())</f>
        <v>Manufacturing</v>
      </c>
      <c r="O20" s="27" t="n">
        <v>3</v>
      </c>
      <c r="P20" s="28" t="str">
        <f aca="false">+VLOOKUP(O20,bio!$A$2:$B$4,2,FALSE())</f>
        <v>No bioeconomía</v>
      </c>
    </row>
    <row r="21" customFormat="false" ht="14.25" hidden="false" customHeight="false" outlineLevel="0" collapsed="false">
      <c r="A21" s="24" t="s">
        <v>951</v>
      </c>
      <c r="B21" s="25" t="s">
        <v>1405</v>
      </c>
      <c r="C21" s="26" t="str">
        <f aca="false">+VLOOKUP(B21,'transacciones '!$A$2:$I$39,2,FALSE())</f>
        <v>ATC01</v>
      </c>
      <c r="D21" s="26" t="str">
        <f aca="false">+VLOOKUP(B21,'transacciones '!$A$2:$I$39,3,FALSE())</f>
        <v>Producción / Consumo intermedio</v>
      </c>
      <c r="E21" s="26" t="str">
        <f aca="false">+VLOOKUP(B21,'transacciones '!$A$2:$I$39,4,FALSE())</f>
        <v>Producción</v>
      </c>
      <c r="F21" s="26" t="n">
        <f aca="false">+VLOOKUP(B21,'transacciones '!$A$2:$I$39,5,FALSE())</f>
        <v>1</v>
      </c>
      <c r="G21" s="26" t="str">
        <f aca="false">+VLOOKUP(B21,'transacciones '!$A$2:$I$39,6,FALSE())</f>
        <v>P1</v>
      </c>
      <c r="H21" s="26" t="str">
        <f aca="false">+VLOOKUP(B21,'transacciones '!$A$2:$I$39,7,FALSE())</f>
        <v>Producción</v>
      </c>
      <c r="I21" s="9" t="s">
        <v>1447</v>
      </c>
      <c r="J21" s="9" t="s">
        <v>1448</v>
      </c>
      <c r="K21" s="27" t="s">
        <v>1424</v>
      </c>
      <c r="L21" s="27" t="str">
        <f aca="false">+VLOOKUP(K21,'Correl CIIU'!$A$1:$F$26,2,FALSE())</f>
        <v>Industrias manufactureras</v>
      </c>
      <c r="M21" s="27" t="str">
        <f aca="false">+VLOOKUP(K21,'Correl CIIU'!$A$1:$F$26,3,FALSE())</f>
        <v>Manufacturas</v>
      </c>
      <c r="N21" s="27" t="str">
        <f aca="false">+VLOOKUP(K21,'Correl CIIU'!$A$1:$F$26,4,FALSE())</f>
        <v>Manufacturing</v>
      </c>
      <c r="O21" s="27" t="n">
        <v>3</v>
      </c>
      <c r="P21" s="28" t="str">
        <f aca="false">+VLOOKUP(O21,bio!$A$2:$B$4,2,FALSE())</f>
        <v>No bioeconomía</v>
      </c>
    </row>
    <row r="22" customFormat="false" ht="14.25" hidden="false" customHeight="false" outlineLevel="0" collapsed="false">
      <c r="A22" s="24" t="s">
        <v>953</v>
      </c>
      <c r="B22" s="25" t="s">
        <v>1405</v>
      </c>
      <c r="C22" s="26" t="str">
        <f aca="false">+VLOOKUP(B22,'transacciones '!$A$2:$I$39,2,FALSE())</f>
        <v>ATC01</v>
      </c>
      <c r="D22" s="26" t="str">
        <f aca="false">+VLOOKUP(B22,'transacciones '!$A$2:$I$39,3,FALSE())</f>
        <v>Producción / Consumo intermedio</v>
      </c>
      <c r="E22" s="26" t="str">
        <f aca="false">+VLOOKUP(B22,'transacciones '!$A$2:$I$39,4,FALSE())</f>
        <v>Producción</v>
      </c>
      <c r="F22" s="26" t="n">
        <f aca="false">+VLOOKUP(B22,'transacciones '!$A$2:$I$39,5,FALSE())</f>
        <v>1</v>
      </c>
      <c r="G22" s="26" t="str">
        <f aca="false">+VLOOKUP(B22,'transacciones '!$A$2:$I$39,6,FALSE())</f>
        <v>P1</v>
      </c>
      <c r="H22" s="26" t="str">
        <f aca="false">+VLOOKUP(B22,'transacciones '!$A$2:$I$39,7,FALSE())</f>
        <v>Producción</v>
      </c>
      <c r="I22" s="26" t="s">
        <v>1449</v>
      </c>
      <c r="J22" s="26" t="s">
        <v>1450</v>
      </c>
      <c r="K22" s="27" t="s">
        <v>1424</v>
      </c>
      <c r="L22" s="27" t="str">
        <f aca="false">+VLOOKUP(K22,'Correl CIIU'!$A$1:$F$26,2,FALSE())</f>
        <v>Industrias manufactureras</v>
      </c>
      <c r="M22" s="27" t="str">
        <f aca="false">+VLOOKUP(K22,'Correl CIIU'!$A$1:$F$26,3,FALSE())</f>
        <v>Manufacturas</v>
      </c>
      <c r="N22" s="27" t="str">
        <f aca="false">+VLOOKUP(K22,'Correl CIIU'!$A$1:$F$26,4,FALSE())</f>
        <v>Manufacturing</v>
      </c>
      <c r="O22" s="27" t="n">
        <v>2</v>
      </c>
      <c r="P22" s="28" t="str">
        <f aca="false">+VLOOKUP(O22,bio!$A$2:$B$4,2,FALSE())</f>
        <v>Bioeconomía extendida</v>
      </c>
    </row>
    <row r="23" customFormat="false" ht="14.25" hidden="false" customHeight="false" outlineLevel="0" collapsed="false">
      <c r="A23" s="24" t="s">
        <v>955</v>
      </c>
      <c r="B23" s="25" t="s">
        <v>1405</v>
      </c>
      <c r="C23" s="26" t="str">
        <f aca="false">+VLOOKUP(B23,'transacciones '!$A$2:$I$39,2,FALSE())</f>
        <v>ATC01</v>
      </c>
      <c r="D23" s="26" t="str">
        <f aca="false">+VLOOKUP(B23,'transacciones '!$A$2:$I$39,3,FALSE())</f>
        <v>Producción / Consumo intermedio</v>
      </c>
      <c r="E23" s="26" t="str">
        <f aca="false">+VLOOKUP(B23,'transacciones '!$A$2:$I$39,4,FALSE())</f>
        <v>Producción</v>
      </c>
      <c r="F23" s="26" t="n">
        <f aca="false">+VLOOKUP(B23,'transacciones '!$A$2:$I$39,5,FALSE())</f>
        <v>1</v>
      </c>
      <c r="G23" s="26" t="str">
        <f aca="false">+VLOOKUP(B23,'transacciones '!$A$2:$I$39,6,FALSE())</f>
        <v>P1</v>
      </c>
      <c r="H23" s="26" t="str">
        <f aca="false">+VLOOKUP(B23,'transacciones '!$A$2:$I$39,7,FALSE())</f>
        <v>Producción</v>
      </c>
      <c r="I23" s="9" t="s">
        <v>1451</v>
      </c>
      <c r="J23" s="9" t="s">
        <v>1452</v>
      </c>
      <c r="K23" s="27" t="s">
        <v>1424</v>
      </c>
      <c r="L23" s="27" t="str">
        <f aca="false">+VLOOKUP(K23,'Correl CIIU'!$A$1:$F$26,2,FALSE())</f>
        <v>Industrias manufactureras</v>
      </c>
      <c r="M23" s="27" t="str">
        <f aca="false">+VLOOKUP(K23,'Correl CIIU'!$A$1:$F$26,3,FALSE())</f>
        <v>Manufacturas</v>
      </c>
      <c r="N23" s="27" t="str">
        <f aca="false">+VLOOKUP(K23,'Correl CIIU'!$A$1:$F$26,4,FALSE())</f>
        <v>Manufacturing</v>
      </c>
      <c r="O23" s="27" t="n">
        <v>2</v>
      </c>
      <c r="P23" s="28" t="str">
        <f aca="false">+VLOOKUP(O23,bio!$A$2:$B$4,2,FALSE())</f>
        <v>Bioeconomía extendida</v>
      </c>
    </row>
    <row r="24" customFormat="false" ht="14.25" hidden="false" customHeight="false" outlineLevel="0" collapsed="false">
      <c r="A24" s="24" t="s">
        <v>957</v>
      </c>
      <c r="B24" s="25" t="s">
        <v>1405</v>
      </c>
      <c r="C24" s="26" t="str">
        <f aca="false">+VLOOKUP(B24,'transacciones '!$A$2:$I$39,2,FALSE())</f>
        <v>ATC01</v>
      </c>
      <c r="D24" s="26" t="str">
        <f aca="false">+VLOOKUP(B24,'transacciones '!$A$2:$I$39,3,FALSE())</f>
        <v>Producción / Consumo intermedio</v>
      </c>
      <c r="E24" s="26" t="str">
        <f aca="false">+VLOOKUP(B24,'transacciones '!$A$2:$I$39,4,FALSE())</f>
        <v>Producción</v>
      </c>
      <c r="F24" s="26" t="n">
        <f aca="false">+VLOOKUP(B24,'transacciones '!$A$2:$I$39,5,FALSE())</f>
        <v>1</v>
      </c>
      <c r="G24" s="26" t="str">
        <f aca="false">+VLOOKUP(B24,'transacciones '!$A$2:$I$39,6,FALSE())</f>
        <v>P1</v>
      </c>
      <c r="H24" s="26" t="str">
        <f aca="false">+VLOOKUP(B24,'transacciones '!$A$2:$I$39,7,FALSE())</f>
        <v>Producción</v>
      </c>
      <c r="I24" s="26" t="s">
        <v>1453</v>
      </c>
      <c r="J24" s="26" t="s">
        <v>1454</v>
      </c>
      <c r="K24" s="27" t="s">
        <v>1424</v>
      </c>
      <c r="L24" s="27" t="str">
        <f aca="false">+VLOOKUP(K24,'Correl CIIU'!$A$1:$F$26,2,FALSE())</f>
        <v>Industrias manufactureras</v>
      </c>
      <c r="M24" s="27" t="str">
        <f aca="false">+VLOOKUP(K24,'Correl CIIU'!$A$1:$F$26,3,FALSE())</f>
        <v>Manufacturas</v>
      </c>
      <c r="N24" s="27" t="str">
        <f aca="false">+VLOOKUP(K24,'Correl CIIU'!$A$1:$F$26,4,FALSE())</f>
        <v>Manufacturing</v>
      </c>
      <c r="O24" s="27" t="n">
        <v>2</v>
      </c>
      <c r="P24" s="28" t="str">
        <f aca="false">+VLOOKUP(O24,bio!$A$2:$B$4,2,FALSE())</f>
        <v>Bioeconomía extendida</v>
      </c>
    </row>
    <row r="25" customFormat="false" ht="14.25" hidden="false" customHeight="false" outlineLevel="0" collapsed="false">
      <c r="A25" s="24" t="s">
        <v>959</v>
      </c>
      <c r="B25" s="25" t="s">
        <v>1405</v>
      </c>
      <c r="C25" s="26" t="str">
        <f aca="false">+VLOOKUP(B25,'transacciones '!$A$2:$I$39,2,FALSE())</f>
        <v>ATC01</v>
      </c>
      <c r="D25" s="26" t="str">
        <f aca="false">+VLOOKUP(B25,'transacciones '!$A$2:$I$39,3,FALSE())</f>
        <v>Producción / Consumo intermedio</v>
      </c>
      <c r="E25" s="26" t="str">
        <f aca="false">+VLOOKUP(B25,'transacciones '!$A$2:$I$39,4,FALSE())</f>
        <v>Producción</v>
      </c>
      <c r="F25" s="26" t="n">
        <f aca="false">+VLOOKUP(B25,'transacciones '!$A$2:$I$39,5,FALSE())</f>
        <v>1</v>
      </c>
      <c r="G25" s="26" t="str">
        <f aca="false">+VLOOKUP(B25,'transacciones '!$A$2:$I$39,6,FALSE())</f>
        <v>P1</v>
      </c>
      <c r="H25" s="26" t="str">
        <f aca="false">+VLOOKUP(B25,'transacciones '!$A$2:$I$39,7,FALSE())</f>
        <v>Producción</v>
      </c>
      <c r="I25" s="9" t="s">
        <v>1455</v>
      </c>
      <c r="J25" s="9" t="s">
        <v>1456</v>
      </c>
      <c r="K25" s="27" t="s">
        <v>1424</v>
      </c>
      <c r="L25" s="27" t="str">
        <f aca="false">+VLOOKUP(K25,'Correl CIIU'!$A$1:$F$26,2,FALSE())</f>
        <v>Industrias manufactureras</v>
      </c>
      <c r="M25" s="27" t="str">
        <f aca="false">+VLOOKUP(K25,'Correl CIIU'!$A$1:$F$26,3,FALSE())</f>
        <v>Manufacturas</v>
      </c>
      <c r="N25" s="27" t="str">
        <f aca="false">+VLOOKUP(K25,'Correl CIIU'!$A$1:$F$26,4,FALSE())</f>
        <v>Manufacturing</v>
      </c>
      <c r="O25" s="27" t="n">
        <v>2</v>
      </c>
      <c r="P25" s="28" t="str">
        <f aca="false">+VLOOKUP(O25,bio!$A$2:$B$4,2,FALSE())</f>
        <v>Bioeconomía extendida</v>
      </c>
    </row>
    <row r="26" customFormat="false" ht="14.25" hidden="false" customHeight="false" outlineLevel="0" collapsed="false">
      <c r="A26" s="24" t="s">
        <v>961</v>
      </c>
      <c r="B26" s="25" t="s">
        <v>1405</v>
      </c>
      <c r="C26" s="26" t="str">
        <f aca="false">+VLOOKUP(B26,'transacciones '!$A$2:$I$39,2,FALSE())</f>
        <v>ATC01</v>
      </c>
      <c r="D26" s="26" t="str">
        <f aca="false">+VLOOKUP(B26,'transacciones '!$A$2:$I$39,3,FALSE())</f>
        <v>Producción / Consumo intermedio</v>
      </c>
      <c r="E26" s="26" t="str">
        <f aca="false">+VLOOKUP(B26,'transacciones '!$A$2:$I$39,4,FALSE())</f>
        <v>Producción</v>
      </c>
      <c r="F26" s="26" t="n">
        <f aca="false">+VLOOKUP(B26,'transacciones '!$A$2:$I$39,5,FALSE())</f>
        <v>1</v>
      </c>
      <c r="G26" s="26" t="str">
        <f aca="false">+VLOOKUP(B26,'transacciones '!$A$2:$I$39,6,FALSE())</f>
        <v>P1</v>
      </c>
      <c r="H26" s="26" t="str">
        <f aca="false">+VLOOKUP(B26,'transacciones '!$A$2:$I$39,7,FALSE())</f>
        <v>Producción</v>
      </c>
      <c r="I26" s="26" t="s">
        <v>1457</v>
      </c>
      <c r="J26" s="26" t="s">
        <v>1458</v>
      </c>
      <c r="K26" s="27" t="s">
        <v>1424</v>
      </c>
      <c r="L26" s="27" t="str">
        <f aca="false">+VLOOKUP(K26,'Correl CIIU'!$A$1:$F$26,2,FALSE())</f>
        <v>Industrias manufactureras</v>
      </c>
      <c r="M26" s="27" t="str">
        <f aca="false">+VLOOKUP(K26,'Correl CIIU'!$A$1:$F$26,3,FALSE())</f>
        <v>Manufacturas</v>
      </c>
      <c r="N26" s="27" t="str">
        <f aca="false">+VLOOKUP(K26,'Correl CIIU'!$A$1:$F$26,4,FALSE())</f>
        <v>Manufacturing</v>
      </c>
      <c r="O26" s="27" t="n">
        <v>2</v>
      </c>
      <c r="P26" s="28" t="str">
        <f aca="false">+VLOOKUP(O26,bio!$A$2:$B$4,2,FALSE())</f>
        <v>Bioeconomía extendida</v>
      </c>
    </row>
    <row r="27" customFormat="false" ht="14.25" hidden="false" customHeight="false" outlineLevel="0" collapsed="false">
      <c r="A27" s="24" t="s">
        <v>963</v>
      </c>
      <c r="B27" s="25" t="s">
        <v>1405</v>
      </c>
      <c r="C27" s="26" t="str">
        <f aca="false">+VLOOKUP(B27,'transacciones '!$A$2:$I$39,2,FALSE())</f>
        <v>ATC01</v>
      </c>
      <c r="D27" s="26" t="str">
        <f aca="false">+VLOOKUP(B27,'transacciones '!$A$2:$I$39,3,FALSE())</f>
        <v>Producción / Consumo intermedio</v>
      </c>
      <c r="E27" s="26" t="str">
        <f aca="false">+VLOOKUP(B27,'transacciones '!$A$2:$I$39,4,FALSE())</f>
        <v>Producción</v>
      </c>
      <c r="F27" s="26" t="n">
        <f aca="false">+VLOOKUP(B27,'transacciones '!$A$2:$I$39,5,FALSE())</f>
        <v>1</v>
      </c>
      <c r="G27" s="26" t="str">
        <f aca="false">+VLOOKUP(B27,'transacciones '!$A$2:$I$39,6,FALSE())</f>
        <v>P1</v>
      </c>
      <c r="H27" s="26" t="str">
        <f aca="false">+VLOOKUP(B27,'transacciones '!$A$2:$I$39,7,FALSE())</f>
        <v>Producción</v>
      </c>
      <c r="I27" s="9" t="s">
        <v>1459</v>
      </c>
      <c r="J27" s="9" t="s">
        <v>1460</v>
      </c>
      <c r="K27" s="27" t="s">
        <v>1424</v>
      </c>
      <c r="L27" s="27" t="str">
        <f aca="false">+VLOOKUP(K27,'Correl CIIU'!$A$1:$F$26,2,FALSE())</f>
        <v>Industrias manufactureras</v>
      </c>
      <c r="M27" s="27" t="str">
        <f aca="false">+VLOOKUP(K27,'Correl CIIU'!$A$1:$F$26,3,FALSE())</f>
        <v>Manufacturas</v>
      </c>
      <c r="N27" s="27" t="str">
        <f aca="false">+VLOOKUP(K27,'Correl CIIU'!$A$1:$F$26,4,FALSE())</f>
        <v>Manufacturing</v>
      </c>
      <c r="O27" s="27" t="n">
        <v>3</v>
      </c>
      <c r="P27" s="28" t="str">
        <f aca="false">+VLOOKUP(O27,bio!$A$2:$B$4,2,FALSE())</f>
        <v>No bioeconomía</v>
      </c>
    </row>
    <row r="28" customFormat="false" ht="14.25" hidden="false" customHeight="false" outlineLevel="0" collapsed="false">
      <c r="A28" s="24" t="s">
        <v>965</v>
      </c>
      <c r="B28" s="25" t="s">
        <v>1405</v>
      </c>
      <c r="C28" s="26" t="str">
        <f aca="false">+VLOOKUP(B28,'transacciones '!$A$2:$I$39,2,FALSE())</f>
        <v>ATC01</v>
      </c>
      <c r="D28" s="26" t="str">
        <f aca="false">+VLOOKUP(B28,'transacciones '!$A$2:$I$39,3,FALSE())</f>
        <v>Producción / Consumo intermedio</v>
      </c>
      <c r="E28" s="26" t="str">
        <f aca="false">+VLOOKUP(B28,'transacciones '!$A$2:$I$39,4,FALSE())</f>
        <v>Producción</v>
      </c>
      <c r="F28" s="26" t="n">
        <f aca="false">+VLOOKUP(B28,'transacciones '!$A$2:$I$39,5,FALSE())</f>
        <v>1</v>
      </c>
      <c r="G28" s="26" t="str">
        <f aca="false">+VLOOKUP(B28,'transacciones '!$A$2:$I$39,6,FALSE())</f>
        <v>P1</v>
      </c>
      <c r="H28" s="26" t="str">
        <f aca="false">+VLOOKUP(B28,'transacciones '!$A$2:$I$39,7,FALSE())</f>
        <v>Producción</v>
      </c>
      <c r="I28" s="26" t="s">
        <v>1461</v>
      </c>
      <c r="J28" s="26" t="s">
        <v>1462</v>
      </c>
      <c r="K28" s="27" t="s">
        <v>1424</v>
      </c>
      <c r="L28" s="27" t="str">
        <f aca="false">+VLOOKUP(K28,'Correl CIIU'!$A$1:$F$26,2,FALSE())</f>
        <v>Industrias manufactureras</v>
      </c>
      <c r="M28" s="27" t="str">
        <f aca="false">+VLOOKUP(K28,'Correl CIIU'!$A$1:$F$26,3,FALSE())</f>
        <v>Manufacturas</v>
      </c>
      <c r="N28" s="27" t="str">
        <f aca="false">+VLOOKUP(K28,'Correl CIIU'!$A$1:$F$26,4,FALSE())</f>
        <v>Manufacturing</v>
      </c>
      <c r="O28" s="27" t="n">
        <v>3</v>
      </c>
      <c r="P28" s="28" t="str">
        <f aca="false">+VLOOKUP(O28,bio!$A$2:$B$4,2,FALSE())</f>
        <v>No bioeconomía</v>
      </c>
    </row>
    <row r="29" customFormat="false" ht="14.25" hidden="false" customHeight="false" outlineLevel="0" collapsed="false">
      <c r="A29" s="24" t="s">
        <v>967</v>
      </c>
      <c r="B29" s="25" t="s">
        <v>1405</v>
      </c>
      <c r="C29" s="26" t="str">
        <f aca="false">+VLOOKUP(B29,'transacciones '!$A$2:$I$39,2,FALSE())</f>
        <v>ATC01</v>
      </c>
      <c r="D29" s="26" t="str">
        <f aca="false">+VLOOKUP(B29,'transacciones '!$A$2:$I$39,3,FALSE())</f>
        <v>Producción / Consumo intermedio</v>
      </c>
      <c r="E29" s="26" t="str">
        <f aca="false">+VLOOKUP(B29,'transacciones '!$A$2:$I$39,4,FALSE())</f>
        <v>Producción</v>
      </c>
      <c r="F29" s="26" t="n">
        <f aca="false">+VLOOKUP(B29,'transacciones '!$A$2:$I$39,5,FALSE())</f>
        <v>1</v>
      </c>
      <c r="G29" s="26" t="str">
        <f aca="false">+VLOOKUP(B29,'transacciones '!$A$2:$I$39,6,FALSE())</f>
        <v>P1</v>
      </c>
      <c r="H29" s="26" t="str">
        <f aca="false">+VLOOKUP(B29,'transacciones '!$A$2:$I$39,7,FALSE())</f>
        <v>Producción</v>
      </c>
      <c r="I29" s="9" t="s">
        <v>1463</v>
      </c>
      <c r="J29" s="9" t="s">
        <v>1464</v>
      </c>
      <c r="K29" s="27" t="s">
        <v>1424</v>
      </c>
      <c r="L29" s="27" t="str">
        <f aca="false">+VLOOKUP(K29,'Correl CIIU'!$A$1:$F$26,2,FALSE())</f>
        <v>Industrias manufactureras</v>
      </c>
      <c r="M29" s="27" t="str">
        <f aca="false">+VLOOKUP(K29,'Correl CIIU'!$A$1:$F$26,3,FALSE())</f>
        <v>Manufacturas</v>
      </c>
      <c r="N29" s="27" t="str">
        <f aca="false">+VLOOKUP(K29,'Correl CIIU'!$A$1:$F$26,4,FALSE())</f>
        <v>Manufacturing</v>
      </c>
      <c r="O29" s="27" t="n">
        <v>3</v>
      </c>
      <c r="P29" s="28" t="str">
        <f aca="false">+VLOOKUP(O29,bio!$A$2:$B$4,2,FALSE())</f>
        <v>No bioeconomía</v>
      </c>
    </row>
    <row r="30" customFormat="false" ht="14.25" hidden="false" customHeight="false" outlineLevel="0" collapsed="false">
      <c r="A30" s="24" t="s">
        <v>969</v>
      </c>
      <c r="B30" s="25" t="s">
        <v>1405</v>
      </c>
      <c r="C30" s="26" t="str">
        <f aca="false">+VLOOKUP(B30,'transacciones '!$A$2:$I$39,2,FALSE())</f>
        <v>ATC01</v>
      </c>
      <c r="D30" s="26" t="str">
        <f aca="false">+VLOOKUP(B30,'transacciones '!$A$2:$I$39,3,FALSE())</f>
        <v>Producción / Consumo intermedio</v>
      </c>
      <c r="E30" s="26" t="str">
        <f aca="false">+VLOOKUP(B30,'transacciones '!$A$2:$I$39,4,FALSE())</f>
        <v>Producción</v>
      </c>
      <c r="F30" s="26" t="n">
        <f aca="false">+VLOOKUP(B30,'transacciones '!$A$2:$I$39,5,FALSE())</f>
        <v>1</v>
      </c>
      <c r="G30" s="26" t="str">
        <f aca="false">+VLOOKUP(B30,'transacciones '!$A$2:$I$39,6,FALSE())</f>
        <v>P1</v>
      </c>
      <c r="H30" s="26" t="str">
        <f aca="false">+VLOOKUP(B30,'transacciones '!$A$2:$I$39,7,FALSE())</f>
        <v>Producción</v>
      </c>
      <c r="I30" s="26" t="s">
        <v>1465</v>
      </c>
      <c r="J30" s="26" t="s">
        <v>1466</v>
      </c>
      <c r="K30" s="27" t="s">
        <v>1424</v>
      </c>
      <c r="L30" s="27" t="str">
        <f aca="false">+VLOOKUP(K30,'Correl CIIU'!$A$1:$F$26,2,FALSE())</f>
        <v>Industrias manufactureras</v>
      </c>
      <c r="M30" s="27" t="str">
        <f aca="false">+VLOOKUP(K30,'Correl CIIU'!$A$1:$F$26,3,FALSE())</f>
        <v>Manufacturas</v>
      </c>
      <c r="N30" s="27" t="str">
        <f aca="false">+VLOOKUP(K30,'Correl CIIU'!$A$1:$F$26,4,FALSE())</f>
        <v>Manufacturing</v>
      </c>
      <c r="O30" s="27" t="n">
        <v>3</v>
      </c>
      <c r="P30" s="28" t="str">
        <f aca="false">+VLOOKUP(O30,bio!$A$2:$B$4,2,FALSE())</f>
        <v>No bioeconomía</v>
      </c>
    </row>
    <row r="31" customFormat="false" ht="14.25" hidden="false" customHeight="false" outlineLevel="0" collapsed="false">
      <c r="A31" s="24" t="s">
        <v>971</v>
      </c>
      <c r="B31" s="25" t="s">
        <v>1405</v>
      </c>
      <c r="C31" s="26" t="str">
        <f aca="false">+VLOOKUP(B31,'transacciones '!$A$2:$I$39,2,FALSE())</f>
        <v>ATC01</v>
      </c>
      <c r="D31" s="26" t="str">
        <f aca="false">+VLOOKUP(B31,'transacciones '!$A$2:$I$39,3,FALSE())</f>
        <v>Producción / Consumo intermedio</v>
      </c>
      <c r="E31" s="26" t="str">
        <f aca="false">+VLOOKUP(B31,'transacciones '!$A$2:$I$39,4,FALSE())</f>
        <v>Producción</v>
      </c>
      <c r="F31" s="26" t="n">
        <f aca="false">+VLOOKUP(B31,'transacciones '!$A$2:$I$39,5,FALSE())</f>
        <v>1</v>
      </c>
      <c r="G31" s="26" t="str">
        <f aca="false">+VLOOKUP(B31,'transacciones '!$A$2:$I$39,6,FALSE())</f>
        <v>P1</v>
      </c>
      <c r="H31" s="26" t="str">
        <f aca="false">+VLOOKUP(B31,'transacciones '!$A$2:$I$39,7,FALSE())</f>
        <v>Producción</v>
      </c>
      <c r="I31" s="9" t="s">
        <v>1467</v>
      </c>
      <c r="J31" s="9" t="s">
        <v>1468</v>
      </c>
      <c r="K31" s="27" t="s">
        <v>1424</v>
      </c>
      <c r="L31" s="27" t="str">
        <f aca="false">+VLOOKUP(K31,'Correl CIIU'!$A$1:$F$26,2,FALSE())</f>
        <v>Industrias manufactureras</v>
      </c>
      <c r="M31" s="27" t="str">
        <f aca="false">+VLOOKUP(K31,'Correl CIIU'!$A$1:$F$26,3,FALSE())</f>
        <v>Manufacturas</v>
      </c>
      <c r="N31" s="27" t="str">
        <f aca="false">+VLOOKUP(K31,'Correl CIIU'!$A$1:$F$26,4,FALSE())</f>
        <v>Manufacturing</v>
      </c>
      <c r="O31" s="27" t="n">
        <v>3</v>
      </c>
      <c r="P31" s="28" t="str">
        <f aca="false">+VLOOKUP(O31,bio!$A$2:$B$4,2,FALSE())</f>
        <v>No bioeconomía</v>
      </c>
    </row>
    <row r="32" customFormat="false" ht="14.25" hidden="false" customHeight="false" outlineLevel="0" collapsed="false">
      <c r="A32" s="24" t="s">
        <v>973</v>
      </c>
      <c r="B32" s="25" t="s">
        <v>1405</v>
      </c>
      <c r="C32" s="26" t="str">
        <f aca="false">+VLOOKUP(B32,'transacciones '!$A$2:$I$39,2,FALSE())</f>
        <v>ATC01</v>
      </c>
      <c r="D32" s="26" t="str">
        <f aca="false">+VLOOKUP(B32,'transacciones '!$A$2:$I$39,3,FALSE())</f>
        <v>Producción / Consumo intermedio</v>
      </c>
      <c r="E32" s="26" t="str">
        <f aca="false">+VLOOKUP(B32,'transacciones '!$A$2:$I$39,4,FALSE())</f>
        <v>Producción</v>
      </c>
      <c r="F32" s="26" t="n">
        <f aca="false">+VLOOKUP(B32,'transacciones '!$A$2:$I$39,5,FALSE())</f>
        <v>1</v>
      </c>
      <c r="G32" s="26" t="str">
        <f aca="false">+VLOOKUP(B32,'transacciones '!$A$2:$I$39,6,FALSE())</f>
        <v>P1</v>
      </c>
      <c r="H32" s="26" t="str">
        <f aca="false">+VLOOKUP(B32,'transacciones '!$A$2:$I$39,7,FALSE())</f>
        <v>Producción</v>
      </c>
      <c r="I32" s="26" t="s">
        <v>1469</v>
      </c>
      <c r="J32" s="26" t="s">
        <v>1470</v>
      </c>
      <c r="K32" s="27" t="s">
        <v>1424</v>
      </c>
      <c r="L32" s="27" t="str">
        <f aca="false">+VLOOKUP(K32,'Correl CIIU'!$A$1:$F$26,2,FALSE())</f>
        <v>Industrias manufactureras</v>
      </c>
      <c r="M32" s="27" t="str">
        <f aca="false">+VLOOKUP(K32,'Correl CIIU'!$A$1:$F$26,3,FALSE())</f>
        <v>Manufacturas</v>
      </c>
      <c r="N32" s="27" t="str">
        <f aca="false">+VLOOKUP(K32,'Correl CIIU'!$A$1:$F$26,4,FALSE())</f>
        <v>Manufacturing</v>
      </c>
      <c r="O32" s="27" t="n">
        <v>3</v>
      </c>
      <c r="P32" s="28" t="str">
        <f aca="false">+VLOOKUP(O32,bio!$A$2:$B$4,2,FALSE())</f>
        <v>No bioeconomía</v>
      </c>
    </row>
    <row r="33" customFormat="false" ht="14.25" hidden="false" customHeight="false" outlineLevel="0" collapsed="false">
      <c r="A33" s="24" t="s">
        <v>975</v>
      </c>
      <c r="B33" s="25" t="s">
        <v>1405</v>
      </c>
      <c r="C33" s="26" t="str">
        <f aca="false">+VLOOKUP(B33,'transacciones '!$A$2:$I$39,2,FALSE())</f>
        <v>ATC01</v>
      </c>
      <c r="D33" s="26" t="str">
        <f aca="false">+VLOOKUP(B33,'transacciones '!$A$2:$I$39,3,FALSE())</f>
        <v>Producción / Consumo intermedio</v>
      </c>
      <c r="E33" s="26" t="str">
        <f aca="false">+VLOOKUP(B33,'transacciones '!$A$2:$I$39,4,FALSE())</f>
        <v>Producción</v>
      </c>
      <c r="F33" s="26" t="n">
        <f aca="false">+VLOOKUP(B33,'transacciones '!$A$2:$I$39,5,FALSE())</f>
        <v>1</v>
      </c>
      <c r="G33" s="26" t="str">
        <f aca="false">+VLOOKUP(B33,'transacciones '!$A$2:$I$39,6,FALSE())</f>
        <v>P1</v>
      </c>
      <c r="H33" s="26" t="str">
        <f aca="false">+VLOOKUP(B33,'transacciones '!$A$2:$I$39,7,FALSE())</f>
        <v>Producción</v>
      </c>
      <c r="I33" s="9" t="s">
        <v>1471</v>
      </c>
      <c r="J33" s="9" t="s">
        <v>1472</v>
      </c>
      <c r="K33" s="27" t="s">
        <v>1424</v>
      </c>
      <c r="L33" s="27" t="str">
        <f aca="false">+VLOOKUP(K33,'Correl CIIU'!$A$1:$F$26,2,FALSE())</f>
        <v>Industrias manufactureras</v>
      </c>
      <c r="M33" s="27" t="str">
        <f aca="false">+VLOOKUP(K33,'Correl CIIU'!$A$1:$F$26,3,FALSE())</f>
        <v>Manufacturas</v>
      </c>
      <c r="N33" s="27" t="str">
        <f aca="false">+VLOOKUP(K33,'Correl CIIU'!$A$1:$F$26,4,FALSE())</f>
        <v>Manufacturing</v>
      </c>
      <c r="O33" s="27" t="n">
        <v>3</v>
      </c>
      <c r="P33" s="28" t="str">
        <f aca="false">+VLOOKUP(O33,bio!$A$2:$B$4,2,FALSE())</f>
        <v>No bioeconomía</v>
      </c>
    </row>
    <row r="34" customFormat="false" ht="14.25" hidden="false" customHeight="false" outlineLevel="0" collapsed="false">
      <c r="A34" s="24" t="s">
        <v>977</v>
      </c>
      <c r="B34" s="25" t="s">
        <v>1405</v>
      </c>
      <c r="C34" s="26" t="str">
        <f aca="false">+VLOOKUP(B34,'transacciones '!$A$2:$I$39,2,FALSE())</f>
        <v>ATC01</v>
      </c>
      <c r="D34" s="26" t="str">
        <f aca="false">+VLOOKUP(B34,'transacciones '!$A$2:$I$39,3,FALSE())</f>
        <v>Producción / Consumo intermedio</v>
      </c>
      <c r="E34" s="26" t="str">
        <f aca="false">+VLOOKUP(B34,'transacciones '!$A$2:$I$39,4,FALSE())</f>
        <v>Producción</v>
      </c>
      <c r="F34" s="26" t="n">
        <f aca="false">+VLOOKUP(B34,'transacciones '!$A$2:$I$39,5,FALSE())</f>
        <v>1</v>
      </c>
      <c r="G34" s="26" t="str">
        <f aca="false">+VLOOKUP(B34,'transacciones '!$A$2:$I$39,6,FALSE())</f>
        <v>P1</v>
      </c>
      <c r="H34" s="26" t="str">
        <f aca="false">+VLOOKUP(B34,'transacciones '!$A$2:$I$39,7,FALSE())</f>
        <v>Producción</v>
      </c>
      <c r="I34" s="26" t="s">
        <v>1473</v>
      </c>
      <c r="J34" s="26" t="s">
        <v>1474</v>
      </c>
      <c r="K34" s="27" t="s">
        <v>1424</v>
      </c>
      <c r="L34" s="27" t="str">
        <f aca="false">+VLOOKUP(K34,'Correl CIIU'!$A$1:$F$26,2,FALSE())</f>
        <v>Industrias manufactureras</v>
      </c>
      <c r="M34" s="27" t="str">
        <f aca="false">+VLOOKUP(K34,'Correl CIIU'!$A$1:$F$26,3,FALSE())</f>
        <v>Manufacturas</v>
      </c>
      <c r="N34" s="27" t="str">
        <f aca="false">+VLOOKUP(K34,'Correl CIIU'!$A$1:$F$26,4,FALSE())</f>
        <v>Manufacturing</v>
      </c>
      <c r="O34" s="27" t="n">
        <v>3</v>
      </c>
      <c r="P34" s="28" t="str">
        <f aca="false">+VLOOKUP(O34,bio!$A$2:$B$4,2,FALSE())</f>
        <v>No bioeconomía</v>
      </c>
    </row>
    <row r="35" customFormat="false" ht="14.25" hidden="false" customHeight="false" outlineLevel="0" collapsed="false">
      <c r="A35" s="24" t="s">
        <v>979</v>
      </c>
      <c r="B35" s="25" t="s">
        <v>1405</v>
      </c>
      <c r="C35" s="26" t="str">
        <f aca="false">+VLOOKUP(B35,'transacciones '!$A$2:$I$39,2,FALSE())</f>
        <v>ATC01</v>
      </c>
      <c r="D35" s="26" t="str">
        <f aca="false">+VLOOKUP(B35,'transacciones '!$A$2:$I$39,3,FALSE())</f>
        <v>Producción / Consumo intermedio</v>
      </c>
      <c r="E35" s="26" t="str">
        <f aca="false">+VLOOKUP(B35,'transacciones '!$A$2:$I$39,4,FALSE())</f>
        <v>Producción</v>
      </c>
      <c r="F35" s="26" t="n">
        <f aca="false">+VLOOKUP(B35,'transacciones '!$A$2:$I$39,5,FALSE())</f>
        <v>1</v>
      </c>
      <c r="G35" s="26" t="str">
        <f aca="false">+VLOOKUP(B35,'transacciones '!$A$2:$I$39,6,FALSE())</f>
        <v>P1</v>
      </c>
      <c r="H35" s="26" t="str">
        <f aca="false">+VLOOKUP(B35,'transacciones '!$A$2:$I$39,7,FALSE())</f>
        <v>Producción</v>
      </c>
      <c r="I35" s="9" t="s">
        <v>1475</v>
      </c>
      <c r="J35" s="9" t="s">
        <v>1476</v>
      </c>
      <c r="K35" s="27" t="s">
        <v>1424</v>
      </c>
      <c r="L35" s="27" t="str">
        <f aca="false">+VLOOKUP(K35,'Correl CIIU'!$A$1:$F$26,2,FALSE())</f>
        <v>Industrias manufactureras</v>
      </c>
      <c r="M35" s="27" t="str">
        <f aca="false">+VLOOKUP(K35,'Correl CIIU'!$A$1:$F$26,3,FALSE())</f>
        <v>Manufacturas</v>
      </c>
      <c r="N35" s="27" t="str">
        <f aca="false">+VLOOKUP(K35,'Correl CIIU'!$A$1:$F$26,4,FALSE())</f>
        <v>Manufacturing</v>
      </c>
      <c r="O35" s="27" t="n">
        <v>3</v>
      </c>
      <c r="P35" s="28" t="str">
        <f aca="false">+VLOOKUP(O35,bio!$A$2:$B$4,2,FALSE())</f>
        <v>No bioeconomía</v>
      </c>
    </row>
    <row r="36" customFormat="false" ht="14.25" hidden="false" customHeight="false" outlineLevel="0" collapsed="false">
      <c r="A36" s="24" t="s">
        <v>981</v>
      </c>
      <c r="B36" s="25" t="s">
        <v>1405</v>
      </c>
      <c r="C36" s="26" t="str">
        <f aca="false">+VLOOKUP(B36,'transacciones '!$A$2:$I$39,2,FALSE())</f>
        <v>ATC01</v>
      </c>
      <c r="D36" s="26" t="str">
        <f aca="false">+VLOOKUP(B36,'transacciones '!$A$2:$I$39,3,FALSE())</f>
        <v>Producción / Consumo intermedio</v>
      </c>
      <c r="E36" s="26" t="str">
        <f aca="false">+VLOOKUP(B36,'transacciones '!$A$2:$I$39,4,FALSE())</f>
        <v>Producción</v>
      </c>
      <c r="F36" s="26" t="n">
        <f aca="false">+VLOOKUP(B36,'transacciones '!$A$2:$I$39,5,FALSE())</f>
        <v>1</v>
      </c>
      <c r="G36" s="26" t="str">
        <f aca="false">+VLOOKUP(B36,'transacciones '!$A$2:$I$39,6,FALSE())</f>
        <v>P1</v>
      </c>
      <c r="H36" s="26" t="str">
        <f aca="false">+VLOOKUP(B36,'transacciones '!$A$2:$I$39,7,FALSE())</f>
        <v>Producción</v>
      </c>
      <c r="I36" s="26" t="s">
        <v>1477</v>
      </c>
      <c r="J36" s="26" t="s">
        <v>1478</v>
      </c>
      <c r="K36" s="27" t="s">
        <v>1424</v>
      </c>
      <c r="L36" s="27" t="str">
        <f aca="false">+VLOOKUP(K36,'Correl CIIU'!$A$1:$F$26,2,FALSE())</f>
        <v>Industrias manufactureras</v>
      </c>
      <c r="M36" s="27" t="str">
        <f aca="false">+VLOOKUP(K36,'Correl CIIU'!$A$1:$F$26,3,FALSE())</f>
        <v>Manufacturas</v>
      </c>
      <c r="N36" s="27" t="str">
        <f aca="false">+VLOOKUP(K36,'Correl CIIU'!$A$1:$F$26,4,FALSE())</f>
        <v>Manufacturing</v>
      </c>
      <c r="O36" s="27" t="n">
        <v>3</v>
      </c>
      <c r="P36" s="28" t="str">
        <f aca="false">+VLOOKUP(O36,bio!$A$2:$B$4,2,FALSE())</f>
        <v>No bioeconomía</v>
      </c>
    </row>
    <row r="37" customFormat="false" ht="14.25" hidden="false" customHeight="false" outlineLevel="0" collapsed="false">
      <c r="A37" s="24" t="s">
        <v>983</v>
      </c>
      <c r="B37" s="25" t="s">
        <v>1405</v>
      </c>
      <c r="C37" s="26" t="str">
        <f aca="false">+VLOOKUP(B37,'transacciones '!$A$2:$I$39,2,FALSE())</f>
        <v>ATC01</v>
      </c>
      <c r="D37" s="26" t="str">
        <f aca="false">+VLOOKUP(B37,'transacciones '!$A$2:$I$39,3,FALSE())</f>
        <v>Producción / Consumo intermedio</v>
      </c>
      <c r="E37" s="26" t="str">
        <f aca="false">+VLOOKUP(B37,'transacciones '!$A$2:$I$39,4,FALSE())</f>
        <v>Producción</v>
      </c>
      <c r="F37" s="26" t="n">
        <f aca="false">+VLOOKUP(B37,'transacciones '!$A$2:$I$39,5,FALSE())</f>
        <v>1</v>
      </c>
      <c r="G37" s="26" t="str">
        <f aca="false">+VLOOKUP(B37,'transacciones '!$A$2:$I$39,6,FALSE())</f>
        <v>P1</v>
      </c>
      <c r="H37" s="26" t="str">
        <f aca="false">+VLOOKUP(B37,'transacciones '!$A$2:$I$39,7,FALSE())</f>
        <v>Producción</v>
      </c>
      <c r="I37" s="9" t="s">
        <v>1479</v>
      </c>
      <c r="J37" s="9" t="s">
        <v>1480</v>
      </c>
      <c r="K37" s="27" t="s">
        <v>1424</v>
      </c>
      <c r="L37" s="27" t="str">
        <f aca="false">+VLOOKUP(K37,'Correl CIIU'!$A$1:$F$26,2,FALSE())</f>
        <v>Industrias manufactureras</v>
      </c>
      <c r="M37" s="27" t="str">
        <f aca="false">+VLOOKUP(K37,'Correl CIIU'!$A$1:$F$26,3,FALSE())</f>
        <v>Manufacturas</v>
      </c>
      <c r="N37" s="27" t="str">
        <f aca="false">+VLOOKUP(K37,'Correl CIIU'!$A$1:$F$26,4,FALSE())</f>
        <v>Manufacturing</v>
      </c>
      <c r="O37" s="27" t="n">
        <v>3</v>
      </c>
      <c r="P37" s="28" t="str">
        <f aca="false">+VLOOKUP(O37,bio!$A$2:$B$4,2,FALSE())</f>
        <v>No bioeconomía</v>
      </c>
    </row>
    <row r="38" customFormat="false" ht="14.25" hidden="false" customHeight="false" outlineLevel="0" collapsed="false">
      <c r="A38" s="24" t="s">
        <v>985</v>
      </c>
      <c r="B38" s="25" t="s">
        <v>1405</v>
      </c>
      <c r="C38" s="26" t="str">
        <f aca="false">+VLOOKUP(B38,'transacciones '!$A$2:$I$39,2,FALSE())</f>
        <v>ATC01</v>
      </c>
      <c r="D38" s="26" t="str">
        <f aca="false">+VLOOKUP(B38,'transacciones '!$A$2:$I$39,3,FALSE())</f>
        <v>Producción / Consumo intermedio</v>
      </c>
      <c r="E38" s="26" t="str">
        <f aca="false">+VLOOKUP(B38,'transacciones '!$A$2:$I$39,4,FALSE())</f>
        <v>Producción</v>
      </c>
      <c r="F38" s="26" t="n">
        <f aca="false">+VLOOKUP(B38,'transacciones '!$A$2:$I$39,5,FALSE())</f>
        <v>1</v>
      </c>
      <c r="G38" s="26" t="str">
        <f aca="false">+VLOOKUP(B38,'transacciones '!$A$2:$I$39,6,FALSE())</f>
        <v>P1</v>
      </c>
      <c r="H38" s="26" t="str">
        <f aca="false">+VLOOKUP(B38,'transacciones '!$A$2:$I$39,7,FALSE())</f>
        <v>Producción</v>
      </c>
      <c r="I38" s="26" t="s">
        <v>1481</v>
      </c>
      <c r="J38" s="26" t="s">
        <v>1482</v>
      </c>
      <c r="K38" s="27" t="s">
        <v>1424</v>
      </c>
      <c r="L38" s="27" t="str">
        <f aca="false">+VLOOKUP(K38,'Correl CIIU'!$A$1:$F$26,2,FALSE())</f>
        <v>Industrias manufactureras</v>
      </c>
      <c r="M38" s="27" t="str">
        <f aca="false">+VLOOKUP(K38,'Correl CIIU'!$A$1:$F$26,3,FALSE())</f>
        <v>Manufacturas</v>
      </c>
      <c r="N38" s="27" t="str">
        <f aca="false">+VLOOKUP(K38,'Correl CIIU'!$A$1:$F$26,4,FALSE())</f>
        <v>Manufacturing</v>
      </c>
      <c r="O38" s="27" t="n">
        <v>3</v>
      </c>
      <c r="P38" s="28" t="str">
        <f aca="false">+VLOOKUP(O38,bio!$A$2:$B$4,2,FALSE())</f>
        <v>No bioeconomía</v>
      </c>
    </row>
    <row r="39" customFormat="false" ht="14.25" hidden="false" customHeight="false" outlineLevel="0" collapsed="false">
      <c r="A39" s="24" t="s">
        <v>987</v>
      </c>
      <c r="B39" s="25" t="s">
        <v>1405</v>
      </c>
      <c r="C39" s="26" t="str">
        <f aca="false">+VLOOKUP(B39,'transacciones '!$A$2:$I$39,2,FALSE())</f>
        <v>ATC01</v>
      </c>
      <c r="D39" s="26" t="str">
        <f aca="false">+VLOOKUP(B39,'transacciones '!$A$2:$I$39,3,FALSE())</f>
        <v>Producción / Consumo intermedio</v>
      </c>
      <c r="E39" s="26" t="str">
        <f aca="false">+VLOOKUP(B39,'transacciones '!$A$2:$I$39,4,FALSE())</f>
        <v>Producción</v>
      </c>
      <c r="F39" s="26" t="n">
        <f aca="false">+VLOOKUP(B39,'transacciones '!$A$2:$I$39,5,FALSE())</f>
        <v>1</v>
      </c>
      <c r="G39" s="26" t="str">
        <f aca="false">+VLOOKUP(B39,'transacciones '!$A$2:$I$39,6,FALSE())</f>
        <v>P1</v>
      </c>
      <c r="H39" s="26" t="str">
        <f aca="false">+VLOOKUP(B39,'transacciones '!$A$2:$I$39,7,FALSE())</f>
        <v>Producción</v>
      </c>
      <c r="I39" s="9" t="s">
        <v>1483</v>
      </c>
      <c r="J39" s="9" t="s">
        <v>1484</v>
      </c>
      <c r="K39" s="27" t="s">
        <v>1485</v>
      </c>
      <c r="L39" s="27" t="str">
        <f aca="false">+VLOOKUP(K39,'Correl CIIU'!$A$1:$F$26,2,FALSE())</f>
        <v>Suministro de electricidad, gas, vapor y aire acondicionado</v>
      </c>
      <c r="M39" s="27" t="str">
        <f aca="false">+VLOOKUP(K39,'Correl CIIU'!$A$1:$F$26,3,FALSE())</f>
        <v>Servicios básicos</v>
      </c>
      <c r="N39" s="27" t="str">
        <f aca="false">+VLOOKUP(K39,'Correl CIIU'!$A$1:$F$26,4,FALSE())</f>
        <v>Electricity, gas, steam and air conditioning supply</v>
      </c>
      <c r="O39" s="27" t="n">
        <v>3</v>
      </c>
      <c r="P39" s="28" t="str">
        <f aca="false">+VLOOKUP(O39,bio!$A$2:$B$4,2,FALSE())</f>
        <v>No bioeconomía</v>
      </c>
    </row>
    <row r="40" customFormat="false" ht="14.25" hidden="false" customHeight="false" outlineLevel="0" collapsed="false">
      <c r="A40" s="24" t="s">
        <v>989</v>
      </c>
      <c r="B40" s="25" t="s">
        <v>1405</v>
      </c>
      <c r="C40" s="26" t="str">
        <f aca="false">+VLOOKUP(B40,'transacciones '!$A$2:$I$39,2,FALSE())</f>
        <v>ATC01</v>
      </c>
      <c r="D40" s="26" t="str">
        <f aca="false">+VLOOKUP(B40,'transacciones '!$A$2:$I$39,3,FALSE())</f>
        <v>Producción / Consumo intermedio</v>
      </c>
      <c r="E40" s="26" t="str">
        <f aca="false">+VLOOKUP(B40,'transacciones '!$A$2:$I$39,4,FALSE())</f>
        <v>Producción</v>
      </c>
      <c r="F40" s="26" t="n">
        <f aca="false">+VLOOKUP(B40,'transacciones '!$A$2:$I$39,5,FALSE())</f>
        <v>1</v>
      </c>
      <c r="G40" s="26" t="str">
        <f aca="false">+VLOOKUP(B40,'transacciones '!$A$2:$I$39,6,FALSE())</f>
        <v>P1</v>
      </c>
      <c r="H40" s="26" t="str">
        <f aca="false">+VLOOKUP(B40,'transacciones '!$A$2:$I$39,7,FALSE())</f>
        <v>Producción</v>
      </c>
      <c r="I40" s="26" t="s">
        <v>1486</v>
      </c>
      <c r="J40" s="26" t="s">
        <v>1487</v>
      </c>
      <c r="K40" s="27" t="s">
        <v>1488</v>
      </c>
      <c r="L40" s="27" t="str">
        <f aca="false">+VLOOKUP(K40,'Correl CIIU'!$A$1:$F$26,2,FALSE())</f>
        <v>Suministro de agua; evacuación de aguas residuales, gestión de desechos y descontaminación</v>
      </c>
      <c r="M40" s="27" t="str">
        <f aca="false">+VLOOKUP(K40,'Correl CIIU'!$A$1:$F$26,3,FALSE())</f>
        <v>Suministro de agua</v>
      </c>
      <c r="N40" s="27" t="str">
        <f aca="false">+VLOOKUP(K40,'Correl CIIU'!$A$1:$F$26,4,FALSE())</f>
        <v>Water supply; sewerage, waste management and remediation activities</v>
      </c>
      <c r="O40" s="27" t="n">
        <v>2</v>
      </c>
      <c r="P40" s="28" t="str">
        <f aca="false">+VLOOKUP(O40,bio!$A$2:$B$4,2,FALSE())</f>
        <v>Bioeconomía extendida</v>
      </c>
    </row>
    <row r="41" customFormat="false" ht="14.25" hidden="false" customHeight="false" outlineLevel="0" collapsed="false">
      <c r="A41" s="24" t="s">
        <v>991</v>
      </c>
      <c r="B41" s="25" t="s">
        <v>1405</v>
      </c>
      <c r="C41" s="26" t="str">
        <f aca="false">+VLOOKUP(B41,'transacciones '!$A$2:$I$39,2,FALSE())</f>
        <v>ATC01</v>
      </c>
      <c r="D41" s="26" t="str">
        <f aca="false">+VLOOKUP(B41,'transacciones '!$A$2:$I$39,3,FALSE())</f>
        <v>Producción / Consumo intermedio</v>
      </c>
      <c r="E41" s="26" t="str">
        <f aca="false">+VLOOKUP(B41,'transacciones '!$A$2:$I$39,4,FALSE())</f>
        <v>Producción</v>
      </c>
      <c r="F41" s="26" t="n">
        <f aca="false">+VLOOKUP(B41,'transacciones '!$A$2:$I$39,5,FALSE())</f>
        <v>1</v>
      </c>
      <c r="G41" s="26" t="str">
        <f aca="false">+VLOOKUP(B41,'transacciones '!$A$2:$I$39,6,FALSE())</f>
        <v>P1</v>
      </c>
      <c r="H41" s="26" t="str">
        <f aca="false">+VLOOKUP(B41,'transacciones '!$A$2:$I$39,7,FALSE())</f>
        <v>Producción</v>
      </c>
      <c r="I41" s="9" t="s">
        <v>1489</v>
      </c>
      <c r="J41" s="9" t="s">
        <v>1490</v>
      </c>
      <c r="K41" s="27" t="s">
        <v>1491</v>
      </c>
      <c r="L41" s="27" t="str">
        <f aca="false">+VLOOKUP(K41,'Correl CIIU'!$A$1:$F$26,2,FALSE())</f>
        <v>Construcción</v>
      </c>
      <c r="M41" s="27" t="str">
        <f aca="false">+VLOOKUP(K41,'Correl CIIU'!$A$1:$F$26,3,FALSE())</f>
        <v>Construcción</v>
      </c>
      <c r="N41" s="27" t="str">
        <f aca="false">+VLOOKUP(K41,'Correl CIIU'!$A$1:$F$26,4,FALSE())</f>
        <v>Construction</v>
      </c>
      <c r="O41" s="27" t="n">
        <v>3</v>
      </c>
      <c r="P41" s="28" t="str">
        <f aca="false">+VLOOKUP(O41,bio!$A$2:$B$4,2,FALSE())</f>
        <v>No bioeconomía</v>
      </c>
    </row>
    <row r="42" customFormat="false" ht="14.25" hidden="false" customHeight="false" outlineLevel="0" collapsed="false">
      <c r="A42" s="24" t="s">
        <v>993</v>
      </c>
      <c r="B42" s="25" t="s">
        <v>1405</v>
      </c>
      <c r="C42" s="26" t="str">
        <f aca="false">+VLOOKUP(B42,'transacciones '!$A$2:$I$39,2,FALSE())</f>
        <v>ATC01</v>
      </c>
      <c r="D42" s="26" t="str">
        <f aca="false">+VLOOKUP(B42,'transacciones '!$A$2:$I$39,3,FALSE())</f>
        <v>Producción / Consumo intermedio</v>
      </c>
      <c r="E42" s="26" t="str">
        <f aca="false">+VLOOKUP(B42,'transacciones '!$A$2:$I$39,4,FALSE())</f>
        <v>Producción</v>
      </c>
      <c r="F42" s="26" t="n">
        <f aca="false">+VLOOKUP(B42,'transacciones '!$A$2:$I$39,5,FALSE())</f>
        <v>1</v>
      </c>
      <c r="G42" s="26" t="str">
        <f aca="false">+VLOOKUP(B42,'transacciones '!$A$2:$I$39,6,FALSE())</f>
        <v>P1</v>
      </c>
      <c r="H42" s="26" t="str">
        <f aca="false">+VLOOKUP(B42,'transacciones '!$A$2:$I$39,7,FALSE())</f>
        <v>Producción</v>
      </c>
      <c r="I42" s="26" t="s">
        <v>1492</v>
      </c>
      <c r="J42" s="26" t="s">
        <v>1493</v>
      </c>
      <c r="K42" s="27" t="s">
        <v>1494</v>
      </c>
      <c r="L42" s="27" t="str">
        <f aca="false">+VLOOKUP(K42,'Correl CIIU'!$A$1:$F$26,2,FALSE())</f>
        <v>Comercio al por mayor y al por menor; reparación de vehículos automotores y motocicletas</v>
      </c>
      <c r="M42" s="27" t="str">
        <f aca="false">+VLOOKUP(K42,'Correl CIIU'!$A$1:$F$26,3,FALSE())</f>
        <v>Comercio</v>
      </c>
      <c r="N42" s="27" t="str">
        <f aca="false">+VLOOKUP(K42,'Correl CIIU'!$A$1:$F$26,4,FALSE())</f>
        <v>Wholesale and retail trade; repair of motor vehicles and motorcycles</v>
      </c>
      <c r="O42" s="30" t="n">
        <v>3</v>
      </c>
      <c r="P42" s="28" t="str">
        <f aca="false">+VLOOKUP(O42,bio!$A$2:$B$4,2,FALSE())</f>
        <v>No bioeconomía</v>
      </c>
    </row>
    <row r="43" customFormat="false" ht="23.3" hidden="false" customHeight="false" outlineLevel="0" collapsed="false">
      <c r="A43" s="24" t="s">
        <v>995</v>
      </c>
      <c r="B43" s="25" t="s">
        <v>1405</v>
      </c>
      <c r="C43" s="26" t="str">
        <f aca="false">+VLOOKUP(B43,'transacciones '!$A$2:$I$39,2,FALSE())</f>
        <v>ATC01</v>
      </c>
      <c r="D43" s="26" t="str">
        <f aca="false">+VLOOKUP(B43,'transacciones '!$A$2:$I$39,3,FALSE())</f>
        <v>Producción / Consumo intermedio</v>
      </c>
      <c r="E43" s="26" t="str">
        <f aca="false">+VLOOKUP(B43,'transacciones '!$A$2:$I$39,4,FALSE())</f>
        <v>Producción</v>
      </c>
      <c r="F43" s="26" t="n">
        <f aca="false">+VLOOKUP(B43,'transacciones '!$A$2:$I$39,5,FALSE())</f>
        <v>1</v>
      </c>
      <c r="G43" s="26" t="str">
        <f aca="false">+VLOOKUP(B43,'transacciones '!$A$2:$I$39,6,FALSE())</f>
        <v>P1</v>
      </c>
      <c r="H43" s="26" t="str">
        <f aca="false">+VLOOKUP(B43,'transacciones '!$A$2:$I$39,7,FALSE())</f>
        <v>Producción</v>
      </c>
      <c r="I43" s="9" t="s">
        <v>1495</v>
      </c>
      <c r="J43" s="29" t="s">
        <v>1496</v>
      </c>
      <c r="K43" s="27" t="s">
        <v>1494</v>
      </c>
      <c r="L43" s="27" t="str">
        <f aca="false">+VLOOKUP(K43,'Correl CIIU'!$A$1:$F$26,2,FALSE())</f>
        <v>Comercio al por mayor y al por menor; reparación de vehículos automotores y motocicletas</v>
      </c>
      <c r="M43" s="27" t="str">
        <f aca="false">+VLOOKUP(K43,'Correl CIIU'!$A$1:$F$26,3,FALSE())</f>
        <v>Comercio</v>
      </c>
      <c r="N43" s="27" t="str">
        <f aca="false">+VLOOKUP(K43,'Correl CIIU'!$A$1:$F$26,4,FALSE())</f>
        <v>Wholesale and retail trade; repair of motor vehicles and motorcycles</v>
      </c>
      <c r="O43" s="30" t="n">
        <v>3</v>
      </c>
      <c r="P43" s="28" t="str">
        <f aca="false">+VLOOKUP(O43,bio!$A$2:$B$4,2,FALSE())</f>
        <v>No bioeconomía</v>
      </c>
    </row>
    <row r="44" customFormat="false" ht="14.25" hidden="false" customHeight="false" outlineLevel="0" collapsed="false">
      <c r="A44" s="24" t="s">
        <v>997</v>
      </c>
      <c r="B44" s="25" t="s">
        <v>1405</v>
      </c>
      <c r="C44" s="26" t="str">
        <f aca="false">+VLOOKUP(B44,'transacciones '!$A$2:$I$39,2,FALSE())</f>
        <v>ATC01</v>
      </c>
      <c r="D44" s="26" t="str">
        <f aca="false">+VLOOKUP(B44,'transacciones '!$A$2:$I$39,3,FALSE())</f>
        <v>Producción / Consumo intermedio</v>
      </c>
      <c r="E44" s="26" t="str">
        <f aca="false">+VLOOKUP(B44,'transacciones '!$A$2:$I$39,4,FALSE())</f>
        <v>Producción</v>
      </c>
      <c r="F44" s="26" t="n">
        <f aca="false">+VLOOKUP(B44,'transacciones '!$A$2:$I$39,5,FALSE())</f>
        <v>1</v>
      </c>
      <c r="G44" s="26" t="str">
        <f aca="false">+VLOOKUP(B44,'transacciones '!$A$2:$I$39,6,FALSE())</f>
        <v>P1</v>
      </c>
      <c r="H44" s="26" t="str">
        <f aca="false">+VLOOKUP(B44,'transacciones '!$A$2:$I$39,7,FALSE())</f>
        <v>Producción</v>
      </c>
      <c r="I44" s="26" t="s">
        <v>1497</v>
      </c>
      <c r="J44" s="26" t="s">
        <v>1498</v>
      </c>
      <c r="K44" s="27" t="s">
        <v>1499</v>
      </c>
      <c r="L44" s="27" t="str">
        <f aca="false">+VLOOKUP(K44,'Correl CIIU'!$A$1:$F$26,2,FALSE())</f>
        <v>Transporte y almacenamiento</v>
      </c>
      <c r="M44" s="27" t="str">
        <f aca="false">+VLOOKUP(K44,'Correl CIIU'!$A$1:$F$26,3,FALSE())</f>
        <v>Transporte y almacenamiento</v>
      </c>
      <c r="N44" s="27" t="str">
        <f aca="false">+VLOOKUP(K44,'Correl CIIU'!$A$1:$F$26,4,FALSE())</f>
        <v>Transportation and storage</v>
      </c>
      <c r="O44" s="30" t="n">
        <v>3</v>
      </c>
      <c r="P44" s="28" t="str">
        <f aca="false">+VLOOKUP(O44,bio!$A$2:$B$4,2,FALSE())</f>
        <v>No bioeconomía</v>
      </c>
    </row>
    <row r="45" customFormat="false" ht="14.25" hidden="false" customHeight="false" outlineLevel="0" collapsed="false">
      <c r="A45" s="24" t="s">
        <v>999</v>
      </c>
      <c r="B45" s="25" t="s">
        <v>1405</v>
      </c>
      <c r="C45" s="26" t="str">
        <f aca="false">+VLOOKUP(B45,'transacciones '!$A$2:$I$39,2,FALSE())</f>
        <v>ATC01</v>
      </c>
      <c r="D45" s="26" t="str">
        <f aca="false">+VLOOKUP(B45,'transacciones '!$A$2:$I$39,3,FALSE())</f>
        <v>Producción / Consumo intermedio</v>
      </c>
      <c r="E45" s="26" t="str">
        <f aca="false">+VLOOKUP(B45,'transacciones '!$A$2:$I$39,4,FALSE())</f>
        <v>Producción</v>
      </c>
      <c r="F45" s="26" t="n">
        <f aca="false">+VLOOKUP(B45,'transacciones '!$A$2:$I$39,5,FALSE())</f>
        <v>1</v>
      </c>
      <c r="G45" s="26" t="str">
        <f aca="false">+VLOOKUP(B45,'transacciones '!$A$2:$I$39,6,FALSE())</f>
        <v>P1</v>
      </c>
      <c r="H45" s="26" t="str">
        <f aca="false">+VLOOKUP(B45,'transacciones '!$A$2:$I$39,7,FALSE())</f>
        <v>Producción</v>
      </c>
      <c r="I45" s="9" t="s">
        <v>1500</v>
      </c>
      <c r="J45" s="9" t="s">
        <v>1501</v>
      </c>
      <c r="K45" s="27" t="s">
        <v>1499</v>
      </c>
      <c r="L45" s="27" t="str">
        <f aca="false">+VLOOKUP(K45,'Correl CIIU'!$A$1:$F$26,2,FALSE())</f>
        <v>Transporte y almacenamiento</v>
      </c>
      <c r="M45" s="27" t="str">
        <f aca="false">+VLOOKUP(K45,'Correl CIIU'!$A$1:$F$26,3,FALSE())</f>
        <v>Transporte y almacenamiento</v>
      </c>
      <c r="N45" s="27" t="str">
        <f aca="false">+VLOOKUP(K45,'Correl CIIU'!$A$1:$F$26,4,FALSE())</f>
        <v>Transportation and storage</v>
      </c>
      <c r="O45" s="27" t="n">
        <v>3</v>
      </c>
      <c r="P45" s="28" t="str">
        <f aca="false">+VLOOKUP(O45,bio!$A$2:$B$4,2,FALSE())</f>
        <v>No bioeconomía</v>
      </c>
    </row>
    <row r="46" customFormat="false" ht="14.25" hidden="false" customHeight="false" outlineLevel="0" collapsed="false">
      <c r="A46" s="24" t="s">
        <v>1001</v>
      </c>
      <c r="B46" s="25" t="s">
        <v>1405</v>
      </c>
      <c r="C46" s="26" t="str">
        <f aca="false">+VLOOKUP(B46,'transacciones '!$A$2:$I$39,2,FALSE())</f>
        <v>ATC01</v>
      </c>
      <c r="D46" s="26" t="str">
        <f aca="false">+VLOOKUP(B46,'transacciones '!$A$2:$I$39,3,FALSE())</f>
        <v>Producción / Consumo intermedio</v>
      </c>
      <c r="E46" s="26" t="str">
        <f aca="false">+VLOOKUP(B46,'transacciones '!$A$2:$I$39,4,FALSE())</f>
        <v>Producción</v>
      </c>
      <c r="F46" s="26" t="n">
        <f aca="false">+VLOOKUP(B46,'transacciones '!$A$2:$I$39,5,FALSE())</f>
        <v>1</v>
      </c>
      <c r="G46" s="26" t="str">
        <f aca="false">+VLOOKUP(B46,'transacciones '!$A$2:$I$39,6,FALSE())</f>
        <v>P1</v>
      </c>
      <c r="H46" s="26" t="str">
        <f aca="false">+VLOOKUP(B46,'transacciones '!$A$2:$I$39,7,FALSE())</f>
        <v>Producción</v>
      </c>
      <c r="I46" s="26" t="s">
        <v>1502</v>
      </c>
      <c r="J46" s="26" t="s">
        <v>1503</v>
      </c>
      <c r="K46" s="27" t="s">
        <v>1499</v>
      </c>
      <c r="L46" s="27" t="str">
        <f aca="false">+VLOOKUP(K46,'Correl CIIU'!$A$1:$F$26,2,FALSE())</f>
        <v>Transporte y almacenamiento</v>
      </c>
      <c r="M46" s="27" t="str">
        <f aca="false">+VLOOKUP(K46,'Correl CIIU'!$A$1:$F$26,3,FALSE())</f>
        <v>Transporte y almacenamiento</v>
      </c>
      <c r="N46" s="27" t="str">
        <f aca="false">+VLOOKUP(K46,'Correl CIIU'!$A$1:$F$26,4,FALSE())</f>
        <v>Transportation and storage</v>
      </c>
      <c r="O46" s="27" t="n">
        <v>3</v>
      </c>
      <c r="P46" s="28" t="str">
        <f aca="false">+VLOOKUP(O46,bio!$A$2:$B$4,2,FALSE())</f>
        <v>No bioeconomía</v>
      </c>
    </row>
    <row r="47" customFormat="false" ht="23.3" hidden="false" customHeight="false" outlineLevel="0" collapsed="false">
      <c r="A47" s="24" t="s">
        <v>1003</v>
      </c>
      <c r="B47" s="25" t="s">
        <v>1405</v>
      </c>
      <c r="C47" s="26" t="str">
        <f aca="false">+VLOOKUP(B47,'transacciones '!$A$2:$I$39,2,FALSE())</f>
        <v>ATC01</v>
      </c>
      <c r="D47" s="26" t="str">
        <f aca="false">+VLOOKUP(B47,'transacciones '!$A$2:$I$39,3,FALSE())</f>
        <v>Producción / Consumo intermedio</v>
      </c>
      <c r="E47" s="26" t="str">
        <f aca="false">+VLOOKUP(B47,'transacciones '!$A$2:$I$39,4,FALSE())</f>
        <v>Producción</v>
      </c>
      <c r="F47" s="26" t="n">
        <f aca="false">+VLOOKUP(B47,'transacciones '!$A$2:$I$39,5,FALSE())</f>
        <v>1</v>
      </c>
      <c r="G47" s="26" t="str">
        <f aca="false">+VLOOKUP(B47,'transacciones '!$A$2:$I$39,6,FALSE())</f>
        <v>P1</v>
      </c>
      <c r="H47" s="26" t="str">
        <f aca="false">+VLOOKUP(B47,'transacciones '!$A$2:$I$39,7,FALSE())</f>
        <v>Producción</v>
      </c>
      <c r="I47" s="9" t="s">
        <v>1504</v>
      </c>
      <c r="J47" s="29" t="s">
        <v>1505</v>
      </c>
      <c r="K47" s="11" t="s">
        <v>1499</v>
      </c>
      <c r="L47" s="27" t="str">
        <f aca="false">+VLOOKUP(K47,'Correl CIIU'!$A$1:$F$26,2,FALSE())</f>
        <v>Transporte y almacenamiento</v>
      </c>
      <c r="M47" s="27" t="str">
        <f aca="false">+VLOOKUP(K47,'Correl CIIU'!$A$1:$F$26,3,FALSE())</f>
        <v>Transporte y almacenamiento</v>
      </c>
      <c r="N47" s="27" t="str">
        <f aca="false">+VLOOKUP(K47,'Correl CIIU'!$A$1:$F$26,4,FALSE())</f>
        <v>Transportation and storage</v>
      </c>
      <c r="O47" s="27" t="n">
        <v>3</v>
      </c>
      <c r="P47" s="28" t="str">
        <f aca="false">+VLOOKUP(O47,bio!$A$2:$B$4,2,FALSE())</f>
        <v>No bioeconomía</v>
      </c>
    </row>
    <row r="48" customFormat="false" ht="14.25" hidden="false" customHeight="false" outlineLevel="0" collapsed="false">
      <c r="A48" s="24" t="s">
        <v>1005</v>
      </c>
      <c r="B48" s="25" t="s">
        <v>1405</v>
      </c>
      <c r="C48" s="26" t="str">
        <f aca="false">+VLOOKUP(B48,'transacciones '!$A$2:$I$39,2,FALSE())</f>
        <v>ATC01</v>
      </c>
      <c r="D48" s="26" t="str">
        <f aca="false">+VLOOKUP(B48,'transacciones '!$A$2:$I$39,3,FALSE())</f>
        <v>Producción / Consumo intermedio</v>
      </c>
      <c r="E48" s="26" t="str">
        <f aca="false">+VLOOKUP(B48,'transacciones '!$A$2:$I$39,4,FALSE())</f>
        <v>Producción</v>
      </c>
      <c r="F48" s="26" t="n">
        <f aca="false">+VLOOKUP(B48,'transacciones '!$A$2:$I$39,5,FALSE())</f>
        <v>1</v>
      </c>
      <c r="G48" s="26" t="str">
        <f aca="false">+VLOOKUP(B48,'transacciones '!$A$2:$I$39,6,FALSE())</f>
        <v>P1</v>
      </c>
      <c r="H48" s="26" t="str">
        <f aca="false">+VLOOKUP(B48,'transacciones '!$A$2:$I$39,7,FALSE())</f>
        <v>Producción</v>
      </c>
      <c r="I48" s="26" t="s">
        <v>1506</v>
      </c>
      <c r="J48" s="26" t="s">
        <v>1507</v>
      </c>
      <c r="K48" s="11" t="s">
        <v>1508</v>
      </c>
      <c r="L48" s="27" t="str">
        <f aca="false">+VLOOKUP(K48,'Correl CIIU'!$A$1:$F$26,2,FALSE())</f>
        <v>Actividades de alojamiento y de servicio de comidas</v>
      </c>
      <c r="M48" s="27" t="str">
        <f aca="false">+VLOOKUP(K48,'Correl CIIU'!$A$1:$F$26,3,FALSE())</f>
        <v>Alojamiento y alimentación</v>
      </c>
      <c r="N48" s="27" t="str">
        <f aca="false">+VLOOKUP(K48,'Correl CIIU'!$A$1:$F$26,4,FALSE())</f>
        <v>Accommodation and food service activities</v>
      </c>
      <c r="O48" s="27" t="n">
        <v>3</v>
      </c>
      <c r="P48" s="28" t="str">
        <f aca="false">+VLOOKUP(O48,bio!$A$2:$B$4,2,FALSE())</f>
        <v>No bioeconomía</v>
      </c>
    </row>
    <row r="49" customFormat="false" ht="14.25" hidden="false" customHeight="false" outlineLevel="0" collapsed="false">
      <c r="A49" s="24" t="s">
        <v>1007</v>
      </c>
      <c r="B49" s="25" t="s">
        <v>1405</v>
      </c>
      <c r="C49" s="26" t="str">
        <f aca="false">+VLOOKUP(B49,'transacciones '!$A$2:$I$39,2,FALSE())</f>
        <v>ATC01</v>
      </c>
      <c r="D49" s="26" t="str">
        <f aca="false">+VLOOKUP(B49,'transacciones '!$A$2:$I$39,3,FALSE())</f>
        <v>Producción / Consumo intermedio</v>
      </c>
      <c r="E49" s="26" t="str">
        <f aca="false">+VLOOKUP(B49,'transacciones '!$A$2:$I$39,4,FALSE())</f>
        <v>Producción</v>
      </c>
      <c r="F49" s="26" t="n">
        <f aca="false">+VLOOKUP(B49,'transacciones '!$A$2:$I$39,5,FALSE())</f>
        <v>1</v>
      </c>
      <c r="G49" s="26" t="str">
        <f aca="false">+VLOOKUP(B49,'transacciones '!$A$2:$I$39,6,FALSE())</f>
        <v>P1</v>
      </c>
      <c r="H49" s="26" t="str">
        <f aca="false">+VLOOKUP(B49,'transacciones '!$A$2:$I$39,7,FALSE())</f>
        <v>Producción</v>
      </c>
      <c r="I49" s="9" t="s">
        <v>1509</v>
      </c>
      <c r="J49" s="9" t="s">
        <v>1510</v>
      </c>
      <c r="K49" s="11" t="s">
        <v>1508</v>
      </c>
      <c r="L49" s="27" t="str">
        <f aca="false">+VLOOKUP(K49,'Correl CIIU'!$A$1:$F$26,2,FALSE())</f>
        <v>Actividades de alojamiento y de servicio de comidas</v>
      </c>
      <c r="M49" s="27" t="str">
        <f aca="false">+VLOOKUP(K49,'Correl CIIU'!$A$1:$F$26,3,FALSE())</f>
        <v>Alojamiento y alimentación</v>
      </c>
      <c r="N49" s="27" t="str">
        <f aca="false">+VLOOKUP(K49,'Correl CIIU'!$A$1:$F$26,4,FALSE())</f>
        <v>Accommodation and food service activities</v>
      </c>
      <c r="O49" s="27" t="n">
        <v>2</v>
      </c>
      <c r="P49" s="28" t="str">
        <f aca="false">+VLOOKUP(O49,bio!$A$2:$B$4,2,FALSE())</f>
        <v>Bioeconomía extendida</v>
      </c>
    </row>
    <row r="50" customFormat="false" ht="14.25" hidden="false" customHeight="false" outlineLevel="0" collapsed="false">
      <c r="A50" s="24" t="s">
        <v>1009</v>
      </c>
      <c r="B50" s="25" t="s">
        <v>1405</v>
      </c>
      <c r="C50" s="26" t="str">
        <f aca="false">+VLOOKUP(B50,'transacciones '!$A$2:$I$39,2,FALSE())</f>
        <v>ATC01</v>
      </c>
      <c r="D50" s="26" t="str">
        <f aca="false">+VLOOKUP(B50,'transacciones '!$A$2:$I$39,3,FALSE())</f>
        <v>Producción / Consumo intermedio</v>
      </c>
      <c r="E50" s="26" t="str">
        <f aca="false">+VLOOKUP(B50,'transacciones '!$A$2:$I$39,4,FALSE())</f>
        <v>Producción</v>
      </c>
      <c r="F50" s="26" t="n">
        <f aca="false">+VLOOKUP(B50,'transacciones '!$A$2:$I$39,5,FALSE())</f>
        <v>1</v>
      </c>
      <c r="G50" s="26" t="str">
        <f aca="false">+VLOOKUP(B50,'transacciones '!$A$2:$I$39,6,FALSE())</f>
        <v>P1</v>
      </c>
      <c r="H50" s="26" t="str">
        <f aca="false">+VLOOKUP(B50,'transacciones '!$A$2:$I$39,7,FALSE())</f>
        <v>Producción</v>
      </c>
      <c r="I50" s="26" t="s">
        <v>1511</v>
      </c>
      <c r="J50" s="26" t="s">
        <v>1512</v>
      </c>
      <c r="K50" s="11" t="s">
        <v>1513</v>
      </c>
      <c r="L50" s="27" t="str">
        <f aca="false">+VLOOKUP(K50,'Correl CIIU'!$A$1:$F$26,2,FALSE())</f>
        <v>Información y comunicaciones</v>
      </c>
      <c r="M50" s="27" t="str">
        <f aca="false">+VLOOKUP(K50,'Correl CIIU'!$A$1:$F$26,3,FALSE())</f>
        <v>Información y comunicaciones</v>
      </c>
      <c r="N50" s="27" t="str">
        <f aca="false">+VLOOKUP(K50,'Correl CIIU'!$A$1:$F$26,4,FALSE())</f>
        <v>Information and communication</v>
      </c>
      <c r="O50" s="27" t="n">
        <v>3</v>
      </c>
      <c r="P50" s="28" t="str">
        <f aca="false">+VLOOKUP(O50,bio!$A$2:$B$4,2,FALSE())</f>
        <v>No bioeconomía</v>
      </c>
    </row>
    <row r="51" customFormat="false" ht="14.25" hidden="false" customHeight="false" outlineLevel="0" collapsed="false">
      <c r="A51" s="24" t="s">
        <v>1011</v>
      </c>
      <c r="B51" s="25" t="s">
        <v>1405</v>
      </c>
      <c r="C51" s="26" t="str">
        <f aca="false">+VLOOKUP(B51,'transacciones '!$A$2:$I$39,2,FALSE())</f>
        <v>ATC01</v>
      </c>
      <c r="D51" s="26" t="str">
        <f aca="false">+VLOOKUP(B51,'transacciones '!$A$2:$I$39,3,FALSE())</f>
        <v>Producción / Consumo intermedio</v>
      </c>
      <c r="E51" s="26" t="str">
        <f aca="false">+VLOOKUP(B51,'transacciones '!$A$2:$I$39,4,FALSE())</f>
        <v>Producción</v>
      </c>
      <c r="F51" s="26" t="n">
        <f aca="false">+VLOOKUP(B51,'transacciones '!$A$2:$I$39,5,FALSE())</f>
        <v>1</v>
      </c>
      <c r="G51" s="26" t="str">
        <f aca="false">+VLOOKUP(B51,'transacciones '!$A$2:$I$39,6,FALSE())</f>
        <v>P1</v>
      </c>
      <c r="H51" s="26" t="str">
        <f aca="false">+VLOOKUP(B51,'transacciones '!$A$2:$I$39,7,FALSE())</f>
        <v>Producción</v>
      </c>
      <c r="I51" s="9" t="s">
        <v>1514</v>
      </c>
      <c r="J51" s="9" t="s">
        <v>1515</v>
      </c>
      <c r="K51" s="11" t="s">
        <v>1513</v>
      </c>
      <c r="L51" s="27" t="str">
        <f aca="false">+VLOOKUP(K51,'Correl CIIU'!$A$1:$F$26,2,FALSE())</f>
        <v>Información y comunicaciones</v>
      </c>
      <c r="M51" s="27" t="str">
        <f aca="false">+VLOOKUP(K51,'Correl CIIU'!$A$1:$F$26,3,FALSE())</f>
        <v>Información y comunicaciones</v>
      </c>
      <c r="N51" s="27" t="str">
        <f aca="false">+VLOOKUP(K51,'Correl CIIU'!$A$1:$F$26,4,FALSE())</f>
        <v>Information and communication</v>
      </c>
      <c r="O51" s="27" t="n">
        <v>3</v>
      </c>
      <c r="P51" s="28" t="str">
        <f aca="false">+VLOOKUP(O51,bio!$A$2:$B$4,2,FALSE())</f>
        <v>No bioeconomía</v>
      </c>
    </row>
    <row r="52" customFormat="false" ht="14.25" hidden="false" customHeight="false" outlineLevel="0" collapsed="false">
      <c r="A52" s="24" t="s">
        <v>1013</v>
      </c>
      <c r="B52" s="25" t="s">
        <v>1405</v>
      </c>
      <c r="C52" s="26" t="str">
        <f aca="false">+VLOOKUP(B52,'transacciones '!$A$2:$I$39,2,FALSE())</f>
        <v>ATC01</v>
      </c>
      <c r="D52" s="26" t="str">
        <f aca="false">+VLOOKUP(B52,'transacciones '!$A$2:$I$39,3,FALSE())</f>
        <v>Producción / Consumo intermedio</v>
      </c>
      <c r="E52" s="26" t="str">
        <f aca="false">+VLOOKUP(B52,'transacciones '!$A$2:$I$39,4,FALSE())</f>
        <v>Producción</v>
      </c>
      <c r="F52" s="26" t="n">
        <f aca="false">+VLOOKUP(B52,'transacciones '!$A$2:$I$39,5,FALSE())</f>
        <v>1</v>
      </c>
      <c r="G52" s="26" t="str">
        <f aca="false">+VLOOKUP(B52,'transacciones '!$A$2:$I$39,6,FALSE())</f>
        <v>P1</v>
      </c>
      <c r="H52" s="26" t="str">
        <f aca="false">+VLOOKUP(B52,'transacciones '!$A$2:$I$39,7,FALSE())</f>
        <v>Producción</v>
      </c>
      <c r="I52" s="26" t="s">
        <v>1516</v>
      </c>
      <c r="J52" s="26" t="s">
        <v>1517</v>
      </c>
      <c r="K52" s="11" t="s">
        <v>1513</v>
      </c>
      <c r="L52" s="27" t="str">
        <f aca="false">+VLOOKUP(K52,'Correl CIIU'!$A$1:$F$26,2,FALSE())</f>
        <v>Información y comunicaciones</v>
      </c>
      <c r="M52" s="27" t="str">
        <f aca="false">+VLOOKUP(K52,'Correl CIIU'!$A$1:$F$26,3,FALSE())</f>
        <v>Información y comunicaciones</v>
      </c>
      <c r="N52" s="27" t="str">
        <f aca="false">+VLOOKUP(K52,'Correl CIIU'!$A$1:$F$26,4,FALSE())</f>
        <v>Information and communication</v>
      </c>
      <c r="O52" s="27" t="n">
        <v>3</v>
      </c>
      <c r="P52" s="28" t="str">
        <f aca="false">+VLOOKUP(O52,bio!$A$2:$B$4,2,FALSE())</f>
        <v>No bioeconomía</v>
      </c>
    </row>
    <row r="53" customFormat="false" ht="14.25" hidden="false" customHeight="false" outlineLevel="0" collapsed="false">
      <c r="A53" s="24" t="s">
        <v>1015</v>
      </c>
      <c r="B53" s="25" t="s">
        <v>1405</v>
      </c>
      <c r="C53" s="26" t="str">
        <f aca="false">+VLOOKUP(B53,'transacciones '!$A$2:$I$39,2,FALSE())</f>
        <v>ATC01</v>
      </c>
      <c r="D53" s="26" t="str">
        <f aca="false">+VLOOKUP(B53,'transacciones '!$A$2:$I$39,3,FALSE())</f>
        <v>Producción / Consumo intermedio</v>
      </c>
      <c r="E53" s="26" t="str">
        <f aca="false">+VLOOKUP(B53,'transacciones '!$A$2:$I$39,4,FALSE())</f>
        <v>Producción</v>
      </c>
      <c r="F53" s="26" t="n">
        <f aca="false">+VLOOKUP(B53,'transacciones '!$A$2:$I$39,5,FALSE())</f>
        <v>1</v>
      </c>
      <c r="G53" s="26" t="str">
        <f aca="false">+VLOOKUP(B53,'transacciones '!$A$2:$I$39,6,FALSE())</f>
        <v>P1</v>
      </c>
      <c r="H53" s="26" t="str">
        <f aca="false">+VLOOKUP(B53,'transacciones '!$A$2:$I$39,7,FALSE())</f>
        <v>Producción</v>
      </c>
      <c r="I53" s="9" t="s">
        <v>1518</v>
      </c>
      <c r="J53" s="9" t="s">
        <v>1519</v>
      </c>
      <c r="K53" s="11" t="s">
        <v>1513</v>
      </c>
      <c r="L53" s="27" t="str">
        <f aca="false">+VLOOKUP(K53,'Correl CIIU'!$A$1:$F$26,2,FALSE())</f>
        <v>Información y comunicaciones</v>
      </c>
      <c r="M53" s="27" t="str">
        <f aca="false">+VLOOKUP(K53,'Correl CIIU'!$A$1:$F$26,3,FALSE())</f>
        <v>Información y comunicaciones</v>
      </c>
      <c r="N53" s="27" t="str">
        <f aca="false">+VLOOKUP(K53,'Correl CIIU'!$A$1:$F$26,4,FALSE())</f>
        <v>Information and communication</v>
      </c>
      <c r="O53" s="27" t="n">
        <v>3</v>
      </c>
      <c r="P53" s="28" t="str">
        <f aca="false">+VLOOKUP(O53,bio!$A$2:$B$4,2,FALSE())</f>
        <v>No bioeconomía</v>
      </c>
    </row>
    <row r="54" customFormat="false" ht="14.25" hidden="false" customHeight="false" outlineLevel="0" collapsed="false">
      <c r="A54" s="24" t="s">
        <v>1017</v>
      </c>
      <c r="B54" s="25" t="s">
        <v>1405</v>
      </c>
      <c r="C54" s="26" t="str">
        <f aca="false">+VLOOKUP(B54,'transacciones '!$A$2:$I$39,2,FALSE())</f>
        <v>ATC01</v>
      </c>
      <c r="D54" s="26" t="str">
        <f aca="false">+VLOOKUP(B54,'transacciones '!$A$2:$I$39,3,FALSE())</f>
        <v>Producción / Consumo intermedio</v>
      </c>
      <c r="E54" s="26" t="str">
        <f aca="false">+VLOOKUP(B54,'transacciones '!$A$2:$I$39,4,FALSE())</f>
        <v>Producción</v>
      </c>
      <c r="F54" s="26" t="n">
        <f aca="false">+VLOOKUP(B54,'transacciones '!$A$2:$I$39,5,FALSE())</f>
        <v>1</v>
      </c>
      <c r="G54" s="26" t="str">
        <f aca="false">+VLOOKUP(B54,'transacciones '!$A$2:$I$39,6,FALSE())</f>
        <v>P1</v>
      </c>
      <c r="H54" s="26" t="str">
        <f aca="false">+VLOOKUP(B54,'transacciones '!$A$2:$I$39,7,FALSE())</f>
        <v>Producción</v>
      </c>
      <c r="I54" s="26" t="s">
        <v>1520</v>
      </c>
      <c r="J54" s="26" t="s">
        <v>1521</v>
      </c>
      <c r="K54" s="11" t="s">
        <v>1522</v>
      </c>
      <c r="L54" s="27" t="str">
        <f aca="false">+VLOOKUP(K54,'Correl CIIU'!$A$1:$F$26,2,FALSE())</f>
        <v>Actividades financieras y de seguros</v>
      </c>
      <c r="M54" s="27" t="str">
        <f aca="false">+VLOOKUP(K54,'Correl CIIU'!$A$1:$F$26,3,FALSE())</f>
        <v>Finanzas y seguros</v>
      </c>
      <c r="N54" s="27" t="str">
        <f aca="false">+VLOOKUP(K54,'Correl CIIU'!$A$1:$F$26,4,FALSE())</f>
        <v>Financial and insurance activities</v>
      </c>
      <c r="O54" s="27" t="n">
        <v>3</v>
      </c>
      <c r="P54" s="28" t="str">
        <f aca="false">+VLOOKUP(O54,bio!$A$2:$B$4,2,FALSE())</f>
        <v>No bioeconomía</v>
      </c>
    </row>
    <row r="55" customFormat="false" ht="14.25" hidden="false" customHeight="false" outlineLevel="0" collapsed="false">
      <c r="A55" s="24" t="s">
        <v>1019</v>
      </c>
      <c r="B55" s="25" t="s">
        <v>1405</v>
      </c>
      <c r="C55" s="26" t="str">
        <f aca="false">+VLOOKUP(B55,'transacciones '!$A$2:$I$39,2,FALSE())</f>
        <v>ATC01</v>
      </c>
      <c r="D55" s="26" t="str">
        <f aca="false">+VLOOKUP(B55,'transacciones '!$A$2:$I$39,3,FALSE())</f>
        <v>Producción / Consumo intermedio</v>
      </c>
      <c r="E55" s="26" t="str">
        <f aca="false">+VLOOKUP(B55,'transacciones '!$A$2:$I$39,4,FALSE())</f>
        <v>Producción</v>
      </c>
      <c r="F55" s="26" t="n">
        <f aca="false">+VLOOKUP(B55,'transacciones '!$A$2:$I$39,5,FALSE())</f>
        <v>1</v>
      </c>
      <c r="G55" s="26" t="str">
        <f aca="false">+VLOOKUP(B55,'transacciones '!$A$2:$I$39,6,FALSE())</f>
        <v>P1</v>
      </c>
      <c r="H55" s="26" t="str">
        <f aca="false">+VLOOKUP(B55,'transacciones '!$A$2:$I$39,7,FALSE())</f>
        <v>Producción</v>
      </c>
      <c r="I55" s="9" t="s">
        <v>1523</v>
      </c>
      <c r="J55" s="9" t="s">
        <v>1524</v>
      </c>
      <c r="K55" s="11" t="s">
        <v>1525</v>
      </c>
      <c r="L55" s="27" t="str">
        <f aca="false">+VLOOKUP(K55,'Correl CIIU'!$A$1:$F$26,2,FALSE())</f>
        <v>Actividades inmobiliarias</v>
      </c>
      <c r="M55" s="27" t="str">
        <f aca="false">+VLOOKUP(K55,'Correl CIIU'!$A$1:$F$26,3,FALSE())</f>
        <v>Inmobiliarios</v>
      </c>
      <c r="N55" s="27" t="str">
        <f aca="false">+VLOOKUP(K55,'Correl CIIU'!$A$1:$F$26,4,FALSE())</f>
        <v>Real estate activities</v>
      </c>
      <c r="O55" s="27" t="n">
        <v>3</v>
      </c>
      <c r="P55" s="28" t="str">
        <f aca="false">+VLOOKUP(O55,bio!$A$2:$B$4,2,FALSE())</f>
        <v>No bioeconomía</v>
      </c>
    </row>
    <row r="56" customFormat="false" ht="14.25" hidden="false" customHeight="false" outlineLevel="0" collapsed="false">
      <c r="A56" s="24" t="s">
        <v>1021</v>
      </c>
      <c r="B56" s="25" t="s">
        <v>1405</v>
      </c>
      <c r="C56" s="26" t="str">
        <f aca="false">+VLOOKUP(B56,'transacciones '!$A$2:$I$39,2,FALSE())</f>
        <v>ATC01</v>
      </c>
      <c r="D56" s="26" t="str">
        <f aca="false">+VLOOKUP(B56,'transacciones '!$A$2:$I$39,3,FALSE())</f>
        <v>Producción / Consumo intermedio</v>
      </c>
      <c r="E56" s="26" t="str">
        <f aca="false">+VLOOKUP(B56,'transacciones '!$A$2:$I$39,4,FALSE())</f>
        <v>Producción</v>
      </c>
      <c r="F56" s="26" t="n">
        <f aca="false">+VLOOKUP(B56,'transacciones '!$A$2:$I$39,5,FALSE())</f>
        <v>1</v>
      </c>
      <c r="G56" s="26" t="str">
        <f aca="false">+VLOOKUP(B56,'transacciones '!$A$2:$I$39,6,FALSE())</f>
        <v>P1</v>
      </c>
      <c r="H56" s="26" t="str">
        <f aca="false">+VLOOKUP(B56,'transacciones '!$A$2:$I$39,7,FALSE())</f>
        <v>Producción</v>
      </c>
      <c r="I56" s="26" t="s">
        <v>1526</v>
      </c>
      <c r="J56" s="26" t="s">
        <v>1527</v>
      </c>
      <c r="K56" s="11" t="s">
        <v>1528</v>
      </c>
      <c r="L56" s="27" t="str">
        <f aca="false">+VLOOKUP(K56,'Correl CIIU'!$A$1:$F$26,2,FALSE())</f>
        <v>Actividades de servicios administrativos y de apoyo</v>
      </c>
      <c r="M56" s="27" t="str">
        <f aca="false">+VLOOKUP(K56,'Correl CIIU'!$A$1:$F$26,3,FALSE())</f>
        <v>Servicios administrativos</v>
      </c>
      <c r="N56" s="27" t="str">
        <f aca="false">+VLOOKUP(K56,'Correl CIIU'!$A$1:$F$26,4,FALSE())</f>
        <v>Administrative and support service activities</v>
      </c>
      <c r="O56" s="27" t="n">
        <v>3</v>
      </c>
      <c r="P56" s="28" t="str">
        <f aca="false">+VLOOKUP(O56,bio!$A$2:$B$4,2,FALSE())</f>
        <v>No bioeconomía</v>
      </c>
    </row>
    <row r="57" customFormat="false" ht="14.25" hidden="false" customHeight="false" outlineLevel="0" collapsed="false">
      <c r="A57" s="24" t="s">
        <v>1023</v>
      </c>
      <c r="B57" s="25" t="s">
        <v>1405</v>
      </c>
      <c r="C57" s="26" t="str">
        <f aca="false">+VLOOKUP(B57,'transacciones '!$A$2:$I$39,2,FALSE())</f>
        <v>ATC01</v>
      </c>
      <c r="D57" s="26" t="str">
        <f aca="false">+VLOOKUP(B57,'transacciones '!$A$2:$I$39,3,FALSE())</f>
        <v>Producción / Consumo intermedio</v>
      </c>
      <c r="E57" s="26" t="str">
        <f aca="false">+VLOOKUP(B57,'transacciones '!$A$2:$I$39,4,FALSE())</f>
        <v>Producción</v>
      </c>
      <c r="F57" s="26" t="n">
        <f aca="false">+VLOOKUP(B57,'transacciones '!$A$2:$I$39,5,FALSE())</f>
        <v>1</v>
      </c>
      <c r="G57" s="26" t="str">
        <f aca="false">+VLOOKUP(B57,'transacciones '!$A$2:$I$39,6,FALSE())</f>
        <v>P1</v>
      </c>
      <c r="H57" s="26" t="str">
        <f aca="false">+VLOOKUP(B57,'transacciones '!$A$2:$I$39,7,FALSE())</f>
        <v>Producción</v>
      </c>
      <c r="I57" s="9" t="s">
        <v>1529</v>
      </c>
      <c r="J57" s="9" t="s">
        <v>1530</v>
      </c>
      <c r="K57" s="11" t="s">
        <v>1531</v>
      </c>
      <c r="L57" s="27" t="str">
        <f aca="false">+VLOOKUP(K57,'Correl CIIU'!$A$1:$F$26,2,FALSE())</f>
        <v>Actividades profesionales, científicas y técnicas</v>
      </c>
      <c r="M57" s="27" t="str">
        <f aca="false">+VLOOKUP(K57,'Correl CIIU'!$A$1:$F$26,3,FALSE())</f>
        <v>Servicios profesionales</v>
      </c>
      <c r="N57" s="27" t="str">
        <f aca="false">+VLOOKUP(K57,'Correl CIIU'!$A$1:$F$26,4,FALSE())</f>
        <v>Professional, scientific and technical activities</v>
      </c>
      <c r="O57" s="27" t="n">
        <v>3</v>
      </c>
      <c r="P57" s="28" t="str">
        <f aca="false">+VLOOKUP(O57,bio!$A$2:$B$4,2,FALSE())</f>
        <v>No bioeconomía</v>
      </c>
    </row>
    <row r="58" customFormat="false" ht="14.25" hidden="false" customHeight="false" outlineLevel="0" collapsed="false">
      <c r="A58" s="24" t="s">
        <v>1025</v>
      </c>
      <c r="B58" s="25" t="s">
        <v>1405</v>
      </c>
      <c r="C58" s="26" t="str">
        <f aca="false">+VLOOKUP(B58,'transacciones '!$A$2:$I$39,2,FALSE())</f>
        <v>ATC01</v>
      </c>
      <c r="D58" s="26" t="str">
        <f aca="false">+VLOOKUP(B58,'transacciones '!$A$2:$I$39,3,FALSE())</f>
        <v>Producción / Consumo intermedio</v>
      </c>
      <c r="E58" s="26" t="str">
        <f aca="false">+VLOOKUP(B58,'transacciones '!$A$2:$I$39,4,FALSE())</f>
        <v>Producción</v>
      </c>
      <c r="F58" s="26" t="n">
        <f aca="false">+VLOOKUP(B58,'transacciones '!$A$2:$I$39,5,FALSE())</f>
        <v>1</v>
      </c>
      <c r="G58" s="26" t="str">
        <f aca="false">+VLOOKUP(B58,'transacciones '!$A$2:$I$39,6,FALSE())</f>
        <v>P1</v>
      </c>
      <c r="H58" s="26" t="str">
        <f aca="false">+VLOOKUP(B58,'transacciones '!$A$2:$I$39,7,FALSE())</f>
        <v>Producción</v>
      </c>
      <c r="I58" s="26" t="s">
        <v>1532</v>
      </c>
      <c r="J58" s="26" t="s">
        <v>1533</v>
      </c>
      <c r="K58" s="11" t="s">
        <v>1531</v>
      </c>
      <c r="L58" s="27" t="str">
        <f aca="false">+VLOOKUP(K58,'Correl CIIU'!$A$1:$F$26,2,FALSE())</f>
        <v>Actividades profesionales, científicas y técnicas</v>
      </c>
      <c r="M58" s="27" t="str">
        <f aca="false">+VLOOKUP(K58,'Correl CIIU'!$A$1:$F$26,3,FALSE())</f>
        <v>Servicios profesionales</v>
      </c>
      <c r="N58" s="27" t="str">
        <f aca="false">+VLOOKUP(K58,'Correl CIIU'!$A$1:$F$26,4,FALSE())</f>
        <v>Professional, scientific and technical activities</v>
      </c>
      <c r="O58" s="27" t="n">
        <v>2</v>
      </c>
      <c r="P58" s="28" t="str">
        <f aca="false">+VLOOKUP(O58,bio!$A$2:$B$4,2,FALSE())</f>
        <v>Bioeconomía extendida</v>
      </c>
    </row>
    <row r="59" customFormat="false" ht="14.25" hidden="false" customHeight="false" outlineLevel="0" collapsed="false">
      <c r="A59" s="24" t="s">
        <v>1027</v>
      </c>
      <c r="B59" s="25" t="s">
        <v>1405</v>
      </c>
      <c r="C59" s="26" t="str">
        <f aca="false">+VLOOKUP(B59,'transacciones '!$A$2:$I$39,2,FALSE())</f>
        <v>ATC01</v>
      </c>
      <c r="D59" s="26" t="str">
        <f aca="false">+VLOOKUP(B59,'transacciones '!$A$2:$I$39,3,FALSE())</f>
        <v>Producción / Consumo intermedio</v>
      </c>
      <c r="E59" s="26" t="str">
        <f aca="false">+VLOOKUP(B59,'transacciones '!$A$2:$I$39,4,FALSE())</f>
        <v>Producción</v>
      </c>
      <c r="F59" s="26" t="n">
        <f aca="false">+VLOOKUP(B59,'transacciones '!$A$2:$I$39,5,FALSE())</f>
        <v>1</v>
      </c>
      <c r="G59" s="26" t="str">
        <f aca="false">+VLOOKUP(B59,'transacciones '!$A$2:$I$39,6,FALSE())</f>
        <v>P1</v>
      </c>
      <c r="H59" s="26" t="str">
        <f aca="false">+VLOOKUP(B59,'transacciones '!$A$2:$I$39,7,FALSE())</f>
        <v>Producción</v>
      </c>
      <c r="I59" s="9" t="s">
        <v>1534</v>
      </c>
      <c r="J59" s="9" t="s">
        <v>1535</v>
      </c>
      <c r="K59" s="11" t="s">
        <v>1525</v>
      </c>
      <c r="L59" s="27" t="str">
        <f aca="false">+VLOOKUP(K59,'Correl CIIU'!$A$1:$F$26,2,FALSE())</f>
        <v>Actividades inmobiliarias</v>
      </c>
      <c r="M59" s="27" t="str">
        <f aca="false">+VLOOKUP(K59,'Correl CIIU'!$A$1:$F$26,3,FALSE())</f>
        <v>Inmobiliarios</v>
      </c>
      <c r="N59" s="27" t="str">
        <f aca="false">+VLOOKUP(K59,'Correl CIIU'!$A$1:$F$26,4,FALSE())</f>
        <v>Real estate activities</v>
      </c>
      <c r="O59" s="27" t="n">
        <v>2</v>
      </c>
      <c r="P59" s="28" t="str">
        <f aca="false">+VLOOKUP(O59,bio!$A$2:$B$4,2,FALSE())</f>
        <v>Bioeconomía extendida</v>
      </c>
    </row>
    <row r="60" customFormat="false" ht="14.25" hidden="false" customHeight="false" outlineLevel="0" collapsed="false">
      <c r="A60" s="24" t="s">
        <v>1029</v>
      </c>
      <c r="B60" s="25" t="s">
        <v>1405</v>
      </c>
      <c r="C60" s="26" t="str">
        <f aca="false">+VLOOKUP(B60,'transacciones '!$A$2:$I$39,2,FALSE())</f>
        <v>ATC01</v>
      </c>
      <c r="D60" s="26" t="str">
        <f aca="false">+VLOOKUP(B60,'transacciones '!$A$2:$I$39,3,FALSE())</f>
        <v>Producción / Consumo intermedio</v>
      </c>
      <c r="E60" s="26" t="str">
        <f aca="false">+VLOOKUP(B60,'transacciones '!$A$2:$I$39,4,FALSE())</f>
        <v>Producción</v>
      </c>
      <c r="F60" s="26" t="n">
        <f aca="false">+VLOOKUP(B60,'transacciones '!$A$2:$I$39,5,FALSE())</f>
        <v>1</v>
      </c>
      <c r="G60" s="26" t="str">
        <f aca="false">+VLOOKUP(B60,'transacciones '!$A$2:$I$39,6,FALSE())</f>
        <v>P1</v>
      </c>
      <c r="H60" s="26" t="str">
        <f aca="false">+VLOOKUP(B60,'transacciones '!$A$2:$I$39,7,FALSE())</f>
        <v>Producción</v>
      </c>
      <c r="I60" s="26" t="s">
        <v>1536</v>
      </c>
      <c r="J60" s="26" t="s">
        <v>1537</v>
      </c>
      <c r="K60" s="11" t="s">
        <v>1528</v>
      </c>
      <c r="L60" s="27" t="str">
        <f aca="false">+VLOOKUP(K60,'Correl CIIU'!$A$1:$F$26,2,FALSE())</f>
        <v>Actividades de servicios administrativos y de apoyo</v>
      </c>
      <c r="M60" s="27" t="str">
        <f aca="false">+VLOOKUP(K60,'Correl CIIU'!$A$1:$F$26,3,FALSE())</f>
        <v>Servicios administrativos</v>
      </c>
      <c r="N60" s="27" t="str">
        <f aca="false">+VLOOKUP(K60,'Correl CIIU'!$A$1:$F$26,4,FALSE())</f>
        <v>Administrative and support service activities</v>
      </c>
      <c r="O60" s="27" t="n">
        <v>3</v>
      </c>
      <c r="P60" s="28" t="str">
        <f aca="false">+VLOOKUP(O60,bio!$A$2:$B$4,2,FALSE())</f>
        <v>No bioeconomía</v>
      </c>
    </row>
    <row r="61" customFormat="false" ht="23.3" hidden="false" customHeight="false" outlineLevel="0" collapsed="false">
      <c r="A61" s="24" t="s">
        <v>1031</v>
      </c>
      <c r="B61" s="25" t="s">
        <v>1405</v>
      </c>
      <c r="C61" s="26" t="str">
        <f aca="false">+VLOOKUP(B61,'transacciones '!$A$2:$I$39,2,FALSE())</f>
        <v>ATC01</v>
      </c>
      <c r="D61" s="26" t="str">
        <f aca="false">+VLOOKUP(B61,'transacciones '!$A$2:$I$39,3,FALSE())</f>
        <v>Producción / Consumo intermedio</v>
      </c>
      <c r="E61" s="26" t="str">
        <f aca="false">+VLOOKUP(B61,'transacciones '!$A$2:$I$39,4,FALSE())</f>
        <v>Producción</v>
      </c>
      <c r="F61" s="26" t="n">
        <f aca="false">+VLOOKUP(B61,'transacciones '!$A$2:$I$39,5,FALSE())</f>
        <v>1</v>
      </c>
      <c r="G61" s="26" t="str">
        <f aca="false">+VLOOKUP(B61,'transacciones '!$A$2:$I$39,6,FALSE())</f>
        <v>P1</v>
      </c>
      <c r="H61" s="26" t="str">
        <f aca="false">+VLOOKUP(B61,'transacciones '!$A$2:$I$39,7,FALSE())</f>
        <v>Producción</v>
      </c>
      <c r="I61" s="9" t="s">
        <v>1538</v>
      </c>
      <c r="J61" s="29" t="s">
        <v>1539</v>
      </c>
      <c r="K61" s="11" t="s">
        <v>1540</v>
      </c>
      <c r="L61" s="27" t="str">
        <f aca="false">+VLOOKUP(K61,'Correl CIIU'!$A$1:$F$26,2,FALSE())</f>
        <v>Otras actividades de servicios</v>
      </c>
      <c r="M61" s="27" t="str">
        <f aca="false">+VLOOKUP(K61,'Correl CIIU'!$A$1:$F$26,3,FALSE())</f>
        <v>Otros servicios</v>
      </c>
      <c r="N61" s="27" t="str">
        <f aca="false">+VLOOKUP(K61,'Correl CIIU'!$A$1:$F$26,4,FALSE())</f>
        <v>Other service activities</v>
      </c>
      <c r="O61" s="27" t="n">
        <v>3</v>
      </c>
      <c r="P61" s="28" t="str">
        <f aca="false">+VLOOKUP(O61,bio!$A$2:$B$4,2,FALSE())</f>
        <v>No bioeconomía</v>
      </c>
    </row>
    <row r="62" customFormat="false" ht="14.25" hidden="false" customHeight="false" outlineLevel="0" collapsed="false">
      <c r="A62" s="24" t="s">
        <v>1033</v>
      </c>
      <c r="B62" s="25" t="s">
        <v>1405</v>
      </c>
      <c r="C62" s="26" t="str">
        <f aca="false">+VLOOKUP(B62,'transacciones '!$A$2:$I$39,2,FALSE())</f>
        <v>ATC01</v>
      </c>
      <c r="D62" s="26" t="str">
        <f aca="false">+VLOOKUP(B62,'transacciones '!$A$2:$I$39,3,FALSE())</f>
        <v>Producción / Consumo intermedio</v>
      </c>
      <c r="E62" s="26" t="str">
        <f aca="false">+VLOOKUP(B62,'transacciones '!$A$2:$I$39,4,FALSE())</f>
        <v>Producción</v>
      </c>
      <c r="F62" s="26" t="n">
        <f aca="false">+VLOOKUP(B62,'transacciones '!$A$2:$I$39,5,FALSE())</f>
        <v>1</v>
      </c>
      <c r="G62" s="26" t="str">
        <f aca="false">+VLOOKUP(B62,'transacciones '!$A$2:$I$39,6,FALSE())</f>
        <v>P1</v>
      </c>
      <c r="H62" s="26" t="str">
        <f aca="false">+VLOOKUP(B62,'transacciones '!$A$2:$I$39,7,FALSE())</f>
        <v>Producción</v>
      </c>
      <c r="I62" s="26" t="s">
        <v>1541</v>
      </c>
      <c r="J62" s="26" t="s">
        <v>1542</v>
      </c>
      <c r="K62" s="11" t="s">
        <v>1543</v>
      </c>
      <c r="L62" s="27" t="str">
        <f aca="false">+VLOOKUP(K62,'Correl CIIU'!$A$1:$F$26,2,FALSE())</f>
        <v>Administración pública y defensa; planes de seguridad social de afiliación obligatoria</v>
      </c>
      <c r="M62" s="27" t="str">
        <f aca="false">+VLOOKUP(K62,'Correl CIIU'!$A$1:$F$26,3,FALSE())</f>
        <v>Administración pública</v>
      </c>
      <c r="N62" s="27" t="str">
        <f aca="false">+VLOOKUP(K62,'Correl CIIU'!$A$1:$F$26,4,FALSE())</f>
        <v>Public administration and defence; compulsory social security</v>
      </c>
      <c r="O62" s="27" t="n">
        <v>3</v>
      </c>
      <c r="P62" s="28" t="str">
        <f aca="false">+VLOOKUP(O62,bio!$A$2:$B$4,2,FALSE())</f>
        <v>No bioeconomía</v>
      </c>
    </row>
    <row r="63" customFormat="false" ht="14.25" hidden="false" customHeight="false" outlineLevel="0" collapsed="false">
      <c r="A63" s="24" t="s">
        <v>1035</v>
      </c>
      <c r="B63" s="25" t="s">
        <v>1405</v>
      </c>
      <c r="C63" s="26" t="str">
        <f aca="false">+VLOOKUP(B63,'transacciones '!$A$2:$I$39,2,FALSE())</f>
        <v>ATC01</v>
      </c>
      <c r="D63" s="26" t="str">
        <f aca="false">+VLOOKUP(B63,'transacciones '!$A$2:$I$39,3,FALSE())</f>
        <v>Producción / Consumo intermedio</v>
      </c>
      <c r="E63" s="26" t="str">
        <f aca="false">+VLOOKUP(B63,'transacciones '!$A$2:$I$39,4,FALSE())</f>
        <v>Producción</v>
      </c>
      <c r="F63" s="26" t="n">
        <f aca="false">+VLOOKUP(B63,'transacciones '!$A$2:$I$39,5,FALSE())</f>
        <v>1</v>
      </c>
      <c r="G63" s="26" t="str">
        <f aca="false">+VLOOKUP(B63,'transacciones '!$A$2:$I$39,6,FALSE())</f>
        <v>P1</v>
      </c>
      <c r="H63" s="26" t="str">
        <f aca="false">+VLOOKUP(B63,'transacciones '!$A$2:$I$39,7,FALSE())</f>
        <v>Producción</v>
      </c>
      <c r="I63" s="9" t="s">
        <v>1544</v>
      </c>
      <c r="J63" s="9" t="s">
        <v>1545</v>
      </c>
      <c r="K63" s="11" t="s">
        <v>1546</v>
      </c>
      <c r="L63" s="27" t="str">
        <f aca="false">+VLOOKUP(K63,'Correl CIIU'!$A$1:$F$26,2,FALSE())</f>
        <v>Enseñanza</v>
      </c>
      <c r="M63" s="27" t="str">
        <f aca="false">+VLOOKUP(K63,'Correl CIIU'!$A$1:$F$26,3,FALSE())</f>
        <v>Enseñanza</v>
      </c>
      <c r="N63" s="27" t="str">
        <f aca="false">+VLOOKUP(K63,'Correl CIIU'!$A$1:$F$26,4,FALSE())</f>
        <v>Education</v>
      </c>
      <c r="O63" s="27" t="n">
        <v>3</v>
      </c>
      <c r="P63" s="28" t="str">
        <f aca="false">+VLOOKUP(O63,bio!$A$2:$B$4,2,FALSE())</f>
        <v>No bioeconomía</v>
      </c>
    </row>
    <row r="64" customFormat="false" ht="14.25" hidden="false" customHeight="false" outlineLevel="0" collapsed="false">
      <c r="A64" s="24" t="s">
        <v>1037</v>
      </c>
      <c r="B64" s="25" t="s">
        <v>1405</v>
      </c>
      <c r="C64" s="26" t="str">
        <f aca="false">+VLOOKUP(B64,'transacciones '!$A$2:$I$39,2,FALSE())</f>
        <v>ATC01</v>
      </c>
      <c r="D64" s="26" t="str">
        <f aca="false">+VLOOKUP(B64,'transacciones '!$A$2:$I$39,3,FALSE())</f>
        <v>Producción / Consumo intermedio</v>
      </c>
      <c r="E64" s="26" t="str">
        <f aca="false">+VLOOKUP(B64,'transacciones '!$A$2:$I$39,4,FALSE())</f>
        <v>Producción</v>
      </c>
      <c r="F64" s="26" t="n">
        <f aca="false">+VLOOKUP(B64,'transacciones '!$A$2:$I$39,5,FALSE())</f>
        <v>1</v>
      </c>
      <c r="G64" s="26" t="str">
        <f aca="false">+VLOOKUP(B64,'transacciones '!$A$2:$I$39,6,FALSE())</f>
        <v>P1</v>
      </c>
      <c r="H64" s="26" t="str">
        <f aca="false">+VLOOKUP(B64,'transacciones '!$A$2:$I$39,7,FALSE())</f>
        <v>Producción</v>
      </c>
      <c r="I64" s="26" t="s">
        <v>1547</v>
      </c>
      <c r="J64" s="26" t="s">
        <v>1548</v>
      </c>
      <c r="K64" s="11" t="s">
        <v>1546</v>
      </c>
      <c r="L64" s="27" t="str">
        <f aca="false">+VLOOKUP(K64,'Correl CIIU'!$A$1:$F$26,2,FALSE())</f>
        <v>Enseñanza</v>
      </c>
      <c r="M64" s="27" t="str">
        <f aca="false">+VLOOKUP(K64,'Correl CIIU'!$A$1:$F$26,3,FALSE())</f>
        <v>Enseñanza</v>
      </c>
      <c r="N64" s="27" t="str">
        <f aca="false">+VLOOKUP(K64,'Correl CIIU'!$A$1:$F$26,4,FALSE())</f>
        <v>Education</v>
      </c>
      <c r="O64" s="27" t="n">
        <v>3</v>
      </c>
      <c r="P64" s="28" t="str">
        <f aca="false">+VLOOKUP(O64,bio!$A$2:$B$4,2,FALSE())</f>
        <v>No bioeconomía</v>
      </c>
    </row>
    <row r="65" customFormat="false" ht="14.25" hidden="false" customHeight="false" outlineLevel="0" collapsed="false">
      <c r="A65" s="24" t="s">
        <v>1039</v>
      </c>
      <c r="B65" s="25" t="s">
        <v>1405</v>
      </c>
      <c r="C65" s="26" t="str">
        <f aca="false">+VLOOKUP(B65,'transacciones '!$A$2:$I$39,2,FALSE())</f>
        <v>ATC01</v>
      </c>
      <c r="D65" s="26" t="str">
        <f aca="false">+VLOOKUP(B65,'transacciones '!$A$2:$I$39,3,FALSE())</f>
        <v>Producción / Consumo intermedio</v>
      </c>
      <c r="E65" s="26" t="str">
        <f aca="false">+VLOOKUP(B65,'transacciones '!$A$2:$I$39,4,FALSE())</f>
        <v>Producción</v>
      </c>
      <c r="F65" s="26" t="n">
        <f aca="false">+VLOOKUP(B65,'transacciones '!$A$2:$I$39,5,FALSE())</f>
        <v>1</v>
      </c>
      <c r="G65" s="26" t="str">
        <f aca="false">+VLOOKUP(B65,'transacciones '!$A$2:$I$39,6,FALSE())</f>
        <v>P1</v>
      </c>
      <c r="H65" s="26" t="str">
        <f aca="false">+VLOOKUP(B65,'transacciones '!$A$2:$I$39,7,FALSE())</f>
        <v>Producción</v>
      </c>
      <c r="I65" s="9" t="s">
        <v>1549</v>
      </c>
      <c r="J65" s="9" t="s">
        <v>1550</v>
      </c>
      <c r="K65" s="11" t="s">
        <v>1551</v>
      </c>
      <c r="L65" s="27" t="str">
        <f aca="false">+VLOOKUP(K65,'Correl CIIU'!$A$1:$F$26,2,FALSE())</f>
        <v>Actividades de atención de la salud humana y de asistencia social</v>
      </c>
      <c r="M65" s="27" t="str">
        <f aca="false">+VLOOKUP(K65,'Correl CIIU'!$A$1:$F$26,3,FALSE())</f>
        <v>Salud</v>
      </c>
      <c r="N65" s="27" t="str">
        <f aca="false">+VLOOKUP(K65,'Correl CIIU'!$A$1:$F$26,4,FALSE())</f>
        <v>Human health and social work activities</v>
      </c>
      <c r="O65" s="27" t="n">
        <v>3</v>
      </c>
      <c r="P65" s="28" t="str">
        <f aca="false">+VLOOKUP(O65,bio!$A$2:$B$4,2,FALSE())</f>
        <v>No bioeconomía</v>
      </c>
    </row>
    <row r="66" customFormat="false" ht="14.25" hidden="false" customHeight="false" outlineLevel="0" collapsed="false">
      <c r="A66" s="24" t="s">
        <v>1041</v>
      </c>
      <c r="B66" s="25" t="s">
        <v>1405</v>
      </c>
      <c r="C66" s="26" t="str">
        <f aca="false">+VLOOKUP(B66,'transacciones '!$A$2:$I$39,2,FALSE())</f>
        <v>ATC01</v>
      </c>
      <c r="D66" s="26" t="str">
        <f aca="false">+VLOOKUP(B66,'transacciones '!$A$2:$I$39,3,FALSE())</f>
        <v>Producción / Consumo intermedio</v>
      </c>
      <c r="E66" s="26" t="str">
        <f aca="false">+VLOOKUP(B66,'transacciones '!$A$2:$I$39,4,FALSE())</f>
        <v>Producción</v>
      </c>
      <c r="F66" s="26" t="n">
        <f aca="false">+VLOOKUP(B66,'transacciones '!$A$2:$I$39,5,FALSE())</f>
        <v>1</v>
      </c>
      <c r="G66" s="26" t="str">
        <f aca="false">+VLOOKUP(B66,'transacciones '!$A$2:$I$39,6,FALSE())</f>
        <v>P1</v>
      </c>
      <c r="H66" s="26" t="str">
        <f aca="false">+VLOOKUP(B66,'transacciones '!$A$2:$I$39,7,FALSE())</f>
        <v>Producción</v>
      </c>
      <c r="I66" s="26" t="s">
        <v>1552</v>
      </c>
      <c r="J66" s="26" t="s">
        <v>1553</v>
      </c>
      <c r="K66" s="11" t="s">
        <v>1551</v>
      </c>
      <c r="L66" s="27" t="str">
        <f aca="false">+VLOOKUP(K66,'Correl CIIU'!$A$1:$F$26,2,FALSE())</f>
        <v>Actividades de atención de la salud humana y de asistencia social</v>
      </c>
      <c r="M66" s="27" t="str">
        <f aca="false">+VLOOKUP(K66,'Correl CIIU'!$A$1:$F$26,3,FALSE())</f>
        <v>Salud</v>
      </c>
      <c r="N66" s="27" t="str">
        <f aca="false">+VLOOKUP(K66,'Correl CIIU'!$A$1:$F$26,4,FALSE())</f>
        <v>Human health and social work activities</v>
      </c>
      <c r="O66" s="27" t="n">
        <v>3</v>
      </c>
      <c r="P66" s="28" t="str">
        <f aca="false">+VLOOKUP(O66,bio!$A$2:$B$4,2,FALSE())</f>
        <v>No bioeconomía</v>
      </c>
    </row>
    <row r="67" customFormat="false" ht="14.25" hidden="false" customHeight="false" outlineLevel="0" collapsed="false">
      <c r="A67" s="24" t="s">
        <v>1043</v>
      </c>
      <c r="B67" s="25" t="s">
        <v>1405</v>
      </c>
      <c r="C67" s="26" t="str">
        <f aca="false">+VLOOKUP(B67,'transacciones '!$A$2:$I$39,2,FALSE())</f>
        <v>ATC01</v>
      </c>
      <c r="D67" s="26" t="str">
        <f aca="false">+VLOOKUP(B67,'transacciones '!$A$2:$I$39,3,FALSE())</f>
        <v>Producción / Consumo intermedio</v>
      </c>
      <c r="E67" s="26" t="str">
        <f aca="false">+VLOOKUP(B67,'transacciones '!$A$2:$I$39,4,FALSE())</f>
        <v>Producción</v>
      </c>
      <c r="F67" s="26" t="n">
        <f aca="false">+VLOOKUP(B67,'transacciones '!$A$2:$I$39,5,FALSE())</f>
        <v>1</v>
      </c>
      <c r="G67" s="26" t="str">
        <f aca="false">+VLOOKUP(B67,'transacciones '!$A$2:$I$39,6,FALSE())</f>
        <v>P1</v>
      </c>
      <c r="H67" s="26" t="str">
        <f aca="false">+VLOOKUP(B67,'transacciones '!$A$2:$I$39,7,FALSE())</f>
        <v>Producción</v>
      </c>
      <c r="I67" s="9" t="s">
        <v>1554</v>
      </c>
      <c r="J67" s="9" t="s">
        <v>1555</v>
      </c>
      <c r="K67" s="11" t="s">
        <v>1556</v>
      </c>
      <c r="L67" s="27" t="str">
        <f aca="false">+VLOOKUP(K67,'Correl CIIU'!$A$1:$F$26,2,FALSE())</f>
        <v>Actividades artísticas, de entretenimiento y recreativas</v>
      </c>
      <c r="M67" s="27" t="str">
        <f aca="false">+VLOOKUP(K67,'Correl CIIU'!$A$1:$F$26,3,FALSE())</f>
        <v>Recreación</v>
      </c>
      <c r="N67" s="27" t="str">
        <f aca="false">+VLOOKUP(K67,'Correl CIIU'!$A$1:$F$26,4,FALSE())</f>
        <v>Arts, entertainment and recreation</v>
      </c>
      <c r="O67" s="27" t="n">
        <v>3</v>
      </c>
      <c r="P67" s="28" t="str">
        <f aca="false">+VLOOKUP(O68,bio!$A$2:$B$4,2,FALSE())</f>
        <v>No bioeconomía</v>
      </c>
    </row>
    <row r="68" customFormat="false" ht="14.25" hidden="false" customHeight="false" outlineLevel="0" collapsed="false">
      <c r="A68" s="24" t="s">
        <v>1045</v>
      </c>
      <c r="B68" s="25" t="s">
        <v>1405</v>
      </c>
      <c r="C68" s="26" t="str">
        <f aca="false">+VLOOKUP(B68,'transacciones '!$A$2:$I$39,2,FALSE())</f>
        <v>ATC01</v>
      </c>
      <c r="D68" s="26" t="str">
        <f aca="false">+VLOOKUP(B68,'transacciones '!$A$2:$I$39,3,FALSE())</f>
        <v>Producción / Consumo intermedio</v>
      </c>
      <c r="E68" s="26" t="str">
        <f aca="false">+VLOOKUP(B68,'transacciones '!$A$2:$I$39,4,FALSE())</f>
        <v>Producción</v>
      </c>
      <c r="F68" s="26" t="n">
        <f aca="false">+VLOOKUP(B68,'transacciones '!$A$2:$I$39,5,FALSE())</f>
        <v>1</v>
      </c>
      <c r="G68" s="26" t="str">
        <f aca="false">+VLOOKUP(B68,'transacciones '!$A$2:$I$39,6,FALSE())</f>
        <v>P1</v>
      </c>
      <c r="H68" s="26" t="str">
        <f aca="false">+VLOOKUP(B68,'transacciones '!$A$2:$I$39,7,FALSE())</f>
        <v>Producción</v>
      </c>
      <c r="I68" s="26" t="s">
        <v>1557</v>
      </c>
      <c r="J68" s="26" t="s">
        <v>1558</v>
      </c>
      <c r="K68" s="11" t="s">
        <v>1556</v>
      </c>
      <c r="L68" s="27" t="str">
        <f aca="false">+VLOOKUP(K68,'Correl CIIU'!$A$1:$F$26,2,FALSE())</f>
        <v>Actividades artísticas, de entretenimiento y recreativas</v>
      </c>
      <c r="M68" s="27" t="str">
        <f aca="false">+VLOOKUP(K68,'Correl CIIU'!$A$1:$F$26,3,FALSE())</f>
        <v>Recreación</v>
      </c>
      <c r="N68" s="27" t="str">
        <f aca="false">+VLOOKUP(K68,'Correl CIIU'!$A$1:$F$26,4,FALSE())</f>
        <v>Arts, entertainment and recreation</v>
      </c>
      <c r="O68" s="27" t="n">
        <v>3</v>
      </c>
      <c r="P68" s="28" t="str">
        <f aca="false">+VLOOKUP(O69,bio!$A$2:$B$4,2,FALSE())</f>
        <v>No bioeconomía</v>
      </c>
    </row>
    <row r="69" customFormat="false" ht="14.25" hidden="false" customHeight="false" outlineLevel="0" collapsed="false">
      <c r="A69" s="24" t="s">
        <v>1047</v>
      </c>
      <c r="B69" s="25" t="s">
        <v>1405</v>
      </c>
      <c r="C69" s="26" t="str">
        <f aca="false">+VLOOKUP(B69,'transacciones '!$A$2:$I$39,2,FALSE())</f>
        <v>ATC01</v>
      </c>
      <c r="D69" s="26" t="str">
        <f aca="false">+VLOOKUP(B69,'transacciones '!$A$2:$I$39,3,FALSE())</f>
        <v>Producción / Consumo intermedio</v>
      </c>
      <c r="E69" s="26" t="str">
        <f aca="false">+VLOOKUP(B69,'transacciones '!$A$2:$I$39,4,FALSE())</f>
        <v>Producción</v>
      </c>
      <c r="F69" s="26" t="n">
        <f aca="false">+VLOOKUP(B69,'transacciones '!$A$2:$I$39,5,FALSE())</f>
        <v>1</v>
      </c>
      <c r="G69" s="26" t="str">
        <f aca="false">+VLOOKUP(B69,'transacciones '!$A$2:$I$39,6,FALSE())</f>
        <v>P1</v>
      </c>
      <c r="H69" s="26" t="str">
        <f aca="false">+VLOOKUP(B69,'transacciones '!$A$2:$I$39,7,FALSE())</f>
        <v>Producción</v>
      </c>
      <c r="I69" s="9" t="s">
        <v>1559</v>
      </c>
      <c r="J69" s="9" t="s">
        <v>1560</v>
      </c>
      <c r="K69" s="11" t="s">
        <v>1561</v>
      </c>
      <c r="L69" s="27" t="str">
        <f aca="false">+VLOOKUP(K69,'Correl CIIU'!$A$1:$F$26,2,FALSE())</f>
        <v>Actividades de los hogares como empleadores; actividades no diferenciadas de los hogares como productores de bienes y servicios para uso propio</v>
      </c>
      <c r="M69" s="27" t="str">
        <f aca="false">+VLOOKUP(K69,'Correl CIIU'!$A$1:$F$26,3,FALSE())</f>
        <v>Hogares como empleadores</v>
      </c>
      <c r="N69" s="27" t="str">
        <f aca="false">+VLOOKUP(K69,'Correl CIIU'!$A$1:$F$26,4,FALSE())</f>
        <v>Activities of households as employers; undifferentiated goods- and services-producing activities of households for own use</v>
      </c>
      <c r="O69" s="27" t="n">
        <v>3</v>
      </c>
      <c r="P69" s="28" t="str">
        <f aca="false">+VLOOKUP(O69,bio!$A$2:$B$4,2,FALSE())</f>
        <v>No bioeconomía</v>
      </c>
    </row>
    <row r="70" customFormat="false" ht="14.25" hidden="false" customHeight="false" outlineLevel="0" collapsed="false">
      <c r="A70" s="31" t="s">
        <v>1049</v>
      </c>
      <c r="B70" s="32"/>
      <c r="C70" s="33"/>
      <c r="D70" s="33"/>
      <c r="E70" s="33"/>
      <c r="F70" s="33"/>
      <c r="G70" s="33"/>
      <c r="H70" s="33"/>
      <c r="I70" s="33" t="str">
        <f aca="false">LEFT(J70,4)</f>
        <v>Tota</v>
      </c>
      <c r="J70" s="33" t="s">
        <v>1562</v>
      </c>
      <c r="K70" s="34"/>
      <c r="L70" s="34"/>
      <c r="M70" s="34"/>
      <c r="N70" s="34"/>
      <c r="O70" s="34"/>
      <c r="P70" s="35"/>
    </row>
    <row r="71" customFormat="false" ht="14.25" hidden="false" customHeight="false" outlineLevel="0" collapsed="false">
      <c r="A71" s="24" t="s">
        <v>1051</v>
      </c>
      <c r="B71" s="36" t="s">
        <v>1563</v>
      </c>
      <c r="C71" s="26" t="str">
        <f aca="false">+VLOOKUP(B71,'transacciones '!$A$2:$I$39,2,FALSE())</f>
        <v>ATC02</v>
      </c>
      <c r="D71" s="26" t="str">
        <f aca="false">+VLOOKUP(B71,'transacciones '!$A$2:$I$39,3,FALSE())</f>
        <v>Exportaciones / Importaciones</v>
      </c>
      <c r="E71" s="26" t="str">
        <f aca="false">+VLOOKUP(B71,'transacciones '!$A$2:$I$39,4,FALSE())</f>
        <v>Importaciones de bienes Y SERVICIOS</v>
      </c>
      <c r="F71" s="26" t="n">
        <f aca="false">+VLOOKUP(B71,'transacciones '!$A$2:$I$39,5,FALSE())</f>
        <v>0</v>
      </c>
      <c r="G71" s="26" t="str">
        <f aca="false">+VLOOKUP(B71,'transacciones '!$A$2:$I$39,6,FALSE())</f>
        <v>P7</v>
      </c>
      <c r="H71" s="26" t="str">
        <f aca="false">+VLOOKUP(B71,'transacciones '!$A$2:$I$39,7,FALSE())</f>
        <v>Importaciones de bienes y servicios</v>
      </c>
      <c r="I71" s="9" t="str">
        <f aca="false">LEFT(J71,4)</f>
        <v>Impo</v>
      </c>
      <c r="J71" s="9" t="s">
        <v>1564</v>
      </c>
      <c r="K71" s="27" t="s">
        <v>1565</v>
      </c>
      <c r="L71" s="27" t="s">
        <v>1565</v>
      </c>
      <c r="M71" s="27" t="s">
        <v>1565</v>
      </c>
      <c r="N71" s="27" t="s">
        <v>1565</v>
      </c>
      <c r="O71" s="27" t="s">
        <v>1565</v>
      </c>
      <c r="P71" s="28" t="s">
        <v>1565</v>
      </c>
    </row>
    <row r="72" customFormat="false" ht="14.25" hidden="false" customHeight="false" outlineLevel="0" collapsed="false">
      <c r="A72" s="24" t="s">
        <v>1054</v>
      </c>
      <c r="B72" s="36" t="s">
        <v>1566</v>
      </c>
      <c r="C72" s="26" t="str">
        <f aca="false">+VLOOKUP(B72,'transacciones '!$A$2:$I$39,2,FALSE())</f>
        <v>ATC05</v>
      </c>
      <c r="D72" s="26" t="str">
        <f aca="false">+VLOOKUP(B72,'transacciones '!$A$2:$I$39,3,FALSE())</f>
        <v>Márgenes de distribución</v>
      </c>
      <c r="E72" s="26" t="str">
        <f aca="false">+VLOOKUP(B72,'transacciones '!$A$2:$I$39,4,FALSE())</f>
        <v>Márgenes de comercio</v>
      </c>
      <c r="F72" s="26" t="n">
        <f aca="false">+VLOOKUP(B72,'transacciones '!$A$2:$I$39,5,FALSE())</f>
        <v>12</v>
      </c>
      <c r="G72" s="26" t="str">
        <f aca="false">+VLOOKUP(B72,'transacciones '!$A$2:$I$39,6,FALSE())</f>
        <v>M1</v>
      </c>
      <c r="H72" s="26" t="str">
        <f aca="false">+VLOOKUP(B72,'transacciones '!$A$2:$I$39,7,FALSE())</f>
        <v>Márgenes de distribución</v>
      </c>
      <c r="I72" s="26" t="str">
        <f aca="false">LEFT(J72,4)</f>
        <v>Marg</v>
      </c>
      <c r="J72" s="26" t="s">
        <v>1567</v>
      </c>
      <c r="K72" s="27" t="s">
        <v>1565</v>
      </c>
      <c r="L72" s="27" t="s">
        <v>1565</v>
      </c>
      <c r="M72" s="27" t="s">
        <v>1565</v>
      </c>
      <c r="N72" s="27" t="s">
        <v>1565</v>
      </c>
      <c r="O72" s="27" t="s">
        <v>1565</v>
      </c>
      <c r="P72" s="28" t="s">
        <v>1565</v>
      </c>
    </row>
    <row r="73" customFormat="false" ht="14.25" hidden="false" customHeight="false" outlineLevel="0" collapsed="false">
      <c r="A73" s="24" t="s">
        <v>1056</v>
      </c>
      <c r="B73" s="36" t="s">
        <v>1568</v>
      </c>
      <c r="C73" s="26" t="str">
        <f aca="false">+VLOOKUP(B73,'transacciones '!$A$2:$I$39,2,FALSE())</f>
        <v>ATC05</v>
      </c>
      <c r="D73" s="26" t="str">
        <f aca="false">+VLOOKUP(B73,'transacciones '!$A$2:$I$39,3,FALSE())</f>
        <v>Márgenes de distribución</v>
      </c>
      <c r="E73" s="26" t="str">
        <f aca="false">+VLOOKUP(B73,'transacciones '!$A$2:$I$39,4,FALSE())</f>
        <v>Márgenes de transporte</v>
      </c>
      <c r="F73" s="26" t="n">
        <f aca="false">+VLOOKUP(B73,'transacciones '!$A$2:$I$39,5,FALSE())</f>
        <v>12</v>
      </c>
      <c r="G73" s="26" t="str">
        <f aca="false">+VLOOKUP(B73,'transacciones '!$A$2:$I$39,6,FALSE())</f>
        <v>M1</v>
      </c>
      <c r="H73" s="26" t="str">
        <f aca="false">+VLOOKUP(B73,'transacciones '!$A$2:$I$39,7,FALSE())</f>
        <v>Márgenes de distribución</v>
      </c>
      <c r="I73" s="9" t="str">
        <f aca="false">LEFT(J73,4)</f>
        <v>Marg</v>
      </c>
      <c r="J73" s="9" t="s">
        <v>1569</v>
      </c>
      <c r="K73" s="27" t="s">
        <v>1565</v>
      </c>
      <c r="L73" s="27" t="s">
        <v>1565</v>
      </c>
      <c r="M73" s="27" t="s">
        <v>1565</v>
      </c>
      <c r="N73" s="27" t="s">
        <v>1565</v>
      </c>
      <c r="O73" s="27" t="s">
        <v>1565</v>
      </c>
      <c r="P73" s="28" t="s">
        <v>1565</v>
      </c>
    </row>
    <row r="74" customFormat="false" ht="14.25" hidden="false" customHeight="false" outlineLevel="0" collapsed="false">
      <c r="A74" s="24" t="s">
        <v>1058</v>
      </c>
      <c r="B74" s="9" t="s">
        <v>1570</v>
      </c>
      <c r="C74" s="26" t="str">
        <f aca="false">+VLOOKUP(B74,'transacciones '!$A$2:$I$39,2,FALSE())</f>
        <v>ATC04</v>
      </c>
      <c r="D74" s="26" t="str">
        <f aca="false">+VLOOKUP(B74,'transacciones '!$A$2:$I$39,3,FALSE())</f>
        <v>Impuestos menos subvenciones sobre los productos</v>
      </c>
      <c r="E74" s="26" t="str">
        <f aca="false">+VLOOKUP(B74,'transacciones '!$A$2:$I$39,4,FALSE())</f>
        <v>Impuestos y derechos sobre las importaciones excepto IVA</v>
      </c>
      <c r="F74" s="26" t="n">
        <f aca="false">+VLOOKUP(B74,'transacciones '!$A$2:$I$39,5,FALSE())</f>
        <v>9</v>
      </c>
      <c r="G74" s="26" t="str">
        <f aca="false">+VLOOKUP(B74,'transacciones '!$A$2:$I$39,6,FALSE())</f>
        <v>D2</v>
      </c>
      <c r="H74" s="26" t="str">
        <f aca="false">+VLOOKUP(B74,'transacciones '!$A$2:$I$39,7,FALSE())</f>
        <v>Impuestos sobre la producción y las importaciones</v>
      </c>
      <c r="I74" s="26" t="str">
        <f aca="false">LEFT(J74,4)</f>
        <v>Impo</v>
      </c>
      <c r="J74" s="26" t="s">
        <v>1571</v>
      </c>
      <c r="K74" s="27" t="s">
        <v>1565</v>
      </c>
      <c r="L74" s="27" t="s">
        <v>1565</v>
      </c>
      <c r="M74" s="27" t="s">
        <v>1565</v>
      </c>
      <c r="N74" s="27" t="s">
        <v>1565</v>
      </c>
      <c r="O74" s="27" t="s">
        <v>1565</v>
      </c>
      <c r="P74" s="28" t="s">
        <v>1565</v>
      </c>
    </row>
    <row r="75" customFormat="false" ht="14.25" hidden="false" customHeight="false" outlineLevel="0" collapsed="false">
      <c r="A75" s="24" t="s">
        <v>1060</v>
      </c>
      <c r="B75" s="36" t="s">
        <v>1572</v>
      </c>
      <c r="C75" s="26" t="str">
        <f aca="false">+VLOOKUP(B75,'transacciones '!$A$2:$I$39,2,FALSE())</f>
        <v>ATC04</v>
      </c>
      <c r="D75" s="26" t="str">
        <f aca="false">+VLOOKUP(B75,'transacciones '!$A$2:$I$39,3,FALSE())</f>
        <v>Impuestos menos subvenciones sobre los productos</v>
      </c>
      <c r="E75" s="26" t="str">
        <f aca="false">+VLOOKUP(B75,'transacciones '!$A$2:$I$39,4,FALSE())</f>
        <v>Impuestos tipo valor agregado (IVA)</v>
      </c>
      <c r="F75" s="26" t="n">
        <f aca="false">+VLOOKUP(B75,'transacciones '!$A$2:$I$39,5,FALSE())</f>
        <v>9</v>
      </c>
      <c r="G75" s="26" t="str">
        <f aca="false">+VLOOKUP(B75,'transacciones '!$A$2:$I$39,6,FALSE())</f>
        <v>D2</v>
      </c>
      <c r="H75" s="26" t="str">
        <f aca="false">+VLOOKUP(B75,'transacciones '!$A$2:$I$39,7,FALSE())</f>
        <v>Impuestos sobre la producción y las importaciones</v>
      </c>
      <c r="I75" s="9" t="str">
        <f aca="false">LEFT(J75,4)</f>
        <v>IPI</v>
      </c>
      <c r="J75" s="9" t="s">
        <v>1573</v>
      </c>
      <c r="K75" s="27" t="s">
        <v>1565</v>
      </c>
      <c r="L75" s="27" t="s">
        <v>1565</v>
      </c>
      <c r="M75" s="27" t="s">
        <v>1565</v>
      </c>
      <c r="N75" s="27" t="s">
        <v>1565</v>
      </c>
      <c r="O75" s="27" t="s">
        <v>1565</v>
      </c>
      <c r="P75" s="28" t="s">
        <v>1565</v>
      </c>
    </row>
    <row r="76" customFormat="false" ht="14.25" hidden="false" customHeight="false" outlineLevel="0" collapsed="false">
      <c r="A76" s="24" t="s">
        <v>1062</v>
      </c>
      <c r="B76" s="36" t="s">
        <v>1574</v>
      </c>
      <c r="C76" s="26" t="str">
        <f aca="false">+VLOOKUP(B76,'transacciones '!$A$2:$I$39,2,FALSE())</f>
        <v>ATC04</v>
      </c>
      <c r="D76" s="26" t="str">
        <f aca="false">+VLOOKUP(B76,'transacciones '!$A$2:$I$39,3,FALSE())</f>
        <v>Impuestos menos subvenciones sobre los productos</v>
      </c>
      <c r="E76" s="26" t="str">
        <f aca="false">+VLOOKUP(B76,'transacciones '!$A$2:$I$39,4,FALSE())</f>
        <v>Impuestos sobre los productos, excepto IVA e impuestos sobre las importaciones </v>
      </c>
      <c r="F76" s="26" t="n">
        <f aca="false">+VLOOKUP(B76,'transacciones '!$A$2:$I$39,5,FALSE())</f>
        <v>9</v>
      </c>
      <c r="G76" s="26" t="str">
        <f aca="false">+VLOOKUP(B76,'transacciones '!$A$2:$I$39,6,FALSE())</f>
        <v>D2</v>
      </c>
      <c r="H76" s="26" t="str">
        <f aca="false">+VLOOKUP(B76,'transacciones '!$A$2:$I$39,7,FALSE())</f>
        <v>Impuestos sobre la producción y las importaciones</v>
      </c>
      <c r="I76" s="26" t="str">
        <f aca="false">LEFT(J76,4)</f>
        <v>ICMS</v>
      </c>
      <c r="J76" s="26" t="s">
        <v>1575</v>
      </c>
      <c r="K76" s="27" t="s">
        <v>1565</v>
      </c>
      <c r="L76" s="27" t="s">
        <v>1565</v>
      </c>
      <c r="M76" s="27" t="s">
        <v>1565</v>
      </c>
      <c r="N76" s="27" t="s">
        <v>1565</v>
      </c>
      <c r="O76" s="27" t="s">
        <v>1565</v>
      </c>
      <c r="P76" s="28" t="s">
        <v>1565</v>
      </c>
    </row>
    <row r="77" customFormat="false" ht="14.25" hidden="false" customHeight="false" outlineLevel="0" collapsed="false">
      <c r="A77" s="24" t="s">
        <v>1064</v>
      </c>
      <c r="B77" s="36" t="s">
        <v>1574</v>
      </c>
      <c r="C77" s="26" t="str">
        <f aca="false">+VLOOKUP(B77,'transacciones '!$A$2:$I$39,2,FALSE())</f>
        <v>ATC04</v>
      </c>
      <c r="D77" s="26" t="str">
        <f aca="false">+VLOOKUP(B77,'transacciones '!$A$2:$I$39,3,FALSE())</f>
        <v>Impuestos menos subvenciones sobre los productos</v>
      </c>
      <c r="E77" s="26" t="str">
        <f aca="false">+VLOOKUP(B77,'transacciones '!$A$2:$I$39,4,FALSE())</f>
        <v>Impuestos sobre los productos, excepto IVA e impuestos sobre las importaciones </v>
      </c>
      <c r="F77" s="26" t="n">
        <f aca="false">+VLOOKUP(B77,'transacciones '!$A$2:$I$39,5,FALSE())</f>
        <v>9</v>
      </c>
      <c r="G77" s="26" t="str">
        <f aca="false">+VLOOKUP(B77,'transacciones '!$A$2:$I$39,6,FALSE())</f>
        <v>D2</v>
      </c>
      <c r="H77" s="26" t="str">
        <f aca="false">+VLOOKUP(B77,'transacciones '!$A$2:$I$39,7,FALSE())</f>
        <v>Impuestos sobre la producción y las importaciones</v>
      </c>
      <c r="I77" s="9" t="str">
        <f aca="false">LEFT(J77,4)</f>
        <v>Outr</v>
      </c>
      <c r="J77" s="9" t="s">
        <v>1576</v>
      </c>
      <c r="K77" s="27" t="s">
        <v>1565</v>
      </c>
      <c r="L77" s="27" t="s">
        <v>1565</v>
      </c>
      <c r="M77" s="27" t="s">
        <v>1565</v>
      </c>
      <c r="N77" s="27" t="s">
        <v>1565</v>
      </c>
      <c r="O77" s="27" t="s">
        <v>1565</v>
      </c>
      <c r="P77" s="28" t="s">
        <v>1565</v>
      </c>
    </row>
    <row r="78" customFormat="false" ht="14.25" hidden="false" customHeight="false" outlineLevel="0" collapsed="false">
      <c r="A78" s="31" t="s">
        <v>1066</v>
      </c>
      <c r="B78" s="32"/>
      <c r="C78" s="33"/>
      <c r="D78" s="33"/>
      <c r="E78" s="33"/>
      <c r="F78" s="33"/>
      <c r="G78" s="33"/>
      <c r="H78" s="33"/>
      <c r="I78" s="37"/>
      <c r="J78" s="37" t="s">
        <v>1577</v>
      </c>
      <c r="K78" s="34"/>
      <c r="L78" s="34"/>
      <c r="M78" s="34"/>
      <c r="N78" s="34"/>
      <c r="O78" s="34"/>
      <c r="P78" s="35"/>
    </row>
    <row r="79" customFormat="false" ht="14.25" hidden="false" customHeight="false" outlineLevel="0" collapsed="false">
      <c r="A79" s="17" t="s">
        <v>1069</v>
      </c>
      <c r="B79" s="18" t="s">
        <v>1578</v>
      </c>
      <c r="C79" s="19" t="str">
        <f aca="false">+VLOOKUP(B79,'transacciones '!$A$2:$I$39,2,FALSE())</f>
        <v>ATC01</v>
      </c>
      <c r="D79" s="19" t="str">
        <f aca="false">+VLOOKUP(B79,'transacciones '!$A$2:$I$39,3,FALSE())</f>
        <v>Producción / Consumo intermedio</v>
      </c>
      <c r="E79" s="19" t="str">
        <f aca="false">+VLOOKUP(B79,'transacciones '!$A$2:$I$39,4,FALSE())</f>
        <v>Consumo</v>
      </c>
      <c r="F79" s="19" t="n">
        <f aca="false">+VLOOKUP(B79,'transacciones '!$A$2:$I$39,5,FALSE())</f>
        <v>2</v>
      </c>
      <c r="G79" s="19" t="str">
        <f aca="false">+VLOOKUP(B79,'transacciones '!$A$2:$I$39,6,FALSE())</f>
        <v>P2</v>
      </c>
      <c r="H79" s="19" t="str">
        <f aca="false">+VLOOKUP(B79,'transacciones '!$A$2:$I$39,7,FALSE())</f>
        <v>Consumo intermedio</v>
      </c>
      <c r="I79" s="20" t="s">
        <v>1406</v>
      </c>
      <c r="J79" s="19" t="s">
        <v>1407</v>
      </c>
      <c r="K79" s="22" t="s">
        <v>1424</v>
      </c>
      <c r="L79" s="22" t="str">
        <f aca="false">+VLOOKUP(K79,'Correl CIIU'!$A$1:$F$26,2,FALSE())</f>
        <v>Industrias manufactureras</v>
      </c>
      <c r="M79" s="22" t="str">
        <f aca="false">+VLOOKUP(K79,'Correl CIIU'!$A$1:$F$26,3,FALSE())</f>
        <v>Manufacturas</v>
      </c>
      <c r="N79" s="22" t="str">
        <f aca="false">+VLOOKUP(K79,'Correl CIIU'!$A$1:$F$26,4,FALSE())</f>
        <v>Manufacturing</v>
      </c>
      <c r="O79" s="22" t="n">
        <v>1</v>
      </c>
      <c r="P79" s="23" t="str">
        <f aca="false">+VLOOKUP(O79,bio!$A$2:$B$4,2,FALSE())</f>
        <v>Bioeconomía</v>
      </c>
    </row>
    <row r="80" customFormat="false" ht="14.25" hidden="false" customHeight="false" outlineLevel="0" collapsed="false">
      <c r="A80" s="24" t="s">
        <v>1071</v>
      </c>
      <c r="B80" s="25" t="s">
        <v>1578</v>
      </c>
      <c r="C80" s="26" t="str">
        <f aca="false">+VLOOKUP(B80,'transacciones '!$A$2:$I$39,2,FALSE())</f>
        <v>ATC01</v>
      </c>
      <c r="D80" s="26" t="str">
        <f aca="false">+VLOOKUP(B80,'transacciones '!$A$2:$I$39,3,FALSE())</f>
        <v>Producción / Consumo intermedio</v>
      </c>
      <c r="E80" s="26" t="str">
        <f aca="false">+VLOOKUP(B80,'transacciones '!$A$2:$I$39,4,FALSE())</f>
        <v>Consumo</v>
      </c>
      <c r="F80" s="26" t="n">
        <f aca="false">+VLOOKUP(B80,'transacciones '!$A$2:$I$39,5,FALSE())</f>
        <v>2</v>
      </c>
      <c r="G80" s="26" t="str">
        <f aca="false">+VLOOKUP(B80,'transacciones '!$A$2:$I$39,6,FALSE())</f>
        <v>P2</v>
      </c>
      <c r="H80" s="26" t="str">
        <f aca="false">+VLOOKUP(B80,'transacciones '!$A$2:$I$39,7,FALSE())</f>
        <v>Consumo intermedio</v>
      </c>
      <c r="I80" s="9" t="s">
        <v>1409</v>
      </c>
      <c r="J80" s="26" t="s">
        <v>1410</v>
      </c>
      <c r="K80" s="27" t="s">
        <v>1408</v>
      </c>
      <c r="L80" s="27" t="str">
        <f aca="false">+VLOOKUP(K80,'Correl CIIU'!$A$1:$F$26,2,FALSE())</f>
        <v>Agricultura, ganadería, silvicultura y pesca</v>
      </c>
      <c r="M80" s="27" t="str">
        <f aca="false">+VLOOKUP(K80,'Correl CIIU'!$A$1:$F$26,3,FALSE())</f>
        <v>Agricultura</v>
      </c>
      <c r="N80" s="27" t="str">
        <f aca="false">+VLOOKUP(K80,'Correl CIIU'!$A$1:$F$26,4,FALSE())</f>
        <v>Agriculture, forestry and fishing</v>
      </c>
      <c r="O80" s="27" t="n">
        <v>1</v>
      </c>
      <c r="P80" s="28" t="str">
        <f aca="false">+VLOOKUP(O80,bio!$A$2:$B$4,2,FALSE())</f>
        <v>Bioeconomía</v>
      </c>
    </row>
    <row r="81" customFormat="false" ht="14.25" hidden="false" customHeight="false" outlineLevel="0" collapsed="false">
      <c r="A81" s="24" t="s">
        <v>1073</v>
      </c>
      <c r="B81" s="25" t="s">
        <v>1578</v>
      </c>
      <c r="C81" s="26" t="str">
        <f aca="false">+VLOOKUP(B81,'transacciones '!$A$2:$I$39,2,FALSE())</f>
        <v>ATC01</v>
      </c>
      <c r="D81" s="26" t="str">
        <f aca="false">+VLOOKUP(B81,'transacciones '!$A$2:$I$39,3,FALSE())</f>
        <v>Producción / Consumo intermedio</v>
      </c>
      <c r="E81" s="26" t="str">
        <f aca="false">+VLOOKUP(B81,'transacciones '!$A$2:$I$39,4,FALSE())</f>
        <v>Consumo</v>
      </c>
      <c r="F81" s="26" t="n">
        <f aca="false">+VLOOKUP(B81,'transacciones '!$A$2:$I$39,5,FALSE())</f>
        <v>2</v>
      </c>
      <c r="G81" s="26" t="str">
        <f aca="false">+VLOOKUP(B81,'transacciones '!$A$2:$I$39,6,FALSE())</f>
        <v>P2</v>
      </c>
      <c r="H81" s="26" t="str">
        <f aca="false">+VLOOKUP(B81,'transacciones '!$A$2:$I$39,7,FALSE())</f>
        <v>Consumo intermedio</v>
      </c>
      <c r="I81" s="26" t="s">
        <v>1411</v>
      </c>
      <c r="J81" s="26" t="s">
        <v>1412</v>
      </c>
      <c r="K81" s="27" t="s">
        <v>1408</v>
      </c>
      <c r="L81" s="27" t="str">
        <f aca="false">+VLOOKUP(K81,'Correl CIIU'!$A$1:$F$26,2,FALSE())</f>
        <v>Agricultura, ganadería, silvicultura y pesca</v>
      </c>
      <c r="M81" s="27" t="str">
        <f aca="false">+VLOOKUP(K81,'Correl CIIU'!$A$1:$F$26,3,FALSE())</f>
        <v>Agricultura</v>
      </c>
      <c r="N81" s="27" t="str">
        <f aca="false">+VLOOKUP(K81,'Correl CIIU'!$A$1:$F$26,4,FALSE())</f>
        <v>Agriculture, forestry and fishing</v>
      </c>
      <c r="O81" s="27" t="n">
        <v>1</v>
      </c>
      <c r="P81" s="28" t="str">
        <f aca="false">+VLOOKUP(O81,bio!$A$2:$B$4,2,FALSE())</f>
        <v>Bioeconomía</v>
      </c>
    </row>
    <row r="82" customFormat="false" ht="14.25" hidden="false" customHeight="false" outlineLevel="0" collapsed="false">
      <c r="A82" s="24" t="s">
        <v>1075</v>
      </c>
      <c r="B82" s="25" t="s">
        <v>1578</v>
      </c>
      <c r="C82" s="26" t="str">
        <f aca="false">+VLOOKUP(B82,'transacciones '!$A$2:$I$39,2,FALSE())</f>
        <v>ATC01</v>
      </c>
      <c r="D82" s="26" t="str">
        <f aca="false">+VLOOKUP(B82,'transacciones '!$A$2:$I$39,3,FALSE())</f>
        <v>Producción / Consumo intermedio</v>
      </c>
      <c r="E82" s="26" t="str">
        <f aca="false">+VLOOKUP(B82,'transacciones '!$A$2:$I$39,4,FALSE())</f>
        <v>Consumo</v>
      </c>
      <c r="F82" s="26" t="n">
        <f aca="false">+VLOOKUP(B82,'transacciones '!$A$2:$I$39,5,FALSE())</f>
        <v>2</v>
      </c>
      <c r="G82" s="26" t="str">
        <f aca="false">+VLOOKUP(B82,'transacciones '!$A$2:$I$39,6,FALSE())</f>
        <v>P2</v>
      </c>
      <c r="H82" s="26" t="str">
        <f aca="false">+VLOOKUP(B82,'transacciones '!$A$2:$I$39,7,FALSE())</f>
        <v>Consumo intermedio</v>
      </c>
      <c r="I82" s="9" t="s">
        <v>1413</v>
      </c>
      <c r="J82" s="26" t="s">
        <v>1414</v>
      </c>
      <c r="K82" s="27" t="s">
        <v>1415</v>
      </c>
      <c r="L82" s="27" t="str">
        <f aca="false">+VLOOKUP(K82,'Correl CIIU'!$A$1:$F$26,2,FALSE())</f>
        <v>Explotación de minas y canteras</v>
      </c>
      <c r="M82" s="27" t="str">
        <f aca="false">+VLOOKUP(K82,'Correl CIIU'!$A$1:$F$26,3,FALSE())</f>
        <v>Minería</v>
      </c>
      <c r="N82" s="27" t="str">
        <f aca="false">+VLOOKUP(K82,'Correl CIIU'!$A$1:$F$26,4,FALSE())</f>
        <v>Mining and quarrying</v>
      </c>
      <c r="O82" s="27" t="n">
        <v>3</v>
      </c>
      <c r="P82" s="28" t="str">
        <f aca="false">+VLOOKUP(O82,bio!$A$2:$B$4,2,FALSE())</f>
        <v>No bioeconomía</v>
      </c>
    </row>
    <row r="83" customFormat="false" ht="14.25" hidden="false" customHeight="false" outlineLevel="0" collapsed="false">
      <c r="A83" s="24" t="s">
        <v>1077</v>
      </c>
      <c r="B83" s="25" t="s">
        <v>1578</v>
      </c>
      <c r="C83" s="26" t="str">
        <f aca="false">+VLOOKUP(B83,'transacciones '!$A$2:$I$39,2,FALSE())</f>
        <v>ATC01</v>
      </c>
      <c r="D83" s="26" t="str">
        <f aca="false">+VLOOKUP(B83,'transacciones '!$A$2:$I$39,3,FALSE())</f>
        <v>Producción / Consumo intermedio</v>
      </c>
      <c r="E83" s="26" t="str">
        <f aca="false">+VLOOKUP(B83,'transacciones '!$A$2:$I$39,4,FALSE())</f>
        <v>Consumo</v>
      </c>
      <c r="F83" s="26" t="n">
        <f aca="false">+VLOOKUP(B83,'transacciones '!$A$2:$I$39,5,FALSE())</f>
        <v>2</v>
      </c>
      <c r="G83" s="26" t="str">
        <f aca="false">+VLOOKUP(B83,'transacciones '!$A$2:$I$39,6,FALSE())</f>
        <v>P2</v>
      </c>
      <c r="H83" s="26" t="str">
        <f aca="false">+VLOOKUP(B83,'transacciones '!$A$2:$I$39,7,FALSE())</f>
        <v>Consumo intermedio</v>
      </c>
      <c r="I83" s="26" t="s">
        <v>1416</v>
      </c>
      <c r="J83" s="26" t="s">
        <v>1417</v>
      </c>
      <c r="K83" s="27" t="s">
        <v>1415</v>
      </c>
      <c r="L83" s="27" t="str">
        <f aca="false">+VLOOKUP(K83,'Correl CIIU'!$A$1:$F$26,2,FALSE())</f>
        <v>Explotación de minas y canteras</v>
      </c>
      <c r="M83" s="27" t="str">
        <f aca="false">+VLOOKUP(K83,'Correl CIIU'!$A$1:$F$26,3,FALSE())</f>
        <v>Minería</v>
      </c>
      <c r="N83" s="27" t="str">
        <f aca="false">+VLOOKUP(K83,'Correl CIIU'!$A$1:$F$26,4,FALSE())</f>
        <v>Mining and quarrying</v>
      </c>
      <c r="O83" s="27" t="n">
        <v>3</v>
      </c>
      <c r="P83" s="28" t="str">
        <f aca="false">+VLOOKUP(O83,bio!$A$2:$B$4,2,FALSE())</f>
        <v>No bioeconomía</v>
      </c>
    </row>
    <row r="84" customFormat="false" ht="14.25" hidden="false" customHeight="false" outlineLevel="0" collapsed="false">
      <c r="A84" s="24" t="s">
        <v>1079</v>
      </c>
      <c r="B84" s="25" t="s">
        <v>1578</v>
      </c>
      <c r="C84" s="26" t="str">
        <f aca="false">+VLOOKUP(B84,'transacciones '!$A$2:$I$39,2,FALSE())</f>
        <v>ATC01</v>
      </c>
      <c r="D84" s="26" t="str">
        <f aca="false">+VLOOKUP(B84,'transacciones '!$A$2:$I$39,3,FALSE())</f>
        <v>Producción / Consumo intermedio</v>
      </c>
      <c r="E84" s="26" t="str">
        <f aca="false">+VLOOKUP(B84,'transacciones '!$A$2:$I$39,4,FALSE())</f>
        <v>Consumo</v>
      </c>
      <c r="F84" s="26" t="n">
        <f aca="false">+VLOOKUP(B84,'transacciones '!$A$2:$I$39,5,FALSE())</f>
        <v>2</v>
      </c>
      <c r="G84" s="26" t="str">
        <f aca="false">+VLOOKUP(B84,'transacciones '!$A$2:$I$39,6,FALSE())</f>
        <v>P2</v>
      </c>
      <c r="H84" s="26" t="str">
        <f aca="false">+VLOOKUP(B84,'transacciones '!$A$2:$I$39,7,FALSE())</f>
        <v>Consumo intermedio</v>
      </c>
      <c r="I84" s="9" t="s">
        <v>1418</v>
      </c>
      <c r="J84" s="26" t="s">
        <v>1419</v>
      </c>
      <c r="K84" s="27" t="s">
        <v>1415</v>
      </c>
      <c r="L84" s="27" t="str">
        <f aca="false">+VLOOKUP(K84,'Correl CIIU'!$A$1:$F$26,2,FALSE())</f>
        <v>Explotación de minas y canteras</v>
      </c>
      <c r="M84" s="27" t="str">
        <f aca="false">+VLOOKUP(K84,'Correl CIIU'!$A$1:$F$26,3,FALSE())</f>
        <v>Minería</v>
      </c>
      <c r="N84" s="27" t="str">
        <f aca="false">+VLOOKUP(K84,'Correl CIIU'!$A$1:$F$26,4,FALSE())</f>
        <v>Mining and quarrying</v>
      </c>
      <c r="O84" s="27" t="n">
        <v>3</v>
      </c>
      <c r="P84" s="28" t="str">
        <f aca="false">+VLOOKUP(O84,bio!$A$2:$B$4,2,FALSE())</f>
        <v>No bioeconomía</v>
      </c>
    </row>
    <row r="85" customFormat="false" ht="14.25" hidden="false" customHeight="false" outlineLevel="0" collapsed="false">
      <c r="A85" s="24" t="s">
        <v>1081</v>
      </c>
      <c r="B85" s="25" t="s">
        <v>1578</v>
      </c>
      <c r="C85" s="26" t="str">
        <f aca="false">+VLOOKUP(B85,'transacciones '!$A$2:$I$39,2,FALSE())</f>
        <v>ATC01</v>
      </c>
      <c r="D85" s="26" t="str">
        <f aca="false">+VLOOKUP(B85,'transacciones '!$A$2:$I$39,3,FALSE())</f>
        <v>Producción / Consumo intermedio</v>
      </c>
      <c r="E85" s="26" t="str">
        <f aca="false">+VLOOKUP(B85,'transacciones '!$A$2:$I$39,4,FALSE())</f>
        <v>Consumo</v>
      </c>
      <c r="F85" s="26" t="n">
        <f aca="false">+VLOOKUP(B85,'transacciones '!$A$2:$I$39,5,FALSE())</f>
        <v>2</v>
      </c>
      <c r="G85" s="26" t="str">
        <f aca="false">+VLOOKUP(B85,'transacciones '!$A$2:$I$39,6,FALSE())</f>
        <v>P2</v>
      </c>
      <c r="H85" s="26" t="str">
        <f aca="false">+VLOOKUP(B85,'transacciones '!$A$2:$I$39,7,FALSE())</f>
        <v>Consumo intermedio</v>
      </c>
      <c r="I85" s="26" t="s">
        <v>1420</v>
      </c>
      <c r="J85" s="26" t="s">
        <v>1421</v>
      </c>
      <c r="K85" s="27" t="s">
        <v>1415</v>
      </c>
      <c r="L85" s="27" t="str">
        <f aca="false">+VLOOKUP(K85,'Correl CIIU'!$A$1:$F$26,2,FALSE())</f>
        <v>Explotación de minas y canteras</v>
      </c>
      <c r="M85" s="27" t="str">
        <f aca="false">+VLOOKUP(K85,'Correl CIIU'!$A$1:$F$26,3,FALSE())</f>
        <v>Minería</v>
      </c>
      <c r="N85" s="27" t="str">
        <f aca="false">+VLOOKUP(K85,'Correl CIIU'!$A$1:$F$26,4,FALSE())</f>
        <v>Mining and quarrying</v>
      </c>
      <c r="O85" s="27" t="n">
        <v>3</v>
      </c>
      <c r="P85" s="28" t="str">
        <f aca="false">+VLOOKUP(O85,bio!$A$2:$B$4,2,FALSE())</f>
        <v>No bioeconomía</v>
      </c>
    </row>
    <row r="86" customFormat="false" ht="14.25" hidden="false" customHeight="false" outlineLevel="0" collapsed="false">
      <c r="A86" s="24" t="s">
        <v>1083</v>
      </c>
      <c r="B86" s="25" t="s">
        <v>1578</v>
      </c>
      <c r="C86" s="26" t="str">
        <f aca="false">+VLOOKUP(B86,'transacciones '!$A$2:$I$39,2,FALSE())</f>
        <v>ATC01</v>
      </c>
      <c r="D86" s="26" t="str">
        <f aca="false">+VLOOKUP(B86,'transacciones '!$A$2:$I$39,3,FALSE())</f>
        <v>Producción / Consumo intermedio</v>
      </c>
      <c r="E86" s="26" t="str">
        <f aca="false">+VLOOKUP(B86,'transacciones '!$A$2:$I$39,4,FALSE())</f>
        <v>Consumo</v>
      </c>
      <c r="F86" s="26" t="n">
        <f aca="false">+VLOOKUP(B86,'transacciones '!$A$2:$I$39,5,FALSE())</f>
        <v>2</v>
      </c>
      <c r="G86" s="26" t="str">
        <f aca="false">+VLOOKUP(B86,'transacciones '!$A$2:$I$39,6,FALSE())</f>
        <v>P2</v>
      </c>
      <c r="H86" s="26" t="str">
        <f aca="false">+VLOOKUP(B86,'transacciones '!$A$2:$I$39,7,FALSE())</f>
        <v>Consumo intermedio</v>
      </c>
      <c r="I86" s="9" t="s">
        <v>1422</v>
      </c>
      <c r="J86" s="26" t="s">
        <v>1423</v>
      </c>
      <c r="K86" s="27" t="s">
        <v>1424</v>
      </c>
      <c r="L86" s="27" t="str">
        <f aca="false">+VLOOKUP(K86,'Correl CIIU'!$A$1:$F$26,2,FALSE())</f>
        <v>Industrias manufactureras</v>
      </c>
      <c r="M86" s="27" t="str">
        <f aca="false">+VLOOKUP(K86,'Correl CIIU'!$A$1:$F$26,3,FALSE())</f>
        <v>Manufacturas</v>
      </c>
      <c r="N86" s="27" t="str">
        <f aca="false">+VLOOKUP(K86,'Correl CIIU'!$A$1:$F$26,4,FALSE())</f>
        <v>Manufacturing</v>
      </c>
      <c r="O86" s="27" t="n">
        <v>1</v>
      </c>
      <c r="P86" s="28" t="str">
        <f aca="false">+VLOOKUP(O86,bio!$A$2:$B$4,2,FALSE())</f>
        <v>Bioeconomía</v>
      </c>
    </row>
    <row r="87" customFormat="false" ht="14.25" hidden="false" customHeight="false" outlineLevel="0" collapsed="false">
      <c r="A87" s="24" t="s">
        <v>1085</v>
      </c>
      <c r="B87" s="25" t="s">
        <v>1578</v>
      </c>
      <c r="C87" s="26" t="str">
        <f aca="false">+VLOOKUP(B87,'transacciones '!$A$2:$I$39,2,FALSE())</f>
        <v>ATC01</v>
      </c>
      <c r="D87" s="26" t="str">
        <f aca="false">+VLOOKUP(B87,'transacciones '!$A$2:$I$39,3,FALSE())</f>
        <v>Producción / Consumo intermedio</v>
      </c>
      <c r="E87" s="26" t="str">
        <f aca="false">+VLOOKUP(B87,'transacciones '!$A$2:$I$39,4,FALSE())</f>
        <v>Consumo</v>
      </c>
      <c r="F87" s="26" t="n">
        <f aca="false">+VLOOKUP(B87,'transacciones '!$A$2:$I$39,5,FALSE())</f>
        <v>2</v>
      </c>
      <c r="G87" s="26" t="str">
        <f aca="false">+VLOOKUP(B87,'transacciones '!$A$2:$I$39,6,FALSE())</f>
        <v>P2</v>
      </c>
      <c r="H87" s="26" t="str">
        <f aca="false">+VLOOKUP(B87,'transacciones '!$A$2:$I$39,7,FALSE())</f>
        <v>Consumo intermedio</v>
      </c>
      <c r="I87" s="26" t="s">
        <v>1425</v>
      </c>
      <c r="J87" s="26" t="s">
        <v>1426</v>
      </c>
      <c r="K87" s="27" t="s">
        <v>1424</v>
      </c>
      <c r="L87" s="27" t="str">
        <f aca="false">+VLOOKUP(K87,'Correl CIIU'!$A$1:$F$26,2,FALSE())</f>
        <v>Industrias manufactureras</v>
      </c>
      <c r="M87" s="27" t="str">
        <f aca="false">+VLOOKUP(K87,'Correl CIIU'!$A$1:$F$26,3,FALSE())</f>
        <v>Manufacturas</v>
      </c>
      <c r="N87" s="27" t="str">
        <f aca="false">+VLOOKUP(K87,'Correl CIIU'!$A$1:$F$26,4,FALSE())</f>
        <v>Manufacturing</v>
      </c>
      <c r="O87" s="27" t="n">
        <v>1</v>
      </c>
      <c r="P87" s="28" t="str">
        <f aca="false">+VLOOKUP(O87,bio!$A$2:$B$4,2,FALSE())</f>
        <v>Bioeconomía</v>
      </c>
    </row>
    <row r="88" customFormat="false" ht="14.25" hidden="false" customHeight="false" outlineLevel="0" collapsed="false">
      <c r="A88" s="24" t="s">
        <v>1087</v>
      </c>
      <c r="B88" s="25" t="s">
        <v>1578</v>
      </c>
      <c r="C88" s="26" t="str">
        <f aca="false">+VLOOKUP(B88,'transacciones '!$A$2:$I$39,2,FALSE())</f>
        <v>ATC01</v>
      </c>
      <c r="D88" s="26" t="str">
        <f aca="false">+VLOOKUP(B88,'transacciones '!$A$2:$I$39,3,FALSE())</f>
        <v>Producción / Consumo intermedio</v>
      </c>
      <c r="E88" s="26" t="str">
        <f aca="false">+VLOOKUP(B88,'transacciones '!$A$2:$I$39,4,FALSE())</f>
        <v>Consumo</v>
      </c>
      <c r="F88" s="26" t="n">
        <f aca="false">+VLOOKUP(B88,'transacciones '!$A$2:$I$39,5,FALSE())</f>
        <v>2</v>
      </c>
      <c r="G88" s="26" t="str">
        <f aca="false">+VLOOKUP(B88,'transacciones '!$A$2:$I$39,6,FALSE())</f>
        <v>P2</v>
      </c>
      <c r="H88" s="26" t="str">
        <f aca="false">+VLOOKUP(B88,'transacciones '!$A$2:$I$39,7,FALSE())</f>
        <v>Consumo intermedio</v>
      </c>
      <c r="I88" s="9" t="s">
        <v>1427</v>
      </c>
      <c r="J88" s="26" t="s">
        <v>1428</v>
      </c>
      <c r="K88" s="27" t="s">
        <v>1424</v>
      </c>
      <c r="L88" s="27" t="str">
        <f aca="false">+VLOOKUP(K88,'Correl CIIU'!$A$1:$F$26,2,FALSE())</f>
        <v>Industrias manufactureras</v>
      </c>
      <c r="M88" s="27" t="str">
        <f aca="false">+VLOOKUP(K88,'Correl CIIU'!$A$1:$F$26,3,FALSE())</f>
        <v>Manufacturas</v>
      </c>
      <c r="N88" s="27" t="str">
        <f aca="false">+VLOOKUP(K88,'Correl CIIU'!$A$1:$F$26,4,FALSE())</f>
        <v>Manufacturing</v>
      </c>
      <c r="O88" s="27" t="n">
        <v>1</v>
      </c>
      <c r="P88" s="28" t="str">
        <f aca="false">+VLOOKUP(O88,bio!$A$2:$B$4,2,FALSE())</f>
        <v>Bioeconomía</v>
      </c>
    </row>
    <row r="89" customFormat="false" ht="14.25" hidden="false" customHeight="false" outlineLevel="0" collapsed="false">
      <c r="A89" s="24" t="s">
        <v>1089</v>
      </c>
      <c r="B89" s="25" t="s">
        <v>1578</v>
      </c>
      <c r="C89" s="26" t="str">
        <f aca="false">+VLOOKUP(B89,'transacciones '!$A$2:$I$39,2,FALSE())</f>
        <v>ATC01</v>
      </c>
      <c r="D89" s="26" t="str">
        <f aca="false">+VLOOKUP(B89,'transacciones '!$A$2:$I$39,3,FALSE())</f>
        <v>Producción / Consumo intermedio</v>
      </c>
      <c r="E89" s="26" t="str">
        <f aca="false">+VLOOKUP(B89,'transacciones '!$A$2:$I$39,4,FALSE())</f>
        <v>Consumo</v>
      </c>
      <c r="F89" s="26" t="n">
        <f aca="false">+VLOOKUP(B89,'transacciones '!$A$2:$I$39,5,FALSE())</f>
        <v>2</v>
      </c>
      <c r="G89" s="26" t="str">
        <f aca="false">+VLOOKUP(B89,'transacciones '!$A$2:$I$39,6,FALSE())</f>
        <v>P2</v>
      </c>
      <c r="H89" s="26" t="str">
        <f aca="false">+VLOOKUP(B89,'transacciones '!$A$2:$I$39,7,FALSE())</f>
        <v>Consumo intermedio</v>
      </c>
      <c r="I89" s="26" t="s">
        <v>1429</v>
      </c>
      <c r="J89" s="26" t="s">
        <v>1430</v>
      </c>
      <c r="K89" s="27" t="s">
        <v>1424</v>
      </c>
      <c r="L89" s="27" t="str">
        <f aca="false">+VLOOKUP(K89,'Correl CIIU'!$A$1:$F$26,2,FALSE())</f>
        <v>Industrias manufactureras</v>
      </c>
      <c r="M89" s="27" t="str">
        <f aca="false">+VLOOKUP(K89,'Correl CIIU'!$A$1:$F$26,3,FALSE())</f>
        <v>Manufacturas</v>
      </c>
      <c r="N89" s="27" t="str">
        <f aca="false">+VLOOKUP(K89,'Correl CIIU'!$A$1:$F$26,4,FALSE())</f>
        <v>Manufacturing</v>
      </c>
      <c r="O89" s="27" t="n">
        <v>1</v>
      </c>
      <c r="P89" s="28" t="str">
        <f aca="false">+VLOOKUP(O89,bio!$A$2:$B$4,2,FALSE())</f>
        <v>Bioeconomía</v>
      </c>
    </row>
    <row r="90" customFormat="false" ht="14.25" hidden="false" customHeight="false" outlineLevel="0" collapsed="false">
      <c r="A90" s="24" t="s">
        <v>1091</v>
      </c>
      <c r="B90" s="25" t="s">
        <v>1578</v>
      </c>
      <c r="C90" s="26" t="str">
        <f aca="false">+VLOOKUP(B90,'transacciones '!$A$2:$I$39,2,FALSE())</f>
        <v>ATC01</v>
      </c>
      <c r="D90" s="26" t="str">
        <f aca="false">+VLOOKUP(B90,'transacciones '!$A$2:$I$39,3,FALSE())</f>
        <v>Producción / Consumo intermedio</v>
      </c>
      <c r="E90" s="26" t="str">
        <f aca="false">+VLOOKUP(B90,'transacciones '!$A$2:$I$39,4,FALSE())</f>
        <v>Consumo</v>
      </c>
      <c r="F90" s="26" t="n">
        <f aca="false">+VLOOKUP(B90,'transacciones '!$A$2:$I$39,5,FALSE())</f>
        <v>2</v>
      </c>
      <c r="G90" s="26" t="str">
        <f aca="false">+VLOOKUP(B90,'transacciones '!$A$2:$I$39,6,FALSE())</f>
        <v>P2</v>
      </c>
      <c r="H90" s="26" t="str">
        <f aca="false">+VLOOKUP(B90,'transacciones '!$A$2:$I$39,7,FALSE())</f>
        <v>Consumo intermedio</v>
      </c>
      <c r="I90" s="9" t="s">
        <v>1431</v>
      </c>
      <c r="J90" s="26" t="s">
        <v>1432</v>
      </c>
      <c r="K90" s="27" t="s">
        <v>1424</v>
      </c>
      <c r="L90" s="27" t="str">
        <f aca="false">+VLOOKUP(K90,'Correl CIIU'!$A$1:$F$26,2,FALSE())</f>
        <v>Industrias manufactureras</v>
      </c>
      <c r="M90" s="27" t="str">
        <f aca="false">+VLOOKUP(K90,'Correl CIIU'!$A$1:$F$26,3,FALSE())</f>
        <v>Manufacturas</v>
      </c>
      <c r="N90" s="27" t="str">
        <f aca="false">+VLOOKUP(K90,'Correl CIIU'!$A$1:$F$26,4,FALSE())</f>
        <v>Manufacturing</v>
      </c>
      <c r="O90" s="27" t="n">
        <v>1</v>
      </c>
      <c r="P90" s="28" t="str">
        <f aca="false">+VLOOKUP(O90,bio!$A$2:$B$4,2,FALSE())</f>
        <v>Bioeconomía</v>
      </c>
    </row>
    <row r="91" customFormat="false" ht="14.25" hidden="false" customHeight="false" outlineLevel="0" collapsed="false">
      <c r="A91" s="24" t="s">
        <v>1093</v>
      </c>
      <c r="B91" s="25" t="s">
        <v>1578</v>
      </c>
      <c r="C91" s="26" t="str">
        <f aca="false">+VLOOKUP(B91,'transacciones '!$A$2:$I$39,2,FALSE())</f>
        <v>ATC01</v>
      </c>
      <c r="D91" s="26" t="str">
        <f aca="false">+VLOOKUP(B91,'transacciones '!$A$2:$I$39,3,FALSE())</f>
        <v>Producción / Consumo intermedio</v>
      </c>
      <c r="E91" s="26" t="str">
        <f aca="false">+VLOOKUP(B91,'transacciones '!$A$2:$I$39,4,FALSE())</f>
        <v>Consumo</v>
      </c>
      <c r="F91" s="26" t="n">
        <f aca="false">+VLOOKUP(B91,'transacciones '!$A$2:$I$39,5,FALSE())</f>
        <v>2</v>
      </c>
      <c r="G91" s="26" t="str">
        <f aca="false">+VLOOKUP(B91,'transacciones '!$A$2:$I$39,6,FALSE())</f>
        <v>P2</v>
      </c>
      <c r="H91" s="26" t="str">
        <f aca="false">+VLOOKUP(B91,'transacciones '!$A$2:$I$39,7,FALSE())</f>
        <v>Consumo intermedio</v>
      </c>
      <c r="I91" s="26" t="s">
        <v>1433</v>
      </c>
      <c r="J91" s="26" t="s">
        <v>1434</v>
      </c>
      <c r="K91" s="27" t="s">
        <v>1424</v>
      </c>
      <c r="L91" s="27" t="str">
        <f aca="false">+VLOOKUP(K91,'Correl CIIU'!$A$1:$F$26,2,FALSE())</f>
        <v>Industrias manufactureras</v>
      </c>
      <c r="M91" s="27" t="str">
        <f aca="false">+VLOOKUP(K91,'Correl CIIU'!$A$1:$F$26,3,FALSE())</f>
        <v>Manufacturas</v>
      </c>
      <c r="N91" s="27" t="str">
        <f aca="false">+VLOOKUP(K91,'Correl CIIU'!$A$1:$F$26,4,FALSE())</f>
        <v>Manufacturing</v>
      </c>
      <c r="O91" s="27" t="n">
        <v>2</v>
      </c>
      <c r="P91" s="28" t="str">
        <f aca="false">+VLOOKUP(O91,bio!$A$2:$B$4,2,FALSE())</f>
        <v>Bioeconomía extendida</v>
      </c>
    </row>
    <row r="92" customFormat="false" ht="14.25" hidden="false" customHeight="false" outlineLevel="0" collapsed="false">
      <c r="A92" s="24" t="s">
        <v>1095</v>
      </c>
      <c r="B92" s="25" t="s">
        <v>1578</v>
      </c>
      <c r="C92" s="26" t="str">
        <f aca="false">+VLOOKUP(B92,'transacciones '!$A$2:$I$39,2,FALSE())</f>
        <v>ATC01</v>
      </c>
      <c r="D92" s="26" t="str">
        <f aca="false">+VLOOKUP(B92,'transacciones '!$A$2:$I$39,3,FALSE())</f>
        <v>Producción / Consumo intermedio</v>
      </c>
      <c r="E92" s="26" t="str">
        <f aca="false">+VLOOKUP(B92,'transacciones '!$A$2:$I$39,4,FALSE())</f>
        <v>Consumo</v>
      </c>
      <c r="F92" s="26" t="n">
        <f aca="false">+VLOOKUP(B92,'transacciones '!$A$2:$I$39,5,FALSE())</f>
        <v>2</v>
      </c>
      <c r="G92" s="26" t="str">
        <f aca="false">+VLOOKUP(B92,'transacciones '!$A$2:$I$39,6,FALSE())</f>
        <v>P2</v>
      </c>
      <c r="H92" s="26" t="str">
        <f aca="false">+VLOOKUP(B92,'transacciones '!$A$2:$I$39,7,FALSE())</f>
        <v>Consumo intermedio</v>
      </c>
      <c r="I92" s="9" t="s">
        <v>1435</v>
      </c>
      <c r="J92" s="26" t="s">
        <v>1436</v>
      </c>
      <c r="K92" s="27" t="s">
        <v>1424</v>
      </c>
      <c r="L92" s="27" t="str">
        <f aca="false">+VLOOKUP(K92,'Correl CIIU'!$A$1:$F$26,2,FALSE())</f>
        <v>Industrias manufactureras</v>
      </c>
      <c r="M92" s="27" t="str">
        <f aca="false">+VLOOKUP(K92,'Correl CIIU'!$A$1:$F$26,3,FALSE())</f>
        <v>Manufacturas</v>
      </c>
      <c r="N92" s="27" t="str">
        <f aca="false">+VLOOKUP(K92,'Correl CIIU'!$A$1:$F$26,4,FALSE())</f>
        <v>Manufacturing</v>
      </c>
      <c r="O92" s="27" t="n">
        <v>2</v>
      </c>
      <c r="P92" s="28" t="str">
        <f aca="false">+VLOOKUP(O92,bio!$A$2:$B$4,2,FALSE())</f>
        <v>Bioeconomía extendida</v>
      </c>
    </row>
    <row r="93" customFormat="false" ht="14.25" hidden="false" customHeight="false" outlineLevel="0" collapsed="false">
      <c r="A93" s="24" t="s">
        <v>1097</v>
      </c>
      <c r="B93" s="25" t="s">
        <v>1578</v>
      </c>
      <c r="C93" s="26" t="str">
        <f aca="false">+VLOOKUP(B93,'transacciones '!$A$2:$I$39,2,FALSE())</f>
        <v>ATC01</v>
      </c>
      <c r="D93" s="26" t="str">
        <f aca="false">+VLOOKUP(B93,'transacciones '!$A$2:$I$39,3,FALSE())</f>
        <v>Producción / Consumo intermedio</v>
      </c>
      <c r="E93" s="26" t="str">
        <f aca="false">+VLOOKUP(B93,'transacciones '!$A$2:$I$39,4,FALSE())</f>
        <v>Consumo</v>
      </c>
      <c r="F93" s="26" t="n">
        <f aca="false">+VLOOKUP(B93,'transacciones '!$A$2:$I$39,5,FALSE())</f>
        <v>2</v>
      </c>
      <c r="G93" s="26" t="str">
        <f aca="false">+VLOOKUP(B93,'transacciones '!$A$2:$I$39,6,FALSE())</f>
        <v>P2</v>
      </c>
      <c r="H93" s="26" t="str">
        <f aca="false">+VLOOKUP(B93,'transacciones '!$A$2:$I$39,7,FALSE())</f>
        <v>Consumo intermedio</v>
      </c>
      <c r="I93" s="26" t="s">
        <v>1437</v>
      </c>
      <c r="J93" s="26" t="s">
        <v>1438</v>
      </c>
      <c r="K93" s="27" t="s">
        <v>1424</v>
      </c>
      <c r="L93" s="27" t="str">
        <f aca="false">+VLOOKUP(K93,'Correl CIIU'!$A$1:$F$26,2,FALSE())</f>
        <v>Industrias manufactureras</v>
      </c>
      <c r="M93" s="27" t="str">
        <f aca="false">+VLOOKUP(K93,'Correl CIIU'!$A$1:$F$26,3,FALSE())</f>
        <v>Manufacturas</v>
      </c>
      <c r="N93" s="27" t="str">
        <f aca="false">+VLOOKUP(K93,'Correl CIIU'!$A$1:$F$26,4,FALSE())</f>
        <v>Manufacturing</v>
      </c>
      <c r="O93" s="27" t="n">
        <v>2</v>
      </c>
      <c r="P93" s="28" t="str">
        <f aca="false">+VLOOKUP(O93,bio!$A$2:$B$4,2,FALSE())</f>
        <v>Bioeconomía extendida</v>
      </c>
    </row>
    <row r="94" customFormat="false" ht="14.25" hidden="false" customHeight="false" outlineLevel="0" collapsed="false">
      <c r="A94" s="24" t="s">
        <v>1099</v>
      </c>
      <c r="B94" s="25" t="s">
        <v>1578</v>
      </c>
      <c r="C94" s="26" t="str">
        <f aca="false">+VLOOKUP(B94,'transacciones '!$A$2:$I$39,2,FALSE())</f>
        <v>ATC01</v>
      </c>
      <c r="D94" s="26" t="str">
        <f aca="false">+VLOOKUP(B94,'transacciones '!$A$2:$I$39,3,FALSE())</f>
        <v>Producción / Consumo intermedio</v>
      </c>
      <c r="E94" s="26" t="str">
        <f aca="false">+VLOOKUP(B94,'transacciones '!$A$2:$I$39,4,FALSE())</f>
        <v>Consumo</v>
      </c>
      <c r="F94" s="26" t="n">
        <f aca="false">+VLOOKUP(B94,'transacciones '!$A$2:$I$39,5,FALSE())</f>
        <v>2</v>
      </c>
      <c r="G94" s="26" t="str">
        <f aca="false">+VLOOKUP(B94,'transacciones '!$A$2:$I$39,6,FALSE())</f>
        <v>P2</v>
      </c>
      <c r="H94" s="26" t="str">
        <f aca="false">+VLOOKUP(B94,'transacciones '!$A$2:$I$39,7,FALSE())</f>
        <v>Consumo intermedio</v>
      </c>
      <c r="I94" s="9" t="s">
        <v>1439</v>
      </c>
      <c r="J94" s="26" t="s">
        <v>1440</v>
      </c>
      <c r="K94" s="27" t="s">
        <v>1424</v>
      </c>
      <c r="L94" s="27" t="str">
        <f aca="false">+VLOOKUP(K94,'Correl CIIU'!$A$1:$F$26,2,FALSE())</f>
        <v>Industrias manufactureras</v>
      </c>
      <c r="M94" s="27" t="str">
        <f aca="false">+VLOOKUP(K94,'Correl CIIU'!$A$1:$F$26,3,FALSE())</f>
        <v>Manufacturas</v>
      </c>
      <c r="N94" s="27" t="str">
        <f aca="false">+VLOOKUP(K94,'Correl CIIU'!$A$1:$F$26,4,FALSE())</f>
        <v>Manufacturing</v>
      </c>
      <c r="O94" s="27" t="n">
        <v>1</v>
      </c>
      <c r="P94" s="28" t="str">
        <f aca="false">+VLOOKUP(O94,bio!$A$2:$B$4,2,FALSE())</f>
        <v>Bioeconomía</v>
      </c>
    </row>
    <row r="95" customFormat="false" ht="14.25" hidden="false" customHeight="false" outlineLevel="0" collapsed="false">
      <c r="A95" s="24" t="s">
        <v>1101</v>
      </c>
      <c r="B95" s="25" t="s">
        <v>1578</v>
      </c>
      <c r="C95" s="26" t="str">
        <f aca="false">+VLOOKUP(B95,'transacciones '!$A$2:$I$39,2,FALSE())</f>
        <v>ATC01</v>
      </c>
      <c r="D95" s="26" t="str">
        <f aca="false">+VLOOKUP(B95,'transacciones '!$A$2:$I$39,3,FALSE())</f>
        <v>Producción / Consumo intermedio</v>
      </c>
      <c r="E95" s="26" t="str">
        <f aca="false">+VLOOKUP(B95,'transacciones '!$A$2:$I$39,4,FALSE())</f>
        <v>Consumo</v>
      </c>
      <c r="F95" s="26" t="n">
        <f aca="false">+VLOOKUP(B95,'transacciones '!$A$2:$I$39,5,FALSE())</f>
        <v>2</v>
      </c>
      <c r="G95" s="26" t="str">
        <f aca="false">+VLOOKUP(B95,'transacciones '!$A$2:$I$39,6,FALSE())</f>
        <v>P2</v>
      </c>
      <c r="H95" s="26" t="str">
        <f aca="false">+VLOOKUP(B95,'transacciones '!$A$2:$I$39,7,FALSE())</f>
        <v>Consumo intermedio</v>
      </c>
      <c r="I95" s="26" t="s">
        <v>1441</v>
      </c>
      <c r="J95" s="26" t="s">
        <v>1442</v>
      </c>
      <c r="K95" s="27" t="s">
        <v>1424</v>
      </c>
      <c r="L95" s="27" t="str">
        <f aca="false">+VLOOKUP(K95,'Correl CIIU'!$A$1:$F$26,2,FALSE())</f>
        <v>Industrias manufactureras</v>
      </c>
      <c r="M95" s="27" t="str">
        <f aca="false">+VLOOKUP(K95,'Correl CIIU'!$A$1:$F$26,3,FALSE())</f>
        <v>Manufacturas</v>
      </c>
      <c r="N95" s="27" t="str">
        <f aca="false">+VLOOKUP(K95,'Correl CIIU'!$A$1:$F$26,4,FALSE())</f>
        <v>Manufacturing</v>
      </c>
      <c r="O95" s="27" t="n">
        <v>2</v>
      </c>
      <c r="P95" s="28" t="str">
        <f aca="false">+VLOOKUP(O95,bio!$A$2:$B$4,2,FALSE())</f>
        <v>Bioeconomía extendida</v>
      </c>
    </row>
    <row r="96" customFormat="false" ht="14.25" hidden="false" customHeight="false" outlineLevel="0" collapsed="false">
      <c r="A96" s="24" t="s">
        <v>1103</v>
      </c>
      <c r="B96" s="25" t="s">
        <v>1578</v>
      </c>
      <c r="C96" s="26" t="str">
        <f aca="false">+VLOOKUP(B96,'transacciones '!$A$2:$I$39,2,FALSE())</f>
        <v>ATC01</v>
      </c>
      <c r="D96" s="26" t="str">
        <f aca="false">+VLOOKUP(B96,'transacciones '!$A$2:$I$39,3,FALSE())</f>
        <v>Producción / Consumo intermedio</v>
      </c>
      <c r="E96" s="26" t="str">
        <f aca="false">+VLOOKUP(B96,'transacciones '!$A$2:$I$39,4,FALSE())</f>
        <v>Consumo</v>
      </c>
      <c r="F96" s="26" t="n">
        <f aca="false">+VLOOKUP(B96,'transacciones '!$A$2:$I$39,5,FALSE())</f>
        <v>2</v>
      </c>
      <c r="G96" s="26" t="str">
        <f aca="false">+VLOOKUP(B96,'transacciones '!$A$2:$I$39,6,FALSE())</f>
        <v>P2</v>
      </c>
      <c r="H96" s="26" t="str">
        <f aca="false">+VLOOKUP(B96,'transacciones '!$A$2:$I$39,7,FALSE())</f>
        <v>Consumo intermedio</v>
      </c>
      <c r="I96" s="9" t="s">
        <v>1443</v>
      </c>
      <c r="J96" s="26" t="s">
        <v>1444</v>
      </c>
      <c r="K96" s="27" t="s">
        <v>1424</v>
      </c>
      <c r="L96" s="27" t="str">
        <f aca="false">+VLOOKUP(K96,'Correl CIIU'!$A$1:$F$26,2,FALSE())</f>
        <v>Industrias manufactureras</v>
      </c>
      <c r="M96" s="27" t="str">
        <f aca="false">+VLOOKUP(K96,'Correl CIIU'!$A$1:$F$26,3,FALSE())</f>
        <v>Manufacturas</v>
      </c>
      <c r="N96" s="27" t="str">
        <f aca="false">+VLOOKUP(K96,'Correl CIIU'!$A$1:$F$26,4,FALSE())</f>
        <v>Manufacturing</v>
      </c>
      <c r="O96" s="27" t="n">
        <v>3</v>
      </c>
      <c r="P96" s="28" t="str">
        <f aca="false">+VLOOKUP(O96,bio!$A$2:$B$4,2,FALSE())</f>
        <v>No bioeconomía</v>
      </c>
    </row>
    <row r="97" customFormat="false" ht="14.25" hidden="false" customHeight="false" outlineLevel="0" collapsed="false">
      <c r="A97" s="24" t="s">
        <v>1105</v>
      </c>
      <c r="B97" s="25" t="s">
        <v>1578</v>
      </c>
      <c r="C97" s="26" t="str">
        <f aca="false">+VLOOKUP(B97,'transacciones '!$A$2:$I$39,2,FALSE())</f>
        <v>ATC01</v>
      </c>
      <c r="D97" s="26" t="str">
        <f aca="false">+VLOOKUP(B97,'transacciones '!$A$2:$I$39,3,FALSE())</f>
        <v>Producción / Consumo intermedio</v>
      </c>
      <c r="E97" s="26" t="str">
        <f aca="false">+VLOOKUP(B97,'transacciones '!$A$2:$I$39,4,FALSE())</f>
        <v>Consumo</v>
      </c>
      <c r="F97" s="26" t="n">
        <f aca="false">+VLOOKUP(B97,'transacciones '!$A$2:$I$39,5,FALSE())</f>
        <v>2</v>
      </c>
      <c r="G97" s="26" t="str">
        <f aca="false">+VLOOKUP(B97,'transacciones '!$A$2:$I$39,6,FALSE())</f>
        <v>P2</v>
      </c>
      <c r="H97" s="26" t="str">
        <f aca="false">+VLOOKUP(B97,'transacciones '!$A$2:$I$39,7,FALSE())</f>
        <v>Consumo intermedio</v>
      </c>
      <c r="I97" s="26" t="s">
        <v>1445</v>
      </c>
      <c r="J97" s="26" t="s">
        <v>1446</v>
      </c>
      <c r="K97" s="27" t="s">
        <v>1424</v>
      </c>
      <c r="L97" s="27" t="str">
        <f aca="false">+VLOOKUP(K97,'Correl CIIU'!$A$1:$F$26,2,FALSE())</f>
        <v>Industrias manufactureras</v>
      </c>
      <c r="M97" s="27" t="str">
        <f aca="false">+VLOOKUP(K97,'Correl CIIU'!$A$1:$F$26,3,FALSE())</f>
        <v>Manufacturas</v>
      </c>
      <c r="N97" s="27" t="str">
        <f aca="false">+VLOOKUP(K97,'Correl CIIU'!$A$1:$F$26,4,FALSE())</f>
        <v>Manufacturing</v>
      </c>
      <c r="O97" s="27" t="n">
        <v>3</v>
      </c>
      <c r="P97" s="28" t="str">
        <f aca="false">+VLOOKUP(O97,bio!$A$2:$B$4,2,FALSE())</f>
        <v>No bioeconomía</v>
      </c>
    </row>
    <row r="98" customFormat="false" ht="14.25" hidden="false" customHeight="false" outlineLevel="0" collapsed="false">
      <c r="A98" s="24" t="s">
        <v>1107</v>
      </c>
      <c r="B98" s="25" t="s">
        <v>1578</v>
      </c>
      <c r="C98" s="26" t="str">
        <f aca="false">+VLOOKUP(B98,'transacciones '!$A$2:$I$39,2,FALSE())</f>
        <v>ATC01</v>
      </c>
      <c r="D98" s="26" t="str">
        <f aca="false">+VLOOKUP(B98,'transacciones '!$A$2:$I$39,3,FALSE())</f>
        <v>Producción / Consumo intermedio</v>
      </c>
      <c r="E98" s="26" t="str">
        <f aca="false">+VLOOKUP(B98,'transacciones '!$A$2:$I$39,4,FALSE())</f>
        <v>Consumo</v>
      </c>
      <c r="F98" s="26" t="n">
        <f aca="false">+VLOOKUP(B98,'transacciones '!$A$2:$I$39,5,FALSE())</f>
        <v>2</v>
      </c>
      <c r="G98" s="26" t="str">
        <f aca="false">+VLOOKUP(B98,'transacciones '!$A$2:$I$39,6,FALSE())</f>
        <v>P2</v>
      </c>
      <c r="H98" s="26" t="str">
        <f aca="false">+VLOOKUP(B98,'transacciones '!$A$2:$I$39,7,FALSE())</f>
        <v>Consumo intermedio</v>
      </c>
      <c r="I98" s="9" t="s">
        <v>1447</v>
      </c>
      <c r="J98" s="26" t="s">
        <v>1448</v>
      </c>
      <c r="K98" s="27" t="s">
        <v>1424</v>
      </c>
      <c r="L98" s="27" t="str">
        <f aca="false">+VLOOKUP(K98,'Correl CIIU'!$A$1:$F$26,2,FALSE())</f>
        <v>Industrias manufactureras</v>
      </c>
      <c r="M98" s="27" t="str">
        <f aca="false">+VLOOKUP(K98,'Correl CIIU'!$A$1:$F$26,3,FALSE())</f>
        <v>Manufacturas</v>
      </c>
      <c r="N98" s="27" t="str">
        <f aca="false">+VLOOKUP(K98,'Correl CIIU'!$A$1:$F$26,4,FALSE())</f>
        <v>Manufacturing</v>
      </c>
      <c r="O98" s="27" t="n">
        <v>3</v>
      </c>
      <c r="P98" s="28" t="str">
        <f aca="false">+VLOOKUP(O98,bio!$A$2:$B$4,2,FALSE())</f>
        <v>No bioeconomía</v>
      </c>
    </row>
    <row r="99" customFormat="false" ht="14.25" hidden="false" customHeight="false" outlineLevel="0" collapsed="false">
      <c r="A99" s="24" t="s">
        <v>1109</v>
      </c>
      <c r="B99" s="25" t="s">
        <v>1578</v>
      </c>
      <c r="C99" s="26" t="str">
        <f aca="false">+VLOOKUP(B99,'transacciones '!$A$2:$I$39,2,FALSE())</f>
        <v>ATC01</v>
      </c>
      <c r="D99" s="26" t="str">
        <f aca="false">+VLOOKUP(B99,'transacciones '!$A$2:$I$39,3,FALSE())</f>
        <v>Producción / Consumo intermedio</v>
      </c>
      <c r="E99" s="26" t="str">
        <f aca="false">+VLOOKUP(B99,'transacciones '!$A$2:$I$39,4,FALSE())</f>
        <v>Consumo</v>
      </c>
      <c r="F99" s="26" t="n">
        <f aca="false">+VLOOKUP(B99,'transacciones '!$A$2:$I$39,5,FALSE())</f>
        <v>2</v>
      </c>
      <c r="G99" s="26" t="str">
        <f aca="false">+VLOOKUP(B99,'transacciones '!$A$2:$I$39,6,FALSE())</f>
        <v>P2</v>
      </c>
      <c r="H99" s="26" t="str">
        <f aca="false">+VLOOKUP(B99,'transacciones '!$A$2:$I$39,7,FALSE())</f>
        <v>Consumo intermedio</v>
      </c>
      <c r="I99" s="26" t="s">
        <v>1449</v>
      </c>
      <c r="J99" s="26" t="s">
        <v>1450</v>
      </c>
      <c r="K99" s="27" t="s">
        <v>1424</v>
      </c>
      <c r="L99" s="27" t="str">
        <f aca="false">+VLOOKUP(K99,'Correl CIIU'!$A$1:$F$26,2,FALSE())</f>
        <v>Industrias manufactureras</v>
      </c>
      <c r="M99" s="27" t="str">
        <f aca="false">+VLOOKUP(K99,'Correl CIIU'!$A$1:$F$26,3,FALSE())</f>
        <v>Manufacturas</v>
      </c>
      <c r="N99" s="27" t="str">
        <f aca="false">+VLOOKUP(K99,'Correl CIIU'!$A$1:$F$26,4,FALSE())</f>
        <v>Manufacturing</v>
      </c>
      <c r="O99" s="27" t="n">
        <v>2</v>
      </c>
      <c r="P99" s="28" t="str">
        <f aca="false">+VLOOKUP(O99,bio!$A$2:$B$4,2,FALSE())</f>
        <v>Bioeconomía extendida</v>
      </c>
    </row>
    <row r="100" customFormat="false" ht="14.25" hidden="false" customHeight="false" outlineLevel="0" collapsed="false">
      <c r="A100" s="24" t="s">
        <v>1111</v>
      </c>
      <c r="B100" s="25" t="s">
        <v>1578</v>
      </c>
      <c r="C100" s="26" t="str">
        <f aca="false">+VLOOKUP(B100,'transacciones '!$A$2:$I$39,2,FALSE())</f>
        <v>ATC01</v>
      </c>
      <c r="D100" s="26" t="str">
        <f aca="false">+VLOOKUP(B100,'transacciones '!$A$2:$I$39,3,FALSE())</f>
        <v>Producción / Consumo intermedio</v>
      </c>
      <c r="E100" s="26" t="str">
        <f aca="false">+VLOOKUP(B100,'transacciones '!$A$2:$I$39,4,FALSE())</f>
        <v>Consumo</v>
      </c>
      <c r="F100" s="26" t="n">
        <f aca="false">+VLOOKUP(B100,'transacciones '!$A$2:$I$39,5,FALSE())</f>
        <v>2</v>
      </c>
      <c r="G100" s="26" t="str">
        <f aca="false">+VLOOKUP(B100,'transacciones '!$A$2:$I$39,6,FALSE())</f>
        <v>P2</v>
      </c>
      <c r="H100" s="26" t="str">
        <f aca="false">+VLOOKUP(B100,'transacciones '!$A$2:$I$39,7,FALSE())</f>
        <v>Consumo intermedio</v>
      </c>
      <c r="I100" s="9" t="s">
        <v>1451</v>
      </c>
      <c r="J100" s="26" t="s">
        <v>1452</v>
      </c>
      <c r="K100" s="27" t="s">
        <v>1424</v>
      </c>
      <c r="L100" s="27" t="str">
        <f aca="false">+VLOOKUP(K100,'Correl CIIU'!$A$1:$F$26,2,FALSE())</f>
        <v>Industrias manufactureras</v>
      </c>
      <c r="M100" s="27" t="str">
        <f aca="false">+VLOOKUP(K100,'Correl CIIU'!$A$1:$F$26,3,FALSE())</f>
        <v>Manufacturas</v>
      </c>
      <c r="N100" s="27" t="str">
        <f aca="false">+VLOOKUP(K100,'Correl CIIU'!$A$1:$F$26,4,FALSE())</f>
        <v>Manufacturing</v>
      </c>
      <c r="O100" s="27" t="n">
        <v>2</v>
      </c>
      <c r="P100" s="28" t="str">
        <f aca="false">+VLOOKUP(O100,bio!$A$2:$B$4,2,FALSE())</f>
        <v>Bioeconomía extendida</v>
      </c>
    </row>
    <row r="101" customFormat="false" ht="14.25" hidden="false" customHeight="false" outlineLevel="0" collapsed="false">
      <c r="A101" s="24" t="s">
        <v>1113</v>
      </c>
      <c r="B101" s="25" t="s">
        <v>1578</v>
      </c>
      <c r="C101" s="26" t="str">
        <f aca="false">+VLOOKUP(B101,'transacciones '!$A$2:$I$39,2,FALSE())</f>
        <v>ATC01</v>
      </c>
      <c r="D101" s="26" t="str">
        <f aca="false">+VLOOKUP(B101,'transacciones '!$A$2:$I$39,3,FALSE())</f>
        <v>Producción / Consumo intermedio</v>
      </c>
      <c r="E101" s="26" t="str">
        <f aca="false">+VLOOKUP(B101,'transacciones '!$A$2:$I$39,4,FALSE())</f>
        <v>Consumo</v>
      </c>
      <c r="F101" s="26" t="n">
        <f aca="false">+VLOOKUP(B101,'transacciones '!$A$2:$I$39,5,FALSE())</f>
        <v>2</v>
      </c>
      <c r="G101" s="26" t="str">
        <f aca="false">+VLOOKUP(B101,'transacciones '!$A$2:$I$39,6,FALSE())</f>
        <v>P2</v>
      </c>
      <c r="H101" s="26" t="str">
        <f aca="false">+VLOOKUP(B101,'transacciones '!$A$2:$I$39,7,FALSE())</f>
        <v>Consumo intermedio</v>
      </c>
      <c r="I101" s="26" t="s">
        <v>1453</v>
      </c>
      <c r="J101" s="26" t="s">
        <v>1454</v>
      </c>
      <c r="K101" s="27" t="s">
        <v>1424</v>
      </c>
      <c r="L101" s="27" t="str">
        <f aca="false">+VLOOKUP(K101,'Correl CIIU'!$A$1:$F$26,2,FALSE())</f>
        <v>Industrias manufactureras</v>
      </c>
      <c r="M101" s="27" t="str">
        <f aca="false">+VLOOKUP(K101,'Correl CIIU'!$A$1:$F$26,3,FALSE())</f>
        <v>Manufacturas</v>
      </c>
      <c r="N101" s="27" t="str">
        <f aca="false">+VLOOKUP(K101,'Correl CIIU'!$A$1:$F$26,4,FALSE())</f>
        <v>Manufacturing</v>
      </c>
      <c r="O101" s="27" t="n">
        <v>2</v>
      </c>
      <c r="P101" s="28" t="str">
        <f aca="false">+VLOOKUP(O101,bio!$A$2:$B$4,2,FALSE())</f>
        <v>Bioeconomía extendida</v>
      </c>
    </row>
    <row r="102" customFormat="false" ht="14.25" hidden="false" customHeight="false" outlineLevel="0" collapsed="false">
      <c r="A102" s="24" t="s">
        <v>1115</v>
      </c>
      <c r="B102" s="25" t="s">
        <v>1578</v>
      </c>
      <c r="C102" s="26" t="str">
        <f aca="false">+VLOOKUP(B102,'transacciones '!$A$2:$I$39,2,FALSE())</f>
        <v>ATC01</v>
      </c>
      <c r="D102" s="26" t="str">
        <f aca="false">+VLOOKUP(B102,'transacciones '!$A$2:$I$39,3,FALSE())</f>
        <v>Producción / Consumo intermedio</v>
      </c>
      <c r="E102" s="26" t="str">
        <f aca="false">+VLOOKUP(B102,'transacciones '!$A$2:$I$39,4,FALSE())</f>
        <v>Consumo</v>
      </c>
      <c r="F102" s="26" t="n">
        <f aca="false">+VLOOKUP(B102,'transacciones '!$A$2:$I$39,5,FALSE())</f>
        <v>2</v>
      </c>
      <c r="G102" s="26" t="str">
        <f aca="false">+VLOOKUP(B102,'transacciones '!$A$2:$I$39,6,FALSE())</f>
        <v>P2</v>
      </c>
      <c r="H102" s="26" t="str">
        <f aca="false">+VLOOKUP(B102,'transacciones '!$A$2:$I$39,7,FALSE())</f>
        <v>Consumo intermedio</v>
      </c>
      <c r="I102" s="9" t="s">
        <v>1455</v>
      </c>
      <c r="J102" s="26" t="s">
        <v>1456</v>
      </c>
      <c r="K102" s="27" t="s">
        <v>1424</v>
      </c>
      <c r="L102" s="27" t="str">
        <f aca="false">+VLOOKUP(K102,'Correl CIIU'!$A$1:$F$26,2,FALSE())</f>
        <v>Industrias manufactureras</v>
      </c>
      <c r="M102" s="27" t="str">
        <f aca="false">+VLOOKUP(K102,'Correl CIIU'!$A$1:$F$26,3,FALSE())</f>
        <v>Manufacturas</v>
      </c>
      <c r="N102" s="27" t="str">
        <f aca="false">+VLOOKUP(K102,'Correl CIIU'!$A$1:$F$26,4,FALSE())</f>
        <v>Manufacturing</v>
      </c>
      <c r="O102" s="27" t="n">
        <v>2</v>
      </c>
      <c r="P102" s="28" t="str">
        <f aca="false">+VLOOKUP(O102,bio!$A$2:$B$4,2,FALSE())</f>
        <v>Bioeconomía extendida</v>
      </c>
    </row>
    <row r="103" customFormat="false" ht="14.25" hidden="false" customHeight="false" outlineLevel="0" collapsed="false">
      <c r="A103" s="24" t="s">
        <v>1117</v>
      </c>
      <c r="B103" s="25" t="s">
        <v>1578</v>
      </c>
      <c r="C103" s="26" t="str">
        <f aca="false">+VLOOKUP(B103,'transacciones '!$A$2:$I$39,2,FALSE())</f>
        <v>ATC01</v>
      </c>
      <c r="D103" s="26" t="str">
        <f aca="false">+VLOOKUP(B103,'transacciones '!$A$2:$I$39,3,FALSE())</f>
        <v>Producción / Consumo intermedio</v>
      </c>
      <c r="E103" s="26" t="str">
        <f aca="false">+VLOOKUP(B103,'transacciones '!$A$2:$I$39,4,FALSE())</f>
        <v>Consumo</v>
      </c>
      <c r="F103" s="26" t="n">
        <f aca="false">+VLOOKUP(B103,'transacciones '!$A$2:$I$39,5,FALSE())</f>
        <v>2</v>
      </c>
      <c r="G103" s="26" t="str">
        <f aca="false">+VLOOKUP(B103,'transacciones '!$A$2:$I$39,6,FALSE())</f>
        <v>P2</v>
      </c>
      <c r="H103" s="26" t="str">
        <f aca="false">+VLOOKUP(B103,'transacciones '!$A$2:$I$39,7,FALSE())</f>
        <v>Consumo intermedio</v>
      </c>
      <c r="I103" s="26" t="s">
        <v>1457</v>
      </c>
      <c r="J103" s="26" t="s">
        <v>1458</v>
      </c>
      <c r="K103" s="27" t="s">
        <v>1424</v>
      </c>
      <c r="L103" s="27" t="str">
        <f aca="false">+VLOOKUP(K103,'Correl CIIU'!$A$1:$F$26,2,FALSE())</f>
        <v>Industrias manufactureras</v>
      </c>
      <c r="M103" s="27" t="str">
        <f aca="false">+VLOOKUP(K103,'Correl CIIU'!$A$1:$F$26,3,FALSE())</f>
        <v>Manufacturas</v>
      </c>
      <c r="N103" s="27" t="str">
        <f aca="false">+VLOOKUP(K103,'Correl CIIU'!$A$1:$F$26,4,FALSE())</f>
        <v>Manufacturing</v>
      </c>
      <c r="O103" s="27" t="n">
        <v>2</v>
      </c>
      <c r="P103" s="28" t="str">
        <f aca="false">+VLOOKUP(O103,bio!$A$2:$B$4,2,FALSE())</f>
        <v>Bioeconomía extendida</v>
      </c>
    </row>
    <row r="104" customFormat="false" ht="14.25" hidden="false" customHeight="false" outlineLevel="0" collapsed="false">
      <c r="A104" s="24" t="s">
        <v>1119</v>
      </c>
      <c r="B104" s="25" t="s">
        <v>1578</v>
      </c>
      <c r="C104" s="26" t="str">
        <f aca="false">+VLOOKUP(B104,'transacciones '!$A$2:$I$39,2,FALSE())</f>
        <v>ATC01</v>
      </c>
      <c r="D104" s="26" t="str">
        <f aca="false">+VLOOKUP(B104,'transacciones '!$A$2:$I$39,3,FALSE())</f>
        <v>Producción / Consumo intermedio</v>
      </c>
      <c r="E104" s="26" t="str">
        <f aca="false">+VLOOKUP(B104,'transacciones '!$A$2:$I$39,4,FALSE())</f>
        <v>Consumo</v>
      </c>
      <c r="F104" s="26" t="n">
        <f aca="false">+VLOOKUP(B104,'transacciones '!$A$2:$I$39,5,FALSE())</f>
        <v>2</v>
      </c>
      <c r="G104" s="26" t="str">
        <f aca="false">+VLOOKUP(B104,'transacciones '!$A$2:$I$39,6,FALSE())</f>
        <v>P2</v>
      </c>
      <c r="H104" s="26" t="str">
        <f aca="false">+VLOOKUP(B104,'transacciones '!$A$2:$I$39,7,FALSE())</f>
        <v>Consumo intermedio</v>
      </c>
      <c r="I104" s="9" t="s">
        <v>1459</v>
      </c>
      <c r="J104" s="26" t="s">
        <v>1460</v>
      </c>
      <c r="K104" s="27" t="s">
        <v>1424</v>
      </c>
      <c r="L104" s="27" t="str">
        <f aca="false">+VLOOKUP(K104,'Correl CIIU'!$A$1:$F$26,2,FALSE())</f>
        <v>Industrias manufactureras</v>
      </c>
      <c r="M104" s="27" t="str">
        <f aca="false">+VLOOKUP(K104,'Correl CIIU'!$A$1:$F$26,3,FALSE())</f>
        <v>Manufacturas</v>
      </c>
      <c r="N104" s="27" t="str">
        <f aca="false">+VLOOKUP(K104,'Correl CIIU'!$A$1:$F$26,4,FALSE())</f>
        <v>Manufacturing</v>
      </c>
      <c r="O104" s="27" t="n">
        <v>3</v>
      </c>
      <c r="P104" s="28" t="str">
        <f aca="false">+VLOOKUP(O104,bio!$A$2:$B$4,2,FALSE())</f>
        <v>No bioeconomía</v>
      </c>
    </row>
    <row r="105" customFormat="false" ht="14.25" hidden="false" customHeight="false" outlineLevel="0" collapsed="false">
      <c r="A105" s="24" t="s">
        <v>1121</v>
      </c>
      <c r="B105" s="25" t="s">
        <v>1578</v>
      </c>
      <c r="C105" s="26" t="str">
        <f aca="false">+VLOOKUP(B105,'transacciones '!$A$2:$I$39,2,FALSE())</f>
        <v>ATC01</v>
      </c>
      <c r="D105" s="26" t="str">
        <f aca="false">+VLOOKUP(B105,'transacciones '!$A$2:$I$39,3,FALSE())</f>
        <v>Producción / Consumo intermedio</v>
      </c>
      <c r="E105" s="26" t="str">
        <f aca="false">+VLOOKUP(B105,'transacciones '!$A$2:$I$39,4,FALSE())</f>
        <v>Consumo</v>
      </c>
      <c r="F105" s="26" t="n">
        <f aca="false">+VLOOKUP(B105,'transacciones '!$A$2:$I$39,5,FALSE())</f>
        <v>2</v>
      </c>
      <c r="G105" s="26" t="str">
        <f aca="false">+VLOOKUP(B105,'transacciones '!$A$2:$I$39,6,FALSE())</f>
        <v>P2</v>
      </c>
      <c r="H105" s="26" t="str">
        <f aca="false">+VLOOKUP(B105,'transacciones '!$A$2:$I$39,7,FALSE())</f>
        <v>Consumo intermedio</v>
      </c>
      <c r="I105" s="26" t="s">
        <v>1461</v>
      </c>
      <c r="J105" s="26" t="s">
        <v>1462</v>
      </c>
      <c r="K105" s="27" t="s">
        <v>1424</v>
      </c>
      <c r="L105" s="27" t="str">
        <f aca="false">+VLOOKUP(K105,'Correl CIIU'!$A$1:$F$26,2,FALSE())</f>
        <v>Industrias manufactureras</v>
      </c>
      <c r="M105" s="27" t="str">
        <f aca="false">+VLOOKUP(K105,'Correl CIIU'!$A$1:$F$26,3,FALSE())</f>
        <v>Manufacturas</v>
      </c>
      <c r="N105" s="27" t="str">
        <f aca="false">+VLOOKUP(K105,'Correl CIIU'!$A$1:$F$26,4,FALSE())</f>
        <v>Manufacturing</v>
      </c>
      <c r="O105" s="27" t="n">
        <v>3</v>
      </c>
      <c r="P105" s="28" t="str">
        <f aca="false">+VLOOKUP(O105,bio!$A$2:$B$4,2,FALSE())</f>
        <v>No bioeconomía</v>
      </c>
    </row>
    <row r="106" customFormat="false" ht="14.25" hidden="false" customHeight="false" outlineLevel="0" collapsed="false">
      <c r="A106" s="24" t="s">
        <v>1123</v>
      </c>
      <c r="B106" s="25" t="s">
        <v>1578</v>
      </c>
      <c r="C106" s="26" t="str">
        <f aca="false">+VLOOKUP(B106,'transacciones '!$A$2:$I$39,2,FALSE())</f>
        <v>ATC01</v>
      </c>
      <c r="D106" s="26" t="str">
        <f aca="false">+VLOOKUP(B106,'transacciones '!$A$2:$I$39,3,FALSE())</f>
        <v>Producción / Consumo intermedio</v>
      </c>
      <c r="E106" s="26" t="str">
        <f aca="false">+VLOOKUP(B106,'transacciones '!$A$2:$I$39,4,FALSE())</f>
        <v>Consumo</v>
      </c>
      <c r="F106" s="26" t="n">
        <f aca="false">+VLOOKUP(B106,'transacciones '!$A$2:$I$39,5,FALSE())</f>
        <v>2</v>
      </c>
      <c r="G106" s="26" t="str">
        <f aca="false">+VLOOKUP(B106,'transacciones '!$A$2:$I$39,6,FALSE())</f>
        <v>P2</v>
      </c>
      <c r="H106" s="26" t="str">
        <f aca="false">+VLOOKUP(B106,'transacciones '!$A$2:$I$39,7,FALSE())</f>
        <v>Consumo intermedio</v>
      </c>
      <c r="I106" s="9" t="s">
        <v>1463</v>
      </c>
      <c r="J106" s="26" t="s">
        <v>1464</v>
      </c>
      <c r="K106" s="27" t="s">
        <v>1424</v>
      </c>
      <c r="L106" s="27" t="str">
        <f aca="false">+VLOOKUP(K106,'Correl CIIU'!$A$1:$F$26,2,FALSE())</f>
        <v>Industrias manufactureras</v>
      </c>
      <c r="M106" s="27" t="str">
        <f aca="false">+VLOOKUP(K106,'Correl CIIU'!$A$1:$F$26,3,FALSE())</f>
        <v>Manufacturas</v>
      </c>
      <c r="N106" s="27" t="str">
        <f aca="false">+VLOOKUP(K106,'Correl CIIU'!$A$1:$F$26,4,FALSE())</f>
        <v>Manufacturing</v>
      </c>
      <c r="O106" s="27" t="n">
        <v>3</v>
      </c>
      <c r="P106" s="28" t="str">
        <f aca="false">+VLOOKUP(O106,bio!$A$2:$B$4,2,FALSE())</f>
        <v>No bioeconomía</v>
      </c>
    </row>
    <row r="107" customFormat="false" ht="14.25" hidden="false" customHeight="false" outlineLevel="0" collapsed="false">
      <c r="A107" s="24" t="s">
        <v>1125</v>
      </c>
      <c r="B107" s="25" t="s">
        <v>1578</v>
      </c>
      <c r="C107" s="26" t="str">
        <f aca="false">+VLOOKUP(B107,'transacciones '!$A$2:$I$39,2,FALSE())</f>
        <v>ATC01</v>
      </c>
      <c r="D107" s="26" t="str">
        <f aca="false">+VLOOKUP(B107,'transacciones '!$A$2:$I$39,3,FALSE())</f>
        <v>Producción / Consumo intermedio</v>
      </c>
      <c r="E107" s="26" t="str">
        <f aca="false">+VLOOKUP(B107,'transacciones '!$A$2:$I$39,4,FALSE())</f>
        <v>Consumo</v>
      </c>
      <c r="F107" s="26" t="n">
        <f aca="false">+VLOOKUP(B107,'transacciones '!$A$2:$I$39,5,FALSE())</f>
        <v>2</v>
      </c>
      <c r="G107" s="26" t="str">
        <f aca="false">+VLOOKUP(B107,'transacciones '!$A$2:$I$39,6,FALSE())</f>
        <v>P2</v>
      </c>
      <c r="H107" s="26" t="str">
        <f aca="false">+VLOOKUP(B107,'transacciones '!$A$2:$I$39,7,FALSE())</f>
        <v>Consumo intermedio</v>
      </c>
      <c r="I107" s="26" t="s">
        <v>1465</v>
      </c>
      <c r="J107" s="26" t="s">
        <v>1466</v>
      </c>
      <c r="K107" s="27" t="s">
        <v>1424</v>
      </c>
      <c r="L107" s="27" t="str">
        <f aca="false">+VLOOKUP(K107,'Correl CIIU'!$A$1:$F$26,2,FALSE())</f>
        <v>Industrias manufactureras</v>
      </c>
      <c r="M107" s="27" t="str">
        <f aca="false">+VLOOKUP(K107,'Correl CIIU'!$A$1:$F$26,3,FALSE())</f>
        <v>Manufacturas</v>
      </c>
      <c r="N107" s="27" t="str">
        <f aca="false">+VLOOKUP(K107,'Correl CIIU'!$A$1:$F$26,4,FALSE())</f>
        <v>Manufacturing</v>
      </c>
      <c r="O107" s="27" t="n">
        <v>3</v>
      </c>
      <c r="P107" s="28" t="str">
        <f aca="false">+VLOOKUP(O107,bio!$A$2:$B$4,2,FALSE())</f>
        <v>No bioeconomía</v>
      </c>
    </row>
    <row r="108" customFormat="false" ht="14.25" hidden="false" customHeight="false" outlineLevel="0" collapsed="false">
      <c r="A108" s="24" t="s">
        <v>1127</v>
      </c>
      <c r="B108" s="25" t="s">
        <v>1578</v>
      </c>
      <c r="C108" s="26" t="str">
        <f aca="false">+VLOOKUP(B108,'transacciones '!$A$2:$I$39,2,FALSE())</f>
        <v>ATC01</v>
      </c>
      <c r="D108" s="26" t="str">
        <f aca="false">+VLOOKUP(B108,'transacciones '!$A$2:$I$39,3,FALSE())</f>
        <v>Producción / Consumo intermedio</v>
      </c>
      <c r="E108" s="26" t="str">
        <f aca="false">+VLOOKUP(B108,'transacciones '!$A$2:$I$39,4,FALSE())</f>
        <v>Consumo</v>
      </c>
      <c r="F108" s="26" t="n">
        <f aca="false">+VLOOKUP(B108,'transacciones '!$A$2:$I$39,5,FALSE())</f>
        <v>2</v>
      </c>
      <c r="G108" s="26" t="str">
        <f aca="false">+VLOOKUP(B108,'transacciones '!$A$2:$I$39,6,FALSE())</f>
        <v>P2</v>
      </c>
      <c r="H108" s="26" t="str">
        <f aca="false">+VLOOKUP(B108,'transacciones '!$A$2:$I$39,7,FALSE())</f>
        <v>Consumo intermedio</v>
      </c>
      <c r="I108" s="9" t="s">
        <v>1467</v>
      </c>
      <c r="J108" s="26" t="s">
        <v>1468</v>
      </c>
      <c r="K108" s="27" t="s">
        <v>1424</v>
      </c>
      <c r="L108" s="27" t="str">
        <f aca="false">+VLOOKUP(K108,'Correl CIIU'!$A$1:$F$26,2,FALSE())</f>
        <v>Industrias manufactureras</v>
      </c>
      <c r="M108" s="27" t="str">
        <f aca="false">+VLOOKUP(K108,'Correl CIIU'!$A$1:$F$26,3,FALSE())</f>
        <v>Manufacturas</v>
      </c>
      <c r="N108" s="27" t="str">
        <f aca="false">+VLOOKUP(K108,'Correl CIIU'!$A$1:$F$26,4,FALSE())</f>
        <v>Manufacturing</v>
      </c>
      <c r="O108" s="27" t="n">
        <v>3</v>
      </c>
      <c r="P108" s="28" t="str">
        <f aca="false">+VLOOKUP(O108,bio!$A$2:$B$4,2,FALSE())</f>
        <v>No bioeconomía</v>
      </c>
    </row>
    <row r="109" customFormat="false" ht="14.25" hidden="false" customHeight="false" outlineLevel="0" collapsed="false">
      <c r="A109" s="24" t="s">
        <v>1129</v>
      </c>
      <c r="B109" s="25" t="s">
        <v>1578</v>
      </c>
      <c r="C109" s="26" t="str">
        <f aca="false">+VLOOKUP(B109,'transacciones '!$A$2:$I$39,2,FALSE())</f>
        <v>ATC01</v>
      </c>
      <c r="D109" s="26" t="str">
        <f aca="false">+VLOOKUP(B109,'transacciones '!$A$2:$I$39,3,FALSE())</f>
        <v>Producción / Consumo intermedio</v>
      </c>
      <c r="E109" s="26" t="str">
        <f aca="false">+VLOOKUP(B109,'transacciones '!$A$2:$I$39,4,FALSE())</f>
        <v>Consumo</v>
      </c>
      <c r="F109" s="26" t="n">
        <f aca="false">+VLOOKUP(B109,'transacciones '!$A$2:$I$39,5,FALSE())</f>
        <v>2</v>
      </c>
      <c r="G109" s="26" t="str">
        <f aca="false">+VLOOKUP(B109,'transacciones '!$A$2:$I$39,6,FALSE())</f>
        <v>P2</v>
      </c>
      <c r="H109" s="26" t="str">
        <f aca="false">+VLOOKUP(B109,'transacciones '!$A$2:$I$39,7,FALSE())</f>
        <v>Consumo intermedio</v>
      </c>
      <c r="I109" s="26" t="s">
        <v>1469</v>
      </c>
      <c r="J109" s="26" t="s">
        <v>1470</v>
      </c>
      <c r="K109" s="27" t="s">
        <v>1424</v>
      </c>
      <c r="L109" s="27" t="str">
        <f aca="false">+VLOOKUP(K109,'Correl CIIU'!$A$1:$F$26,2,FALSE())</f>
        <v>Industrias manufactureras</v>
      </c>
      <c r="M109" s="27" t="str">
        <f aca="false">+VLOOKUP(K109,'Correl CIIU'!$A$1:$F$26,3,FALSE())</f>
        <v>Manufacturas</v>
      </c>
      <c r="N109" s="27" t="str">
        <f aca="false">+VLOOKUP(K109,'Correl CIIU'!$A$1:$F$26,4,FALSE())</f>
        <v>Manufacturing</v>
      </c>
      <c r="O109" s="27" t="n">
        <v>3</v>
      </c>
      <c r="P109" s="28" t="str">
        <f aca="false">+VLOOKUP(O109,bio!$A$2:$B$4,2,FALSE())</f>
        <v>No bioeconomía</v>
      </c>
    </row>
    <row r="110" customFormat="false" ht="14.25" hidden="false" customHeight="false" outlineLevel="0" collapsed="false">
      <c r="A110" s="24" t="s">
        <v>1131</v>
      </c>
      <c r="B110" s="25" t="s">
        <v>1578</v>
      </c>
      <c r="C110" s="26" t="str">
        <f aca="false">+VLOOKUP(B110,'transacciones '!$A$2:$I$39,2,FALSE())</f>
        <v>ATC01</v>
      </c>
      <c r="D110" s="26" t="str">
        <f aca="false">+VLOOKUP(B110,'transacciones '!$A$2:$I$39,3,FALSE())</f>
        <v>Producción / Consumo intermedio</v>
      </c>
      <c r="E110" s="26" t="str">
        <f aca="false">+VLOOKUP(B110,'transacciones '!$A$2:$I$39,4,FALSE())</f>
        <v>Consumo</v>
      </c>
      <c r="F110" s="26" t="n">
        <f aca="false">+VLOOKUP(B110,'transacciones '!$A$2:$I$39,5,FALSE())</f>
        <v>2</v>
      </c>
      <c r="G110" s="26" t="str">
        <f aca="false">+VLOOKUP(B110,'transacciones '!$A$2:$I$39,6,FALSE())</f>
        <v>P2</v>
      </c>
      <c r="H110" s="26" t="str">
        <f aca="false">+VLOOKUP(B110,'transacciones '!$A$2:$I$39,7,FALSE())</f>
        <v>Consumo intermedio</v>
      </c>
      <c r="I110" s="9" t="s">
        <v>1471</v>
      </c>
      <c r="J110" s="26" t="s">
        <v>1472</v>
      </c>
      <c r="K110" s="27" t="s">
        <v>1424</v>
      </c>
      <c r="L110" s="27" t="str">
        <f aca="false">+VLOOKUP(K110,'Correl CIIU'!$A$1:$F$26,2,FALSE())</f>
        <v>Industrias manufactureras</v>
      </c>
      <c r="M110" s="27" t="str">
        <f aca="false">+VLOOKUP(K110,'Correl CIIU'!$A$1:$F$26,3,FALSE())</f>
        <v>Manufacturas</v>
      </c>
      <c r="N110" s="27" t="str">
        <f aca="false">+VLOOKUP(K110,'Correl CIIU'!$A$1:$F$26,4,FALSE())</f>
        <v>Manufacturing</v>
      </c>
      <c r="O110" s="27" t="n">
        <v>3</v>
      </c>
      <c r="P110" s="28" t="str">
        <f aca="false">+VLOOKUP(O110,bio!$A$2:$B$4,2,FALSE())</f>
        <v>No bioeconomía</v>
      </c>
    </row>
    <row r="111" customFormat="false" ht="14.25" hidden="false" customHeight="false" outlineLevel="0" collapsed="false">
      <c r="A111" s="24" t="s">
        <v>1133</v>
      </c>
      <c r="B111" s="25" t="s">
        <v>1578</v>
      </c>
      <c r="C111" s="26" t="str">
        <f aca="false">+VLOOKUP(B111,'transacciones '!$A$2:$I$39,2,FALSE())</f>
        <v>ATC01</v>
      </c>
      <c r="D111" s="26" t="str">
        <f aca="false">+VLOOKUP(B111,'transacciones '!$A$2:$I$39,3,FALSE())</f>
        <v>Producción / Consumo intermedio</v>
      </c>
      <c r="E111" s="26" t="str">
        <f aca="false">+VLOOKUP(B111,'transacciones '!$A$2:$I$39,4,FALSE())</f>
        <v>Consumo</v>
      </c>
      <c r="F111" s="26" t="n">
        <f aca="false">+VLOOKUP(B111,'transacciones '!$A$2:$I$39,5,FALSE())</f>
        <v>2</v>
      </c>
      <c r="G111" s="26" t="str">
        <f aca="false">+VLOOKUP(B111,'transacciones '!$A$2:$I$39,6,FALSE())</f>
        <v>P2</v>
      </c>
      <c r="H111" s="26" t="str">
        <f aca="false">+VLOOKUP(B111,'transacciones '!$A$2:$I$39,7,FALSE())</f>
        <v>Consumo intermedio</v>
      </c>
      <c r="I111" s="26" t="s">
        <v>1473</v>
      </c>
      <c r="J111" s="26" t="s">
        <v>1474</v>
      </c>
      <c r="K111" s="27" t="s">
        <v>1424</v>
      </c>
      <c r="L111" s="27" t="str">
        <f aca="false">+VLOOKUP(K111,'Correl CIIU'!$A$1:$F$26,2,FALSE())</f>
        <v>Industrias manufactureras</v>
      </c>
      <c r="M111" s="27" t="str">
        <f aca="false">+VLOOKUP(K111,'Correl CIIU'!$A$1:$F$26,3,FALSE())</f>
        <v>Manufacturas</v>
      </c>
      <c r="N111" s="27" t="str">
        <f aca="false">+VLOOKUP(K111,'Correl CIIU'!$A$1:$F$26,4,FALSE())</f>
        <v>Manufacturing</v>
      </c>
      <c r="O111" s="27" t="n">
        <v>3</v>
      </c>
      <c r="P111" s="28" t="str">
        <f aca="false">+VLOOKUP(O111,bio!$A$2:$B$4,2,FALSE())</f>
        <v>No bioeconomía</v>
      </c>
    </row>
    <row r="112" customFormat="false" ht="14.25" hidden="false" customHeight="false" outlineLevel="0" collapsed="false">
      <c r="A112" s="24" t="s">
        <v>1135</v>
      </c>
      <c r="B112" s="25" t="s">
        <v>1578</v>
      </c>
      <c r="C112" s="26" t="str">
        <f aca="false">+VLOOKUP(B112,'transacciones '!$A$2:$I$39,2,FALSE())</f>
        <v>ATC01</v>
      </c>
      <c r="D112" s="26" t="str">
        <f aca="false">+VLOOKUP(B112,'transacciones '!$A$2:$I$39,3,FALSE())</f>
        <v>Producción / Consumo intermedio</v>
      </c>
      <c r="E112" s="26" t="str">
        <f aca="false">+VLOOKUP(B112,'transacciones '!$A$2:$I$39,4,FALSE())</f>
        <v>Consumo</v>
      </c>
      <c r="F112" s="26" t="n">
        <f aca="false">+VLOOKUP(B112,'transacciones '!$A$2:$I$39,5,FALSE())</f>
        <v>2</v>
      </c>
      <c r="G112" s="26" t="str">
        <f aca="false">+VLOOKUP(B112,'transacciones '!$A$2:$I$39,6,FALSE())</f>
        <v>P2</v>
      </c>
      <c r="H112" s="26" t="str">
        <f aca="false">+VLOOKUP(B112,'transacciones '!$A$2:$I$39,7,FALSE())</f>
        <v>Consumo intermedio</v>
      </c>
      <c r="I112" s="9" t="s">
        <v>1475</v>
      </c>
      <c r="J112" s="26" t="s">
        <v>1476</v>
      </c>
      <c r="K112" s="27" t="s">
        <v>1424</v>
      </c>
      <c r="L112" s="27" t="str">
        <f aca="false">+VLOOKUP(K112,'Correl CIIU'!$A$1:$F$26,2,FALSE())</f>
        <v>Industrias manufactureras</v>
      </c>
      <c r="M112" s="27" t="str">
        <f aca="false">+VLOOKUP(K112,'Correl CIIU'!$A$1:$F$26,3,FALSE())</f>
        <v>Manufacturas</v>
      </c>
      <c r="N112" s="27" t="str">
        <f aca="false">+VLOOKUP(K112,'Correl CIIU'!$A$1:$F$26,4,FALSE())</f>
        <v>Manufacturing</v>
      </c>
      <c r="O112" s="27" t="n">
        <v>3</v>
      </c>
      <c r="P112" s="28" t="str">
        <f aca="false">+VLOOKUP(O112,bio!$A$2:$B$4,2,FALSE())</f>
        <v>No bioeconomía</v>
      </c>
    </row>
    <row r="113" customFormat="false" ht="14.25" hidden="false" customHeight="false" outlineLevel="0" collapsed="false">
      <c r="A113" s="24" t="s">
        <v>1137</v>
      </c>
      <c r="B113" s="25" t="s">
        <v>1578</v>
      </c>
      <c r="C113" s="26" t="str">
        <f aca="false">+VLOOKUP(B113,'transacciones '!$A$2:$I$39,2,FALSE())</f>
        <v>ATC01</v>
      </c>
      <c r="D113" s="26" t="str">
        <f aca="false">+VLOOKUP(B113,'transacciones '!$A$2:$I$39,3,FALSE())</f>
        <v>Producción / Consumo intermedio</v>
      </c>
      <c r="E113" s="26" t="str">
        <f aca="false">+VLOOKUP(B113,'transacciones '!$A$2:$I$39,4,FALSE())</f>
        <v>Consumo</v>
      </c>
      <c r="F113" s="26" t="n">
        <f aca="false">+VLOOKUP(B113,'transacciones '!$A$2:$I$39,5,FALSE())</f>
        <v>2</v>
      </c>
      <c r="G113" s="26" t="str">
        <f aca="false">+VLOOKUP(B113,'transacciones '!$A$2:$I$39,6,FALSE())</f>
        <v>P2</v>
      </c>
      <c r="H113" s="26" t="str">
        <f aca="false">+VLOOKUP(B113,'transacciones '!$A$2:$I$39,7,FALSE())</f>
        <v>Consumo intermedio</v>
      </c>
      <c r="I113" s="26" t="s">
        <v>1477</v>
      </c>
      <c r="J113" s="26" t="s">
        <v>1478</v>
      </c>
      <c r="K113" s="27" t="s">
        <v>1424</v>
      </c>
      <c r="L113" s="27" t="str">
        <f aca="false">+VLOOKUP(K113,'Correl CIIU'!$A$1:$F$26,2,FALSE())</f>
        <v>Industrias manufactureras</v>
      </c>
      <c r="M113" s="27" t="str">
        <f aca="false">+VLOOKUP(K113,'Correl CIIU'!$A$1:$F$26,3,FALSE())</f>
        <v>Manufacturas</v>
      </c>
      <c r="N113" s="27" t="str">
        <f aca="false">+VLOOKUP(K113,'Correl CIIU'!$A$1:$F$26,4,FALSE())</f>
        <v>Manufacturing</v>
      </c>
      <c r="O113" s="27" t="n">
        <v>3</v>
      </c>
      <c r="P113" s="28" t="str">
        <f aca="false">+VLOOKUP(O113,bio!$A$2:$B$4,2,FALSE())</f>
        <v>No bioeconomía</v>
      </c>
    </row>
    <row r="114" customFormat="false" ht="25.5" hidden="false" customHeight="true" outlineLevel="0" collapsed="false">
      <c r="A114" s="24" t="s">
        <v>1139</v>
      </c>
      <c r="B114" s="25" t="s">
        <v>1578</v>
      </c>
      <c r="C114" s="26" t="str">
        <f aca="false">+VLOOKUP(B114,'transacciones '!$A$2:$I$39,2,FALSE())</f>
        <v>ATC01</v>
      </c>
      <c r="D114" s="26" t="str">
        <f aca="false">+VLOOKUP(B114,'transacciones '!$A$2:$I$39,3,FALSE())</f>
        <v>Producción / Consumo intermedio</v>
      </c>
      <c r="E114" s="26" t="str">
        <f aca="false">+VLOOKUP(B114,'transacciones '!$A$2:$I$39,4,FALSE())</f>
        <v>Consumo</v>
      </c>
      <c r="F114" s="26" t="n">
        <f aca="false">+VLOOKUP(B114,'transacciones '!$A$2:$I$39,5,FALSE())</f>
        <v>2</v>
      </c>
      <c r="G114" s="26" t="str">
        <f aca="false">+VLOOKUP(B114,'transacciones '!$A$2:$I$39,6,FALSE())</f>
        <v>P2</v>
      </c>
      <c r="H114" s="26" t="str">
        <f aca="false">+VLOOKUP(B114,'transacciones '!$A$2:$I$39,7,FALSE())</f>
        <v>Consumo intermedio</v>
      </c>
      <c r="I114" s="9" t="s">
        <v>1479</v>
      </c>
      <c r="J114" s="26" t="s">
        <v>1480</v>
      </c>
      <c r="K114" s="27" t="s">
        <v>1424</v>
      </c>
      <c r="L114" s="27" t="str">
        <f aca="false">+VLOOKUP(K114,'Correl CIIU'!$A$1:$F$26,2,FALSE())</f>
        <v>Industrias manufactureras</v>
      </c>
      <c r="M114" s="27" t="str">
        <f aca="false">+VLOOKUP(K114,'Correl CIIU'!$A$1:$F$26,3,FALSE())</f>
        <v>Manufacturas</v>
      </c>
      <c r="N114" s="27" t="str">
        <f aca="false">+VLOOKUP(K114,'Correl CIIU'!$A$1:$F$26,4,FALSE())</f>
        <v>Manufacturing</v>
      </c>
      <c r="O114" s="27" t="n">
        <v>3</v>
      </c>
      <c r="P114" s="28" t="str">
        <f aca="false">+VLOOKUP(O114,bio!$A$2:$B$4,2,FALSE())</f>
        <v>No bioeconomía</v>
      </c>
    </row>
    <row r="115" customFormat="false" ht="14.25" hidden="false" customHeight="false" outlineLevel="0" collapsed="false">
      <c r="A115" s="24" t="s">
        <v>1141</v>
      </c>
      <c r="B115" s="25" t="s">
        <v>1578</v>
      </c>
      <c r="C115" s="26" t="str">
        <f aca="false">+VLOOKUP(B115,'transacciones '!$A$2:$I$39,2,FALSE())</f>
        <v>ATC01</v>
      </c>
      <c r="D115" s="26" t="str">
        <f aca="false">+VLOOKUP(B115,'transacciones '!$A$2:$I$39,3,FALSE())</f>
        <v>Producción / Consumo intermedio</v>
      </c>
      <c r="E115" s="26" t="str">
        <f aca="false">+VLOOKUP(B115,'transacciones '!$A$2:$I$39,4,FALSE())</f>
        <v>Consumo</v>
      </c>
      <c r="F115" s="26" t="n">
        <f aca="false">+VLOOKUP(B115,'transacciones '!$A$2:$I$39,5,FALSE())</f>
        <v>2</v>
      </c>
      <c r="G115" s="26" t="str">
        <f aca="false">+VLOOKUP(B115,'transacciones '!$A$2:$I$39,6,FALSE())</f>
        <v>P2</v>
      </c>
      <c r="H115" s="26" t="str">
        <f aca="false">+VLOOKUP(B115,'transacciones '!$A$2:$I$39,7,FALSE())</f>
        <v>Consumo intermedio</v>
      </c>
      <c r="I115" s="26" t="s">
        <v>1481</v>
      </c>
      <c r="J115" s="26" t="s">
        <v>1482</v>
      </c>
      <c r="K115" s="27" t="s">
        <v>1424</v>
      </c>
      <c r="L115" s="27" t="str">
        <f aca="false">+VLOOKUP(K115,'Correl CIIU'!$A$1:$F$26,2,FALSE())</f>
        <v>Industrias manufactureras</v>
      </c>
      <c r="M115" s="27" t="str">
        <f aca="false">+VLOOKUP(K115,'Correl CIIU'!$A$1:$F$26,3,FALSE())</f>
        <v>Manufacturas</v>
      </c>
      <c r="N115" s="27" t="str">
        <f aca="false">+VLOOKUP(K115,'Correl CIIU'!$A$1:$F$26,4,FALSE())</f>
        <v>Manufacturing</v>
      </c>
      <c r="O115" s="27" t="n">
        <v>3</v>
      </c>
      <c r="P115" s="28" t="str">
        <f aca="false">+VLOOKUP(O115,bio!$A$2:$B$4,2,FALSE())</f>
        <v>No bioeconomía</v>
      </c>
    </row>
    <row r="116" customFormat="false" ht="14.25" hidden="false" customHeight="false" outlineLevel="0" collapsed="false">
      <c r="A116" s="24" t="s">
        <v>1143</v>
      </c>
      <c r="B116" s="25" t="s">
        <v>1578</v>
      </c>
      <c r="C116" s="26" t="str">
        <f aca="false">+VLOOKUP(B116,'transacciones '!$A$2:$I$39,2,FALSE())</f>
        <v>ATC01</v>
      </c>
      <c r="D116" s="26" t="str">
        <f aca="false">+VLOOKUP(B116,'transacciones '!$A$2:$I$39,3,FALSE())</f>
        <v>Producción / Consumo intermedio</v>
      </c>
      <c r="E116" s="26" t="str">
        <f aca="false">+VLOOKUP(B116,'transacciones '!$A$2:$I$39,4,FALSE())</f>
        <v>Consumo</v>
      </c>
      <c r="F116" s="26" t="n">
        <f aca="false">+VLOOKUP(B116,'transacciones '!$A$2:$I$39,5,FALSE())</f>
        <v>2</v>
      </c>
      <c r="G116" s="26" t="str">
        <f aca="false">+VLOOKUP(B116,'transacciones '!$A$2:$I$39,6,FALSE())</f>
        <v>P2</v>
      </c>
      <c r="H116" s="26" t="str">
        <f aca="false">+VLOOKUP(B116,'transacciones '!$A$2:$I$39,7,FALSE())</f>
        <v>Consumo intermedio</v>
      </c>
      <c r="I116" s="9" t="s">
        <v>1483</v>
      </c>
      <c r="J116" s="26" t="s">
        <v>1484</v>
      </c>
      <c r="K116" s="27" t="s">
        <v>1485</v>
      </c>
      <c r="L116" s="27" t="str">
        <f aca="false">+VLOOKUP(K116,'Correl CIIU'!$A$1:$F$26,2,FALSE())</f>
        <v>Suministro de electricidad, gas, vapor y aire acondicionado</v>
      </c>
      <c r="M116" s="27" t="str">
        <f aca="false">+VLOOKUP(K116,'Correl CIIU'!$A$1:$F$26,3,FALSE())</f>
        <v>Servicios básicos</v>
      </c>
      <c r="N116" s="27" t="str">
        <f aca="false">+VLOOKUP(K116,'Correl CIIU'!$A$1:$F$26,4,FALSE())</f>
        <v>Electricity, gas, steam and air conditioning supply</v>
      </c>
      <c r="O116" s="27" t="n">
        <v>3</v>
      </c>
      <c r="P116" s="28" t="str">
        <f aca="false">+VLOOKUP(O116,bio!$A$2:$B$4,2,FALSE())</f>
        <v>No bioeconomía</v>
      </c>
    </row>
    <row r="117" customFormat="false" ht="14.25" hidden="false" customHeight="false" outlineLevel="0" collapsed="false">
      <c r="A117" s="24" t="s">
        <v>1145</v>
      </c>
      <c r="B117" s="25" t="s">
        <v>1578</v>
      </c>
      <c r="C117" s="26" t="str">
        <f aca="false">+VLOOKUP(B117,'transacciones '!$A$2:$I$39,2,FALSE())</f>
        <v>ATC01</v>
      </c>
      <c r="D117" s="26" t="str">
        <f aca="false">+VLOOKUP(B117,'transacciones '!$A$2:$I$39,3,FALSE())</f>
        <v>Producción / Consumo intermedio</v>
      </c>
      <c r="E117" s="26" t="str">
        <f aca="false">+VLOOKUP(B117,'transacciones '!$A$2:$I$39,4,FALSE())</f>
        <v>Consumo</v>
      </c>
      <c r="F117" s="26" t="n">
        <f aca="false">+VLOOKUP(B117,'transacciones '!$A$2:$I$39,5,FALSE())</f>
        <v>2</v>
      </c>
      <c r="G117" s="26" t="str">
        <f aca="false">+VLOOKUP(B117,'transacciones '!$A$2:$I$39,6,FALSE())</f>
        <v>P2</v>
      </c>
      <c r="H117" s="26" t="str">
        <f aca="false">+VLOOKUP(B117,'transacciones '!$A$2:$I$39,7,FALSE())</f>
        <v>Consumo intermedio</v>
      </c>
      <c r="I117" s="26" t="s">
        <v>1486</v>
      </c>
      <c r="J117" s="26" t="s">
        <v>1487</v>
      </c>
      <c r="K117" s="27" t="s">
        <v>1488</v>
      </c>
      <c r="L117" s="27" t="str">
        <f aca="false">+VLOOKUP(K117,'Correl CIIU'!$A$1:$F$26,2,FALSE())</f>
        <v>Suministro de agua; evacuación de aguas residuales, gestión de desechos y descontaminación</v>
      </c>
      <c r="M117" s="27" t="str">
        <f aca="false">+VLOOKUP(K117,'Correl CIIU'!$A$1:$F$26,3,FALSE())</f>
        <v>Suministro de agua</v>
      </c>
      <c r="N117" s="27" t="str">
        <f aca="false">+VLOOKUP(K117,'Correl CIIU'!$A$1:$F$26,4,FALSE())</f>
        <v>Water supply; sewerage, waste management and remediation activities</v>
      </c>
      <c r="O117" s="27" t="n">
        <v>2</v>
      </c>
      <c r="P117" s="28" t="str">
        <f aca="false">+VLOOKUP(O117,bio!$A$2:$B$4,2,FALSE())</f>
        <v>Bioeconomía extendida</v>
      </c>
    </row>
    <row r="118" customFormat="false" ht="14.25" hidden="false" customHeight="false" outlineLevel="0" collapsed="false">
      <c r="A118" s="24" t="s">
        <v>1147</v>
      </c>
      <c r="B118" s="25" t="s">
        <v>1578</v>
      </c>
      <c r="C118" s="26" t="str">
        <f aca="false">+VLOOKUP(B118,'transacciones '!$A$2:$I$39,2,FALSE())</f>
        <v>ATC01</v>
      </c>
      <c r="D118" s="26" t="str">
        <f aca="false">+VLOOKUP(B118,'transacciones '!$A$2:$I$39,3,FALSE())</f>
        <v>Producción / Consumo intermedio</v>
      </c>
      <c r="E118" s="26" t="str">
        <f aca="false">+VLOOKUP(B118,'transacciones '!$A$2:$I$39,4,FALSE())</f>
        <v>Consumo</v>
      </c>
      <c r="F118" s="26" t="n">
        <f aca="false">+VLOOKUP(B118,'transacciones '!$A$2:$I$39,5,FALSE())</f>
        <v>2</v>
      </c>
      <c r="G118" s="26" t="str">
        <f aca="false">+VLOOKUP(B118,'transacciones '!$A$2:$I$39,6,FALSE())</f>
        <v>P2</v>
      </c>
      <c r="H118" s="26" t="str">
        <f aca="false">+VLOOKUP(B118,'transacciones '!$A$2:$I$39,7,FALSE())</f>
        <v>Consumo intermedio</v>
      </c>
      <c r="I118" s="9" t="s">
        <v>1489</v>
      </c>
      <c r="J118" s="26" t="s">
        <v>1490</v>
      </c>
      <c r="K118" s="27" t="s">
        <v>1491</v>
      </c>
      <c r="L118" s="27" t="str">
        <f aca="false">+VLOOKUP(K118,'Correl CIIU'!$A$1:$F$26,2,FALSE())</f>
        <v>Construcción</v>
      </c>
      <c r="M118" s="27" t="str">
        <f aca="false">+VLOOKUP(K118,'Correl CIIU'!$A$1:$F$26,3,FALSE())</f>
        <v>Construcción</v>
      </c>
      <c r="N118" s="27" t="str">
        <f aca="false">+VLOOKUP(K118,'Correl CIIU'!$A$1:$F$26,4,FALSE())</f>
        <v>Construction</v>
      </c>
      <c r="O118" s="27" t="n">
        <v>3</v>
      </c>
      <c r="P118" s="28" t="str">
        <f aca="false">+VLOOKUP(O118,bio!$A$2:$B$4,2,FALSE())</f>
        <v>No bioeconomía</v>
      </c>
    </row>
    <row r="119" customFormat="false" ht="14.25" hidden="false" customHeight="false" outlineLevel="0" collapsed="false">
      <c r="A119" s="24" t="s">
        <v>1149</v>
      </c>
      <c r="B119" s="25" t="s">
        <v>1578</v>
      </c>
      <c r="C119" s="26" t="str">
        <f aca="false">+VLOOKUP(B119,'transacciones '!$A$2:$I$39,2,FALSE())</f>
        <v>ATC01</v>
      </c>
      <c r="D119" s="26" t="str">
        <f aca="false">+VLOOKUP(B119,'transacciones '!$A$2:$I$39,3,FALSE())</f>
        <v>Producción / Consumo intermedio</v>
      </c>
      <c r="E119" s="26" t="str">
        <f aca="false">+VLOOKUP(B119,'transacciones '!$A$2:$I$39,4,FALSE())</f>
        <v>Consumo</v>
      </c>
      <c r="F119" s="26" t="n">
        <f aca="false">+VLOOKUP(B119,'transacciones '!$A$2:$I$39,5,FALSE())</f>
        <v>2</v>
      </c>
      <c r="G119" s="26" t="str">
        <f aca="false">+VLOOKUP(B119,'transacciones '!$A$2:$I$39,6,FALSE())</f>
        <v>P2</v>
      </c>
      <c r="H119" s="26" t="str">
        <f aca="false">+VLOOKUP(B119,'transacciones '!$A$2:$I$39,7,FALSE())</f>
        <v>Consumo intermedio</v>
      </c>
      <c r="I119" s="26" t="s">
        <v>1492</v>
      </c>
      <c r="J119" s="26" t="s">
        <v>1493</v>
      </c>
      <c r="K119" s="27" t="s">
        <v>1494</v>
      </c>
      <c r="L119" s="27" t="str">
        <f aca="false">+VLOOKUP(K119,'Correl CIIU'!$A$1:$F$26,2,FALSE())</f>
        <v>Comercio al por mayor y al por menor; reparación de vehículos automotores y motocicletas</v>
      </c>
      <c r="M119" s="27" t="str">
        <f aca="false">+VLOOKUP(K119,'Correl CIIU'!$A$1:$F$26,3,FALSE())</f>
        <v>Comercio</v>
      </c>
      <c r="N119" s="27" t="str">
        <f aca="false">+VLOOKUP(K119,'Correl CIIU'!$A$1:$F$26,4,FALSE())</f>
        <v>Wholesale and retail trade; repair of motor vehicles and motorcycles</v>
      </c>
      <c r="O119" s="30" t="n">
        <v>3</v>
      </c>
      <c r="P119" s="28" t="str">
        <f aca="false">+VLOOKUP(O119,bio!$A$2:$B$4,2,FALSE())</f>
        <v>No bioeconomía</v>
      </c>
    </row>
    <row r="120" customFormat="false" ht="14.25" hidden="false" customHeight="false" outlineLevel="0" collapsed="false">
      <c r="A120" s="24" t="s">
        <v>1151</v>
      </c>
      <c r="B120" s="25" t="s">
        <v>1578</v>
      </c>
      <c r="C120" s="26" t="str">
        <f aca="false">+VLOOKUP(B120,'transacciones '!$A$2:$I$39,2,FALSE())</f>
        <v>ATC01</v>
      </c>
      <c r="D120" s="26" t="str">
        <f aca="false">+VLOOKUP(B120,'transacciones '!$A$2:$I$39,3,FALSE())</f>
        <v>Producción / Consumo intermedio</v>
      </c>
      <c r="E120" s="26" t="str">
        <f aca="false">+VLOOKUP(B120,'transacciones '!$A$2:$I$39,4,FALSE())</f>
        <v>Consumo</v>
      </c>
      <c r="F120" s="26" t="n">
        <f aca="false">+VLOOKUP(B120,'transacciones '!$A$2:$I$39,5,FALSE())</f>
        <v>2</v>
      </c>
      <c r="G120" s="26" t="str">
        <f aca="false">+VLOOKUP(B120,'transacciones '!$A$2:$I$39,6,FALSE())</f>
        <v>P2</v>
      </c>
      <c r="H120" s="26" t="str">
        <f aca="false">+VLOOKUP(B120,'transacciones '!$A$2:$I$39,7,FALSE())</f>
        <v>Consumo intermedio</v>
      </c>
      <c r="I120" s="9" t="s">
        <v>1495</v>
      </c>
      <c r="J120" s="26" t="s">
        <v>1496</v>
      </c>
      <c r="K120" s="27" t="s">
        <v>1494</v>
      </c>
      <c r="L120" s="27" t="str">
        <f aca="false">+VLOOKUP(K120,'Correl CIIU'!$A$1:$F$26,2,FALSE())</f>
        <v>Comercio al por mayor y al por menor; reparación de vehículos automotores y motocicletas</v>
      </c>
      <c r="M120" s="27" t="str">
        <f aca="false">+VLOOKUP(K120,'Correl CIIU'!$A$1:$F$26,3,FALSE())</f>
        <v>Comercio</v>
      </c>
      <c r="N120" s="27" t="str">
        <f aca="false">+VLOOKUP(K120,'Correl CIIU'!$A$1:$F$26,4,FALSE())</f>
        <v>Wholesale and retail trade; repair of motor vehicles and motorcycles</v>
      </c>
      <c r="O120" s="30" t="n">
        <v>3</v>
      </c>
      <c r="P120" s="28" t="str">
        <f aca="false">+VLOOKUP(O120,bio!$A$2:$B$4,2,FALSE())</f>
        <v>No bioeconomía</v>
      </c>
    </row>
    <row r="121" customFormat="false" ht="14.25" hidden="false" customHeight="false" outlineLevel="0" collapsed="false">
      <c r="A121" s="24" t="s">
        <v>1153</v>
      </c>
      <c r="B121" s="25" t="s">
        <v>1578</v>
      </c>
      <c r="C121" s="26" t="str">
        <f aca="false">+VLOOKUP(B121,'transacciones '!$A$2:$I$39,2,FALSE())</f>
        <v>ATC01</v>
      </c>
      <c r="D121" s="26" t="str">
        <f aca="false">+VLOOKUP(B121,'transacciones '!$A$2:$I$39,3,FALSE())</f>
        <v>Producción / Consumo intermedio</v>
      </c>
      <c r="E121" s="26" t="str">
        <f aca="false">+VLOOKUP(B121,'transacciones '!$A$2:$I$39,4,FALSE())</f>
        <v>Consumo</v>
      </c>
      <c r="F121" s="26" t="n">
        <f aca="false">+VLOOKUP(B121,'transacciones '!$A$2:$I$39,5,FALSE())</f>
        <v>2</v>
      </c>
      <c r="G121" s="26" t="str">
        <f aca="false">+VLOOKUP(B121,'transacciones '!$A$2:$I$39,6,FALSE())</f>
        <v>P2</v>
      </c>
      <c r="H121" s="26" t="str">
        <f aca="false">+VLOOKUP(B121,'transacciones '!$A$2:$I$39,7,FALSE())</f>
        <v>Consumo intermedio</v>
      </c>
      <c r="I121" s="26" t="s">
        <v>1497</v>
      </c>
      <c r="J121" s="26" t="s">
        <v>1498</v>
      </c>
      <c r="K121" s="27" t="s">
        <v>1499</v>
      </c>
      <c r="L121" s="27" t="str">
        <f aca="false">+VLOOKUP(K121,'Correl CIIU'!$A$1:$F$26,2,FALSE())</f>
        <v>Transporte y almacenamiento</v>
      </c>
      <c r="M121" s="27" t="str">
        <f aca="false">+VLOOKUP(K121,'Correl CIIU'!$A$1:$F$26,3,FALSE())</f>
        <v>Transporte y almacenamiento</v>
      </c>
      <c r="N121" s="27" t="str">
        <f aca="false">+VLOOKUP(K121,'Correl CIIU'!$A$1:$F$26,4,FALSE())</f>
        <v>Transportation and storage</v>
      </c>
      <c r="O121" s="30" t="n">
        <v>3</v>
      </c>
      <c r="P121" s="28" t="str">
        <f aca="false">+VLOOKUP(O121,bio!$A$2:$B$4,2,FALSE())</f>
        <v>No bioeconomía</v>
      </c>
    </row>
    <row r="122" customFormat="false" ht="14.25" hidden="false" customHeight="false" outlineLevel="0" collapsed="false">
      <c r="A122" s="24" t="s">
        <v>1155</v>
      </c>
      <c r="B122" s="25" t="s">
        <v>1578</v>
      </c>
      <c r="C122" s="26" t="str">
        <f aca="false">+VLOOKUP(B122,'transacciones '!$A$2:$I$39,2,FALSE())</f>
        <v>ATC01</v>
      </c>
      <c r="D122" s="26" t="str">
        <f aca="false">+VLOOKUP(B122,'transacciones '!$A$2:$I$39,3,FALSE())</f>
        <v>Producción / Consumo intermedio</v>
      </c>
      <c r="E122" s="26" t="str">
        <f aca="false">+VLOOKUP(B122,'transacciones '!$A$2:$I$39,4,FALSE())</f>
        <v>Consumo</v>
      </c>
      <c r="F122" s="26" t="n">
        <f aca="false">+VLOOKUP(B122,'transacciones '!$A$2:$I$39,5,FALSE())</f>
        <v>2</v>
      </c>
      <c r="G122" s="26" t="str">
        <f aca="false">+VLOOKUP(B122,'transacciones '!$A$2:$I$39,6,FALSE())</f>
        <v>P2</v>
      </c>
      <c r="H122" s="26" t="str">
        <f aca="false">+VLOOKUP(B122,'transacciones '!$A$2:$I$39,7,FALSE())</f>
        <v>Consumo intermedio</v>
      </c>
      <c r="I122" s="9" t="s">
        <v>1500</v>
      </c>
      <c r="J122" s="26" t="s">
        <v>1501</v>
      </c>
      <c r="K122" s="27" t="s">
        <v>1499</v>
      </c>
      <c r="L122" s="27" t="str">
        <f aca="false">+VLOOKUP(K122,'Correl CIIU'!$A$1:$F$26,2,FALSE())</f>
        <v>Transporte y almacenamiento</v>
      </c>
      <c r="M122" s="27" t="str">
        <f aca="false">+VLOOKUP(K122,'Correl CIIU'!$A$1:$F$26,3,FALSE())</f>
        <v>Transporte y almacenamiento</v>
      </c>
      <c r="N122" s="27" t="str">
        <f aca="false">+VLOOKUP(K122,'Correl CIIU'!$A$1:$F$26,4,FALSE())</f>
        <v>Transportation and storage</v>
      </c>
      <c r="O122" s="27" t="n">
        <v>3</v>
      </c>
      <c r="P122" s="28" t="str">
        <f aca="false">+VLOOKUP(O122,bio!$A$2:$B$4,2,FALSE())</f>
        <v>No bioeconomía</v>
      </c>
    </row>
    <row r="123" customFormat="false" ht="14.25" hidden="false" customHeight="false" outlineLevel="0" collapsed="false">
      <c r="A123" s="24" t="s">
        <v>1157</v>
      </c>
      <c r="B123" s="25" t="s">
        <v>1578</v>
      </c>
      <c r="C123" s="26" t="str">
        <f aca="false">+VLOOKUP(B123,'transacciones '!$A$2:$I$39,2,FALSE())</f>
        <v>ATC01</v>
      </c>
      <c r="D123" s="26" t="str">
        <f aca="false">+VLOOKUP(B123,'transacciones '!$A$2:$I$39,3,FALSE())</f>
        <v>Producción / Consumo intermedio</v>
      </c>
      <c r="E123" s="26" t="str">
        <f aca="false">+VLOOKUP(B123,'transacciones '!$A$2:$I$39,4,FALSE())</f>
        <v>Consumo</v>
      </c>
      <c r="F123" s="26" t="n">
        <f aca="false">+VLOOKUP(B123,'transacciones '!$A$2:$I$39,5,FALSE())</f>
        <v>2</v>
      </c>
      <c r="G123" s="26" t="str">
        <f aca="false">+VLOOKUP(B123,'transacciones '!$A$2:$I$39,6,FALSE())</f>
        <v>P2</v>
      </c>
      <c r="H123" s="26" t="str">
        <f aca="false">+VLOOKUP(B123,'transacciones '!$A$2:$I$39,7,FALSE())</f>
        <v>Consumo intermedio</v>
      </c>
      <c r="I123" s="26" t="s">
        <v>1502</v>
      </c>
      <c r="J123" s="26" t="s">
        <v>1503</v>
      </c>
      <c r="K123" s="27" t="s">
        <v>1499</v>
      </c>
      <c r="L123" s="27" t="str">
        <f aca="false">+VLOOKUP(K123,'Correl CIIU'!$A$1:$F$26,2,FALSE())</f>
        <v>Transporte y almacenamiento</v>
      </c>
      <c r="M123" s="27" t="str">
        <f aca="false">+VLOOKUP(K123,'Correl CIIU'!$A$1:$F$26,3,FALSE())</f>
        <v>Transporte y almacenamiento</v>
      </c>
      <c r="N123" s="27" t="str">
        <f aca="false">+VLOOKUP(K123,'Correl CIIU'!$A$1:$F$26,4,FALSE())</f>
        <v>Transportation and storage</v>
      </c>
      <c r="O123" s="27" t="n">
        <v>3</v>
      </c>
      <c r="P123" s="28" t="str">
        <f aca="false">+VLOOKUP(O123,bio!$A$2:$B$4,2,FALSE())</f>
        <v>No bioeconomía</v>
      </c>
    </row>
    <row r="124" customFormat="false" ht="14.25" hidden="false" customHeight="false" outlineLevel="0" collapsed="false">
      <c r="A124" s="24" t="s">
        <v>1159</v>
      </c>
      <c r="B124" s="25" t="s">
        <v>1578</v>
      </c>
      <c r="C124" s="26" t="str">
        <f aca="false">+VLOOKUP(B124,'transacciones '!$A$2:$I$39,2,FALSE())</f>
        <v>ATC01</v>
      </c>
      <c r="D124" s="26" t="str">
        <f aca="false">+VLOOKUP(B124,'transacciones '!$A$2:$I$39,3,FALSE())</f>
        <v>Producción / Consumo intermedio</v>
      </c>
      <c r="E124" s="26" t="str">
        <f aca="false">+VLOOKUP(B124,'transacciones '!$A$2:$I$39,4,FALSE())</f>
        <v>Consumo</v>
      </c>
      <c r="F124" s="26" t="n">
        <f aca="false">+VLOOKUP(B124,'transacciones '!$A$2:$I$39,5,FALSE())</f>
        <v>2</v>
      </c>
      <c r="G124" s="26" t="str">
        <f aca="false">+VLOOKUP(B124,'transacciones '!$A$2:$I$39,6,FALSE())</f>
        <v>P2</v>
      </c>
      <c r="H124" s="26" t="str">
        <f aca="false">+VLOOKUP(B124,'transacciones '!$A$2:$I$39,7,FALSE())</f>
        <v>Consumo intermedio</v>
      </c>
      <c r="I124" s="9" t="s">
        <v>1504</v>
      </c>
      <c r="J124" s="26" t="s">
        <v>1505</v>
      </c>
      <c r="K124" s="11" t="s">
        <v>1499</v>
      </c>
      <c r="L124" s="27" t="str">
        <f aca="false">+VLOOKUP(K124,'Correl CIIU'!$A$1:$F$26,2,FALSE())</f>
        <v>Transporte y almacenamiento</v>
      </c>
      <c r="M124" s="27" t="str">
        <f aca="false">+VLOOKUP(K124,'Correl CIIU'!$A$1:$F$26,3,FALSE())</f>
        <v>Transporte y almacenamiento</v>
      </c>
      <c r="N124" s="27" t="str">
        <f aca="false">+VLOOKUP(K124,'Correl CIIU'!$A$1:$F$26,4,FALSE())</f>
        <v>Transportation and storage</v>
      </c>
      <c r="O124" s="27" t="n">
        <v>3</v>
      </c>
      <c r="P124" s="28" t="str">
        <f aca="false">+VLOOKUP(O124,bio!$A$2:$B$4,2,FALSE())</f>
        <v>No bioeconomía</v>
      </c>
    </row>
    <row r="125" customFormat="false" ht="14.25" hidden="false" customHeight="false" outlineLevel="0" collapsed="false">
      <c r="A125" s="24" t="s">
        <v>1161</v>
      </c>
      <c r="B125" s="25" t="s">
        <v>1578</v>
      </c>
      <c r="C125" s="26" t="str">
        <f aca="false">+VLOOKUP(B125,'transacciones '!$A$2:$I$39,2,FALSE())</f>
        <v>ATC01</v>
      </c>
      <c r="D125" s="26" t="str">
        <f aca="false">+VLOOKUP(B125,'transacciones '!$A$2:$I$39,3,FALSE())</f>
        <v>Producción / Consumo intermedio</v>
      </c>
      <c r="E125" s="26" t="str">
        <f aca="false">+VLOOKUP(B125,'transacciones '!$A$2:$I$39,4,FALSE())</f>
        <v>Consumo</v>
      </c>
      <c r="F125" s="26" t="n">
        <f aca="false">+VLOOKUP(B125,'transacciones '!$A$2:$I$39,5,FALSE())</f>
        <v>2</v>
      </c>
      <c r="G125" s="26" t="str">
        <f aca="false">+VLOOKUP(B125,'transacciones '!$A$2:$I$39,6,FALSE())</f>
        <v>P2</v>
      </c>
      <c r="H125" s="26" t="str">
        <f aca="false">+VLOOKUP(B125,'transacciones '!$A$2:$I$39,7,FALSE())</f>
        <v>Consumo intermedio</v>
      </c>
      <c r="I125" s="26" t="s">
        <v>1506</v>
      </c>
      <c r="J125" s="26" t="s">
        <v>1507</v>
      </c>
      <c r="K125" s="11" t="s">
        <v>1508</v>
      </c>
      <c r="L125" s="27" t="str">
        <f aca="false">+VLOOKUP(K125,'Correl CIIU'!$A$1:$F$26,2,FALSE())</f>
        <v>Actividades de alojamiento y de servicio de comidas</v>
      </c>
      <c r="M125" s="27" t="str">
        <f aca="false">+VLOOKUP(K125,'Correl CIIU'!$A$1:$F$26,3,FALSE())</f>
        <v>Alojamiento y alimentación</v>
      </c>
      <c r="N125" s="27" t="str">
        <f aca="false">+VLOOKUP(K125,'Correl CIIU'!$A$1:$F$26,4,FALSE())</f>
        <v>Accommodation and food service activities</v>
      </c>
      <c r="O125" s="27" t="n">
        <v>3</v>
      </c>
      <c r="P125" s="28" t="str">
        <f aca="false">+VLOOKUP(O125,bio!$A$2:$B$4,2,FALSE())</f>
        <v>No bioeconomía</v>
      </c>
    </row>
    <row r="126" customFormat="false" ht="14.25" hidden="false" customHeight="false" outlineLevel="0" collapsed="false">
      <c r="A126" s="24" t="s">
        <v>1163</v>
      </c>
      <c r="B126" s="25" t="s">
        <v>1578</v>
      </c>
      <c r="C126" s="26" t="str">
        <f aca="false">+VLOOKUP(B126,'transacciones '!$A$2:$I$39,2,FALSE())</f>
        <v>ATC01</v>
      </c>
      <c r="D126" s="26" t="str">
        <f aca="false">+VLOOKUP(B126,'transacciones '!$A$2:$I$39,3,FALSE())</f>
        <v>Producción / Consumo intermedio</v>
      </c>
      <c r="E126" s="26" t="str">
        <f aca="false">+VLOOKUP(B126,'transacciones '!$A$2:$I$39,4,FALSE())</f>
        <v>Consumo</v>
      </c>
      <c r="F126" s="26" t="n">
        <f aca="false">+VLOOKUP(B126,'transacciones '!$A$2:$I$39,5,FALSE())</f>
        <v>2</v>
      </c>
      <c r="G126" s="26" t="str">
        <f aca="false">+VLOOKUP(B126,'transacciones '!$A$2:$I$39,6,FALSE())</f>
        <v>P2</v>
      </c>
      <c r="H126" s="26" t="str">
        <f aca="false">+VLOOKUP(B126,'transacciones '!$A$2:$I$39,7,FALSE())</f>
        <v>Consumo intermedio</v>
      </c>
      <c r="I126" s="9" t="s">
        <v>1509</v>
      </c>
      <c r="J126" s="26" t="s">
        <v>1510</v>
      </c>
      <c r="K126" s="11" t="s">
        <v>1508</v>
      </c>
      <c r="L126" s="27" t="str">
        <f aca="false">+VLOOKUP(K126,'Correl CIIU'!$A$1:$F$26,2,FALSE())</f>
        <v>Actividades de alojamiento y de servicio de comidas</v>
      </c>
      <c r="M126" s="27" t="str">
        <f aca="false">+VLOOKUP(K126,'Correl CIIU'!$A$1:$F$26,3,FALSE())</f>
        <v>Alojamiento y alimentación</v>
      </c>
      <c r="N126" s="27" t="str">
        <f aca="false">+VLOOKUP(K126,'Correl CIIU'!$A$1:$F$26,4,FALSE())</f>
        <v>Accommodation and food service activities</v>
      </c>
      <c r="O126" s="27" t="n">
        <v>2</v>
      </c>
      <c r="P126" s="28" t="str">
        <f aca="false">+VLOOKUP(O126,bio!$A$2:$B$4,2,FALSE())</f>
        <v>Bioeconomía extendida</v>
      </c>
    </row>
    <row r="127" customFormat="false" ht="14.25" hidden="false" customHeight="false" outlineLevel="0" collapsed="false">
      <c r="A127" s="24" t="s">
        <v>1165</v>
      </c>
      <c r="B127" s="25" t="s">
        <v>1578</v>
      </c>
      <c r="C127" s="26" t="str">
        <f aca="false">+VLOOKUP(B127,'transacciones '!$A$2:$I$39,2,FALSE())</f>
        <v>ATC01</v>
      </c>
      <c r="D127" s="26" t="str">
        <f aca="false">+VLOOKUP(B127,'transacciones '!$A$2:$I$39,3,FALSE())</f>
        <v>Producción / Consumo intermedio</v>
      </c>
      <c r="E127" s="26" t="str">
        <f aca="false">+VLOOKUP(B127,'transacciones '!$A$2:$I$39,4,FALSE())</f>
        <v>Consumo</v>
      </c>
      <c r="F127" s="26" t="n">
        <f aca="false">+VLOOKUP(B127,'transacciones '!$A$2:$I$39,5,FALSE())</f>
        <v>2</v>
      </c>
      <c r="G127" s="26" t="str">
        <f aca="false">+VLOOKUP(B127,'transacciones '!$A$2:$I$39,6,FALSE())</f>
        <v>P2</v>
      </c>
      <c r="H127" s="26" t="str">
        <f aca="false">+VLOOKUP(B127,'transacciones '!$A$2:$I$39,7,FALSE())</f>
        <v>Consumo intermedio</v>
      </c>
      <c r="I127" s="26" t="s">
        <v>1511</v>
      </c>
      <c r="J127" s="26" t="s">
        <v>1512</v>
      </c>
      <c r="K127" s="11" t="s">
        <v>1513</v>
      </c>
      <c r="L127" s="27" t="str">
        <f aca="false">+VLOOKUP(K127,'Correl CIIU'!$A$1:$F$26,2,FALSE())</f>
        <v>Información y comunicaciones</v>
      </c>
      <c r="M127" s="27" t="str">
        <f aca="false">+VLOOKUP(K127,'Correl CIIU'!$A$1:$F$26,3,FALSE())</f>
        <v>Información y comunicaciones</v>
      </c>
      <c r="N127" s="27" t="str">
        <f aca="false">+VLOOKUP(K127,'Correl CIIU'!$A$1:$F$26,4,FALSE())</f>
        <v>Information and communication</v>
      </c>
      <c r="O127" s="27" t="n">
        <v>3</v>
      </c>
      <c r="P127" s="28" t="str">
        <f aca="false">+VLOOKUP(O127,bio!$A$2:$B$4,2,FALSE())</f>
        <v>No bioeconomía</v>
      </c>
    </row>
    <row r="128" customFormat="false" ht="14.25" hidden="false" customHeight="false" outlineLevel="0" collapsed="false">
      <c r="A128" s="24" t="s">
        <v>1167</v>
      </c>
      <c r="B128" s="25" t="s">
        <v>1578</v>
      </c>
      <c r="C128" s="26" t="str">
        <f aca="false">+VLOOKUP(B128,'transacciones '!$A$2:$I$39,2,FALSE())</f>
        <v>ATC01</v>
      </c>
      <c r="D128" s="26" t="str">
        <f aca="false">+VLOOKUP(B128,'transacciones '!$A$2:$I$39,3,FALSE())</f>
        <v>Producción / Consumo intermedio</v>
      </c>
      <c r="E128" s="26" t="str">
        <f aca="false">+VLOOKUP(B128,'transacciones '!$A$2:$I$39,4,FALSE())</f>
        <v>Consumo</v>
      </c>
      <c r="F128" s="26" t="n">
        <f aca="false">+VLOOKUP(B128,'transacciones '!$A$2:$I$39,5,FALSE())</f>
        <v>2</v>
      </c>
      <c r="G128" s="26" t="str">
        <f aca="false">+VLOOKUP(B128,'transacciones '!$A$2:$I$39,6,FALSE())</f>
        <v>P2</v>
      </c>
      <c r="H128" s="26" t="str">
        <f aca="false">+VLOOKUP(B128,'transacciones '!$A$2:$I$39,7,FALSE())</f>
        <v>Consumo intermedio</v>
      </c>
      <c r="I128" s="9" t="s">
        <v>1514</v>
      </c>
      <c r="J128" s="26" t="s">
        <v>1515</v>
      </c>
      <c r="K128" s="11" t="s">
        <v>1513</v>
      </c>
      <c r="L128" s="27" t="str">
        <f aca="false">+VLOOKUP(K128,'Correl CIIU'!$A$1:$F$26,2,FALSE())</f>
        <v>Información y comunicaciones</v>
      </c>
      <c r="M128" s="27" t="str">
        <f aca="false">+VLOOKUP(K128,'Correl CIIU'!$A$1:$F$26,3,FALSE())</f>
        <v>Información y comunicaciones</v>
      </c>
      <c r="N128" s="27" t="str">
        <f aca="false">+VLOOKUP(K128,'Correl CIIU'!$A$1:$F$26,4,FALSE())</f>
        <v>Information and communication</v>
      </c>
      <c r="O128" s="27" t="n">
        <v>3</v>
      </c>
      <c r="P128" s="28" t="str">
        <f aca="false">+VLOOKUP(O128,bio!$A$2:$B$4,2,FALSE())</f>
        <v>No bioeconomía</v>
      </c>
    </row>
    <row r="129" customFormat="false" ht="14.25" hidden="false" customHeight="false" outlineLevel="0" collapsed="false">
      <c r="A129" s="24" t="s">
        <v>1169</v>
      </c>
      <c r="B129" s="25" t="s">
        <v>1578</v>
      </c>
      <c r="C129" s="26" t="str">
        <f aca="false">+VLOOKUP(B129,'transacciones '!$A$2:$I$39,2,FALSE())</f>
        <v>ATC01</v>
      </c>
      <c r="D129" s="26" t="str">
        <f aca="false">+VLOOKUP(B129,'transacciones '!$A$2:$I$39,3,FALSE())</f>
        <v>Producción / Consumo intermedio</v>
      </c>
      <c r="E129" s="26" t="str">
        <f aca="false">+VLOOKUP(B129,'transacciones '!$A$2:$I$39,4,FALSE())</f>
        <v>Consumo</v>
      </c>
      <c r="F129" s="26" t="n">
        <f aca="false">+VLOOKUP(B129,'transacciones '!$A$2:$I$39,5,FALSE())</f>
        <v>2</v>
      </c>
      <c r="G129" s="26" t="str">
        <f aca="false">+VLOOKUP(B129,'transacciones '!$A$2:$I$39,6,FALSE())</f>
        <v>P2</v>
      </c>
      <c r="H129" s="26" t="str">
        <f aca="false">+VLOOKUP(B129,'transacciones '!$A$2:$I$39,7,FALSE())</f>
        <v>Consumo intermedio</v>
      </c>
      <c r="I129" s="26" t="s">
        <v>1516</v>
      </c>
      <c r="J129" s="26" t="s">
        <v>1517</v>
      </c>
      <c r="K129" s="11" t="s">
        <v>1513</v>
      </c>
      <c r="L129" s="27" t="str">
        <f aca="false">+VLOOKUP(K129,'Correl CIIU'!$A$1:$F$26,2,FALSE())</f>
        <v>Información y comunicaciones</v>
      </c>
      <c r="M129" s="27" t="str">
        <f aca="false">+VLOOKUP(K129,'Correl CIIU'!$A$1:$F$26,3,FALSE())</f>
        <v>Información y comunicaciones</v>
      </c>
      <c r="N129" s="27" t="str">
        <f aca="false">+VLOOKUP(K129,'Correl CIIU'!$A$1:$F$26,4,FALSE())</f>
        <v>Information and communication</v>
      </c>
      <c r="O129" s="27" t="n">
        <v>3</v>
      </c>
      <c r="P129" s="28" t="str">
        <f aca="false">+VLOOKUP(O129,bio!$A$2:$B$4,2,FALSE())</f>
        <v>No bioeconomía</v>
      </c>
    </row>
    <row r="130" customFormat="false" ht="14.25" hidden="false" customHeight="false" outlineLevel="0" collapsed="false">
      <c r="A130" s="24" t="s">
        <v>1171</v>
      </c>
      <c r="B130" s="25" t="s">
        <v>1578</v>
      </c>
      <c r="C130" s="26" t="str">
        <f aca="false">+VLOOKUP(B130,'transacciones '!$A$2:$I$39,2,FALSE())</f>
        <v>ATC01</v>
      </c>
      <c r="D130" s="26" t="str">
        <f aca="false">+VLOOKUP(B130,'transacciones '!$A$2:$I$39,3,FALSE())</f>
        <v>Producción / Consumo intermedio</v>
      </c>
      <c r="E130" s="26" t="str">
        <f aca="false">+VLOOKUP(B130,'transacciones '!$A$2:$I$39,4,FALSE())</f>
        <v>Consumo</v>
      </c>
      <c r="F130" s="26" t="n">
        <f aca="false">+VLOOKUP(B130,'transacciones '!$A$2:$I$39,5,FALSE())</f>
        <v>2</v>
      </c>
      <c r="G130" s="26" t="str">
        <f aca="false">+VLOOKUP(B130,'transacciones '!$A$2:$I$39,6,FALSE())</f>
        <v>P2</v>
      </c>
      <c r="H130" s="26" t="str">
        <f aca="false">+VLOOKUP(B130,'transacciones '!$A$2:$I$39,7,FALSE())</f>
        <v>Consumo intermedio</v>
      </c>
      <c r="I130" s="9" t="s">
        <v>1518</v>
      </c>
      <c r="J130" s="26" t="s">
        <v>1519</v>
      </c>
      <c r="K130" s="11" t="s">
        <v>1513</v>
      </c>
      <c r="L130" s="27" t="str">
        <f aca="false">+VLOOKUP(K130,'Correl CIIU'!$A$1:$F$26,2,FALSE())</f>
        <v>Información y comunicaciones</v>
      </c>
      <c r="M130" s="27" t="str">
        <f aca="false">+VLOOKUP(K130,'Correl CIIU'!$A$1:$F$26,3,FALSE())</f>
        <v>Información y comunicaciones</v>
      </c>
      <c r="N130" s="27" t="str">
        <f aca="false">+VLOOKUP(K130,'Correl CIIU'!$A$1:$F$26,4,FALSE())</f>
        <v>Information and communication</v>
      </c>
      <c r="O130" s="27" t="n">
        <v>3</v>
      </c>
      <c r="P130" s="28" t="str">
        <f aca="false">+VLOOKUP(O130,bio!$A$2:$B$4,2,FALSE())</f>
        <v>No bioeconomía</v>
      </c>
    </row>
    <row r="131" customFormat="false" ht="14.25" hidden="false" customHeight="false" outlineLevel="0" collapsed="false">
      <c r="A131" s="24" t="s">
        <v>1173</v>
      </c>
      <c r="B131" s="25" t="s">
        <v>1578</v>
      </c>
      <c r="C131" s="26" t="str">
        <f aca="false">+VLOOKUP(B131,'transacciones '!$A$2:$I$39,2,FALSE())</f>
        <v>ATC01</v>
      </c>
      <c r="D131" s="26" t="str">
        <f aca="false">+VLOOKUP(B131,'transacciones '!$A$2:$I$39,3,FALSE())</f>
        <v>Producción / Consumo intermedio</v>
      </c>
      <c r="E131" s="26" t="str">
        <f aca="false">+VLOOKUP(B131,'transacciones '!$A$2:$I$39,4,FALSE())</f>
        <v>Consumo</v>
      </c>
      <c r="F131" s="26" t="n">
        <f aca="false">+VLOOKUP(B131,'transacciones '!$A$2:$I$39,5,FALSE())</f>
        <v>2</v>
      </c>
      <c r="G131" s="26" t="str">
        <f aca="false">+VLOOKUP(B131,'transacciones '!$A$2:$I$39,6,FALSE())</f>
        <v>P2</v>
      </c>
      <c r="H131" s="26" t="str">
        <f aca="false">+VLOOKUP(B131,'transacciones '!$A$2:$I$39,7,FALSE())</f>
        <v>Consumo intermedio</v>
      </c>
      <c r="I131" s="26" t="s">
        <v>1520</v>
      </c>
      <c r="J131" s="26" t="s">
        <v>1521</v>
      </c>
      <c r="K131" s="11" t="s">
        <v>1522</v>
      </c>
      <c r="L131" s="27" t="str">
        <f aca="false">+VLOOKUP(K131,'Correl CIIU'!$A$1:$F$26,2,FALSE())</f>
        <v>Actividades financieras y de seguros</v>
      </c>
      <c r="M131" s="27" t="str">
        <f aca="false">+VLOOKUP(K131,'Correl CIIU'!$A$1:$F$26,3,FALSE())</f>
        <v>Finanzas y seguros</v>
      </c>
      <c r="N131" s="27" t="str">
        <f aca="false">+VLOOKUP(K131,'Correl CIIU'!$A$1:$F$26,4,FALSE())</f>
        <v>Financial and insurance activities</v>
      </c>
      <c r="O131" s="27" t="n">
        <v>3</v>
      </c>
      <c r="P131" s="28" t="str">
        <f aca="false">+VLOOKUP(O131,bio!$A$2:$B$4,2,FALSE())</f>
        <v>No bioeconomía</v>
      </c>
    </row>
    <row r="132" customFormat="false" ht="14.25" hidden="false" customHeight="false" outlineLevel="0" collapsed="false">
      <c r="A132" s="24" t="s">
        <v>1175</v>
      </c>
      <c r="B132" s="25" t="s">
        <v>1578</v>
      </c>
      <c r="C132" s="26" t="str">
        <f aca="false">+VLOOKUP(B132,'transacciones '!$A$2:$I$39,2,FALSE())</f>
        <v>ATC01</v>
      </c>
      <c r="D132" s="26" t="str">
        <f aca="false">+VLOOKUP(B132,'transacciones '!$A$2:$I$39,3,FALSE())</f>
        <v>Producción / Consumo intermedio</v>
      </c>
      <c r="E132" s="26" t="str">
        <f aca="false">+VLOOKUP(B132,'transacciones '!$A$2:$I$39,4,FALSE())</f>
        <v>Consumo</v>
      </c>
      <c r="F132" s="26" t="n">
        <f aca="false">+VLOOKUP(B132,'transacciones '!$A$2:$I$39,5,FALSE())</f>
        <v>2</v>
      </c>
      <c r="G132" s="26" t="str">
        <f aca="false">+VLOOKUP(B132,'transacciones '!$A$2:$I$39,6,FALSE())</f>
        <v>P2</v>
      </c>
      <c r="H132" s="26" t="str">
        <f aca="false">+VLOOKUP(B132,'transacciones '!$A$2:$I$39,7,FALSE())</f>
        <v>Consumo intermedio</v>
      </c>
      <c r="I132" s="9" t="s">
        <v>1523</v>
      </c>
      <c r="J132" s="26" t="s">
        <v>1524</v>
      </c>
      <c r="K132" s="11" t="s">
        <v>1525</v>
      </c>
      <c r="L132" s="27" t="str">
        <f aca="false">+VLOOKUP(K132,'Correl CIIU'!$A$1:$F$26,2,FALSE())</f>
        <v>Actividades inmobiliarias</v>
      </c>
      <c r="M132" s="27" t="str">
        <f aca="false">+VLOOKUP(K132,'Correl CIIU'!$A$1:$F$26,3,FALSE())</f>
        <v>Inmobiliarios</v>
      </c>
      <c r="N132" s="27" t="str">
        <f aca="false">+VLOOKUP(K132,'Correl CIIU'!$A$1:$F$26,4,FALSE())</f>
        <v>Real estate activities</v>
      </c>
      <c r="O132" s="27" t="n">
        <v>3</v>
      </c>
      <c r="P132" s="28" t="str">
        <f aca="false">+VLOOKUP(O132,bio!$A$2:$B$4,2,FALSE())</f>
        <v>No bioeconomía</v>
      </c>
    </row>
    <row r="133" customFormat="false" ht="14.25" hidden="false" customHeight="false" outlineLevel="0" collapsed="false">
      <c r="A133" s="24" t="s">
        <v>1177</v>
      </c>
      <c r="B133" s="25" t="s">
        <v>1578</v>
      </c>
      <c r="C133" s="26" t="str">
        <f aca="false">+VLOOKUP(B133,'transacciones '!$A$2:$I$39,2,FALSE())</f>
        <v>ATC01</v>
      </c>
      <c r="D133" s="26" t="str">
        <f aca="false">+VLOOKUP(B133,'transacciones '!$A$2:$I$39,3,FALSE())</f>
        <v>Producción / Consumo intermedio</v>
      </c>
      <c r="E133" s="26" t="str">
        <f aca="false">+VLOOKUP(B133,'transacciones '!$A$2:$I$39,4,FALSE())</f>
        <v>Consumo</v>
      </c>
      <c r="F133" s="26" t="n">
        <f aca="false">+VLOOKUP(B133,'transacciones '!$A$2:$I$39,5,FALSE())</f>
        <v>2</v>
      </c>
      <c r="G133" s="26" t="str">
        <f aca="false">+VLOOKUP(B133,'transacciones '!$A$2:$I$39,6,FALSE())</f>
        <v>P2</v>
      </c>
      <c r="H133" s="26" t="str">
        <f aca="false">+VLOOKUP(B133,'transacciones '!$A$2:$I$39,7,FALSE())</f>
        <v>Consumo intermedio</v>
      </c>
      <c r="I133" s="26" t="s">
        <v>1526</v>
      </c>
      <c r="J133" s="26" t="s">
        <v>1527</v>
      </c>
      <c r="K133" s="11" t="s">
        <v>1528</v>
      </c>
      <c r="L133" s="27" t="str">
        <f aca="false">+VLOOKUP(K133,'Correl CIIU'!$A$1:$F$26,2,FALSE())</f>
        <v>Actividades de servicios administrativos y de apoyo</v>
      </c>
      <c r="M133" s="27" t="str">
        <f aca="false">+VLOOKUP(K133,'Correl CIIU'!$A$1:$F$26,3,FALSE())</f>
        <v>Servicios administrativos</v>
      </c>
      <c r="N133" s="27" t="str">
        <f aca="false">+VLOOKUP(K133,'Correl CIIU'!$A$1:$F$26,4,FALSE())</f>
        <v>Administrative and support service activities</v>
      </c>
      <c r="O133" s="27" t="n">
        <v>3</v>
      </c>
      <c r="P133" s="28" t="str">
        <f aca="false">+VLOOKUP(O133,bio!$A$2:$B$4,2,FALSE())</f>
        <v>No bioeconomía</v>
      </c>
    </row>
    <row r="134" customFormat="false" ht="14.25" hidden="false" customHeight="false" outlineLevel="0" collapsed="false">
      <c r="A134" s="24" t="s">
        <v>1179</v>
      </c>
      <c r="B134" s="25" t="s">
        <v>1578</v>
      </c>
      <c r="C134" s="26" t="str">
        <f aca="false">+VLOOKUP(B134,'transacciones '!$A$2:$I$39,2,FALSE())</f>
        <v>ATC01</v>
      </c>
      <c r="D134" s="26" t="str">
        <f aca="false">+VLOOKUP(B134,'transacciones '!$A$2:$I$39,3,FALSE())</f>
        <v>Producción / Consumo intermedio</v>
      </c>
      <c r="E134" s="26" t="str">
        <f aca="false">+VLOOKUP(B134,'transacciones '!$A$2:$I$39,4,FALSE())</f>
        <v>Consumo</v>
      </c>
      <c r="F134" s="26" t="n">
        <f aca="false">+VLOOKUP(B134,'transacciones '!$A$2:$I$39,5,FALSE())</f>
        <v>2</v>
      </c>
      <c r="G134" s="26" t="str">
        <f aca="false">+VLOOKUP(B134,'transacciones '!$A$2:$I$39,6,FALSE())</f>
        <v>P2</v>
      </c>
      <c r="H134" s="26" t="str">
        <f aca="false">+VLOOKUP(B134,'transacciones '!$A$2:$I$39,7,FALSE())</f>
        <v>Consumo intermedio</v>
      </c>
      <c r="I134" s="9" t="s">
        <v>1529</v>
      </c>
      <c r="J134" s="26" t="s">
        <v>1530</v>
      </c>
      <c r="K134" s="11" t="s">
        <v>1531</v>
      </c>
      <c r="L134" s="27" t="str">
        <f aca="false">+VLOOKUP(K134,'Correl CIIU'!$A$1:$F$26,2,FALSE())</f>
        <v>Actividades profesionales, científicas y técnicas</v>
      </c>
      <c r="M134" s="27" t="str">
        <f aca="false">+VLOOKUP(K134,'Correl CIIU'!$A$1:$F$26,3,FALSE())</f>
        <v>Servicios profesionales</v>
      </c>
      <c r="N134" s="27" t="str">
        <f aca="false">+VLOOKUP(K134,'Correl CIIU'!$A$1:$F$26,4,FALSE())</f>
        <v>Professional, scientific and technical activities</v>
      </c>
      <c r="O134" s="27" t="n">
        <v>3</v>
      </c>
      <c r="P134" s="28" t="str">
        <f aca="false">+VLOOKUP(O134,bio!$A$2:$B$4,2,FALSE())</f>
        <v>No bioeconomía</v>
      </c>
    </row>
    <row r="135" customFormat="false" ht="14.25" hidden="false" customHeight="false" outlineLevel="0" collapsed="false">
      <c r="A135" s="24" t="s">
        <v>1181</v>
      </c>
      <c r="B135" s="25" t="s">
        <v>1578</v>
      </c>
      <c r="C135" s="26" t="str">
        <f aca="false">+VLOOKUP(B135,'transacciones '!$A$2:$I$39,2,FALSE())</f>
        <v>ATC01</v>
      </c>
      <c r="D135" s="26" t="str">
        <f aca="false">+VLOOKUP(B135,'transacciones '!$A$2:$I$39,3,FALSE())</f>
        <v>Producción / Consumo intermedio</v>
      </c>
      <c r="E135" s="26" t="str">
        <f aca="false">+VLOOKUP(B135,'transacciones '!$A$2:$I$39,4,FALSE())</f>
        <v>Consumo</v>
      </c>
      <c r="F135" s="26" t="n">
        <f aca="false">+VLOOKUP(B135,'transacciones '!$A$2:$I$39,5,FALSE())</f>
        <v>2</v>
      </c>
      <c r="G135" s="26" t="str">
        <f aca="false">+VLOOKUP(B135,'transacciones '!$A$2:$I$39,6,FALSE())</f>
        <v>P2</v>
      </c>
      <c r="H135" s="26" t="str">
        <f aca="false">+VLOOKUP(B135,'transacciones '!$A$2:$I$39,7,FALSE())</f>
        <v>Consumo intermedio</v>
      </c>
      <c r="I135" s="26" t="s">
        <v>1532</v>
      </c>
      <c r="J135" s="26" t="s">
        <v>1533</v>
      </c>
      <c r="K135" s="11" t="s">
        <v>1531</v>
      </c>
      <c r="L135" s="27" t="str">
        <f aca="false">+VLOOKUP(K135,'Correl CIIU'!$A$1:$F$26,2,FALSE())</f>
        <v>Actividades profesionales, científicas y técnicas</v>
      </c>
      <c r="M135" s="27" t="str">
        <f aca="false">+VLOOKUP(K135,'Correl CIIU'!$A$1:$F$26,3,FALSE())</f>
        <v>Servicios profesionales</v>
      </c>
      <c r="N135" s="27" t="str">
        <f aca="false">+VLOOKUP(K135,'Correl CIIU'!$A$1:$F$26,4,FALSE())</f>
        <v>Professional, scientific and technical activities</v>
      </c>
      <c r="O135" s="27" t="n">
        <v>2</v>
      </c>
      <c r="P135" s="28" t="str">
        <f aca="false">+VLOOKUP(O135,bio!$A$2:$B$4,2,FALSE())</f>
        <v>Bioeconomía extendida</v>
      </c>
    </row>
    <row r="136" customFormat="false" ht="14.25" hidden="false" customHeight="false" outlineLevel="0" collapsed="false">
      <c r="A136" s="24" t="s">
        <v>1183</v>
      </c>
      <c r="B136" s="25" t="s">
        <v>1578</v>
      </c>
      <c r="C136" s="26" t="str">
        <f aca="false">+VLOOKUP(B136,'transacciones '!$A$2:$I$39,2,FALSE())</f>
        <v>ATC01</v>
      </c>
      <c r="D136" s="26" t="str">
        <f aca="false">+VLOOKUP(B136,'transacciones '!$A$2:$I$39,3,FALSE())</f>
        <v>Producción / Consumo intermedio</v>
      </c>
      <c r="E136" s="26" t="str">
        <f aca="false">+VLOOKUP(B136,'transacciones '!$A$2:$I$39,4,FALSE())</f>
        <v>Consumo</v>
      </c>
      <c r="F136" s="26" t="n">
        <f aca="false">+VLOOKUP(B136,'transacciones '!$A$2:$I$39,5,FALSE())</f>
        <v>2</v>
      </c>
      <c r="G136" s="26" t="str">
        <f aca="false">+VLOOKUP(B136,'transacciones '!$A$2:$I$39,6,FALSE())</f>
        <v>P2</v>
      </c>
      <c r="H136" s="26" t="str">
        <f aca="false">+VLOOKUP(B136,'transacciones '!$A$2:$I$39,7,FALSE())</f>
        <v>Consumo intermedio</v>
      </c>
      <c r="I136" s="9" t="s">
        <v>1534</v>
      </c>
      <c r="J136" s="26" t="s">
        <v>1535</v>
      </c>
      <c r="K136" s="11" t="s">
        <v>1525</v>
      </c>
      <c r="L136" s="27" t="str">
        <f aca="false">+VLOOKUP(K136,'Correl CIIU'!$A$1:$F$26,2,FALSE())</f>
        <v>Actividades inmobiliarias</v>
      </c>
      <c r="M136" s="27" t="str">
        <f aca="false">+VLOOKUP(K136,'Correl CIIU'!$A$1:$F$26,3,FALSE())</f>
        <v>Inmobiliarios</v>
      </c>
      <c r="N136" s="27" t="str">
        <f aca="false">+VLOOKUP(K136,'Correl CIIU'!$A$1:$F$26,4,FALSE())</f>
        <v>Real estate activities</v>
      </c>
      <c r="O136" s="27" t="n">
        <v>2</v>
      </c>
      <c r="P136" s="28" t="str">
        <f aca="false">+VLOOKUP(O136,bio!$A$2:$B$4,2,FALSE())</f>
        <v>Bioeconomía extendida</v>
      </c>
    </row>
    <row r="137" customFormat="false" ht="14.25" hidden="false" customHeight="false" outlineLevel="0" collapsed="false">
      <c r="A137" s="24" t="s">
        <v>1185</v>
      </c>
      <c r="B137" s="25" t="s">
        <v>1578</v>
      </c>
      <c r="C137" s="26" t="str">
        <f aca="false">+VLOOKUP(B137,'transacciones '!$A$2:$I$39,2,FALSE())</f>
        <v>ATC01</v>
      </c>
      <c r="D137" s="26" t="str">
        <f aca="false">+VLOOKUP(B137,'transacciones '!$A$2:$I$39,3,FALSE())</f>
        <v>Producción / Consumo intermedio</v>
      </c>
      <c r="E137" s="26" t="str">
        <f aca="false">+VLOOKUP(B137,'transacciones '!$A$2:$I$39,4,FALSE())</f>
        <v>Consumo</v>
      </c>
      <c r="F137" s="26" t="n">
        <f aca="false">+VLOOKUP(B137,'transacciones '!$A$2:$I$39,5,FALSE())</f>
        <v>2</v>
      </c>
      <c r="G137" s="26" t="str">
        <f aca="false">+VLOOKUP(B137,'transacciones '!$A$2:$I$39,6,FALSE())</f>
        <v>P2</v>
      </c>
      <c r="H137" s="26" t="str">
        <f aca="false">+VLOOKUP(B137,'transacciones '!$A$2:$I$39,7,FALSE())</f>
        <v>Consumo intermedio</v>
      </c>
      <c r="I137" s="26" t="s">
        <v>1536</v>
      </c>
      <c r="J137" s="26" t="s">
        <v>1537</v>
      </c>
      <c r="K137" s="11" t="s">
        <v>1528</v>
      </c>
      <c r="L137" s="27" t="str">
        <f aca="false">+VLOOKUP(K137,'Correl CIIU'!$A$1:$F$26,2,FALSE())</f>
        <v>Actividades de servicios administrativos y de apoyo</v>
      </c>
      <c r="M137" s="27" t="str">
        <f aca="false">+VLOOKUP(K137,'Correl CIIU'!$A$1:$F$26,3,FALSE())</f>
        <v>Servicios administrativos</v>
      </c>
      <c r="N137" s="27" t="str">
        <f aca="false">+VLOOKUP(K137,'Correl CIIU'!$A$1:$F$26,4,FALSE())</f>
        <v>Administrative and support service activities</v>
      </c>
      <c r="O137" s="27" t="n">
        <v>3</v>
      </c>
      <c r="P137" s="28" t="str">
        <f aca="false">+VLOOKUP(O137,bio!$A$2:$B$4,2,FALSE())</f>
        <v>No bioeconomía</v>
      </c>
    </row>
    <row r="138" customFormat="false" ht="14.25" hidden="false" customHeight="false" outlineLevel="0" collapsed="false">
      <c r="A138" s="24" t="s">
        <v>1187</v>
      </c>
      <c r="B138" s="25" t="s">
        <v>1578</v>
      </c>
      <c r="C138" s="26" t="str">
        <f aca="false">+VLOOKUP(B138,'transacciones '!$A$2:$I$39,2,FALSE())</f>
        <v>ATC01</v>
      </c>
      <c r="D138" s="26" t="str">
        <f aca="false">+VLOOKUP(B138,'transacciones '!$A$2:$I$39,3,FALSE())</f>
        <v>Producción / Consumo intermedio</v>
      </c>
      <c r="E138" s="26" t="str">
        <f aca="false">+VLOOKUP(B138,'transacciones '!$A$2:$I$39,4,FALSE())</f>
        <v>Consumo</v>
      </c>
      <c r="F138" s="26" t="n">
        <f aca="false">+VLOOKUP(B138,'transacciones '!$A$2:$I$39,5,FALSE())</f>
        <v>2</v>
      </c>
      <c r="G138" s="26" t="str">
        <f aca="false">+VLOOKUP(B138,'transacciones '!$A$2:$I$39,6,FALSE())</f>
        <v>P2</v>
      </c>
      <c r="H138" s="26" t="str">
        <f aca="false">+VLOOKUP(B138,'transacciones '!$A$2:$I$39,7,FALSE())</f>
        <v>Consumo intermedio</v>
      </c>
      <c r="I138" s="9" t="s">
        <v>1538</v>
      </c>
      <c r="J138" s="26" t="s">
        <v>1539</v>
      </c>
      <c r="K138" s="11" t="s">
        <v>1540</v>
      </c>
      <c r="L138" s="27" t="str">
        <f aca="false">+VLOOKUP(K138,'Correl CIIU'!$A$1:$F$26,2,FALSE())</f>
        <v>Otras actividades de servicios</v>
      </c>
      <c r="M138" s="27" t="str">
        <f aca="false">+VLOOKUP(K138,'Correl CIIU'!$A$1:$F$26,3,FALSE())</f>
        <v>Otros servicios</v>
      </c>
      <c r="N138" s="27" t="str">
        <f aca="false">+VLOOKUP(K138,'Correl CIIU'!$A$1:$F$26,4,FALSE())</f>
        <v>Other service activities</v>
      </c>
      <c r="O138" s="27" t="n">
        <v>3</v>
      </c>
      <c r="P138" s="28" t="str">
        <f aca="false">+VLOOKUP(O138,bio!$A$2:$B$4,2,FALSE())</f>
        <v>No bioeconomía</v>
      </c>
    </row>
    <row r="139" customFormat="false" ht="14.25" hidden="false" customHeight="false" outlineLevel="0" collapsed="false">
      <c r="A139" s="24" t="s">
        <v>1189</v>
      </c>
      <c r="B139" s="25" t="s">
        <v>1578</v>
      </c>
      <c r="C139" s="26" t="str">
        <f aca="false">+VLOOKUP(B139,'transacciones '!$A$2:$I$39,2,FALSE())</f>
        <v>ATC01</v>
      </c>
      <c r="D139" s="26" t="str">
        <f aca="false">+VLOOKUP(B139,'transacciones '!$A$2:$I$39,3,FALSE())</f>
        <v>Producción / Consumo intermedio</v>
      </c>
      <c r="E139" s="26" t="str">
        <f aca="false">+VLOOKUP(B139,'transacciones '!$A$2:$I$39,4,FALSE())</f>
        <v>Consumo</v>
      </c>
      <c r="F139" s="26" t="n">
        <f aca="false">+VLOOKUP(B139,'transacciones '!$A$2:$I$39,5,FALSE())</f>
        <v>2</v>
      </c>
      <c r="G139" s="26" t="str">
        <f aca="false">+VLOOKUP(B139,'transacciones '!$A$2:$I$39,6,FALSE())</f>
        <v>P2</v>
      </c>
      <c r="H139" s="26" t="str">
        <f aca="false">+VLOOKUP(B139,'transacciones '!$A$2:$I$39,7,FALSE())</f>
        <v>Consumo intermedio</v>
      </c>
      <c r="I139" s="26" t="s">
        <v>1541</v>
      </c>
      <c r="J139" s="26" t="s">
        <v>1542</v>
      </c>
      <c r="K139" s="11" t="s">
        <v>1543</v>
      </c>
      <c r="L139" s="27" t="str">
        <f aca="false">+VLOOKUP(K139,'Correl CIIU'!$A$1:$F$26,2,FALSE())</f>
        <v>Administración pública y defensa; planes de seguridad social de afiliación obligatoria</v>
      </c>
      <c r="M139" s="27" t="str">
        <f aca="false">+VLOOKUP(K139,'Correl CIIU'!$A$1:$F$26,3,FALSE())</f>
        <v>Administración pública</v>
      </c>
      <c r="N139" s="27" t="str">
        <f aca="false">+VLOOKUP(K139,'Correl CIIU'!$A$1:$F$26,4,FALSE())</f>
        <v>Public administration and defence; compulsory social security</v>
      </c>
      <c r="O139" s="27" t="n">
        <v>3</v>
      </c>
      <c r="P139" s="28" t="str">
        <f aca="false">+VLOOKUP(O139,bio!$A$2:$B$4,2,FALSE())</f>
        <v>No bioeconomía</v>
      </c>
    </row>
    <row r="140" customFormat="false" ht="14.25" hidden="false" customHeight="false" outlineLevel="0" collapsed="false">
      <c r="A140" s="24" t="s">
        <v>1191</v>
      </c>
      <c r="B140" s="25" t="s">
        <v>1578</v>
      </c>
      <c r="C140" s="26" t="str">
        <f aca="false">+VLOOKUP(B140,'transacciones '!$A$2:$I$39,2,FALSE())</f>
        <v>ATC01</v>
      </c>
      <c r="D140" s="26" t="str">
        <f aca="false">+VLOOKUP(B140,'transacciones '!$A$2:$I$39,3,FALSE())</f>
        <v>Producción / Consumo intermedio</v>
      </c>
      <c r="E140" s="26" t="str">
        <f aca="false">+VLOOKUP(B140,'transacciones '!$A$2:$I$39,4,FALSE())</f>
        <v>Consumo</v>
      </c>
      <c r="F140" s="26" t="n">
        <f aca="false">+VLOOKUP(B140,'transacciones '!$A$2:$I$39,5,FALSE())</f>
        <v>2</v>
      </c>
      <c r="G140" s="26" t="str">
        <f aca="false">+VLOOKUP(B140,'transacciones '!$A$2:$I$39,6,FALSE())</f>
        <v>P2</v>
      </c>
      <c r="H140" s="26" t="str">
        <f aca="false">+VLOOKUP(B140,'transacciones '!$A$2:$I$39,7,FALSE())</f>
        <v>Consumo intermedio</v>
      </c>
      <c r="I140" s="9" t="s">
        <v>1544</v>
      </c>
      <c r="J140" s="26" t="s">
        <v>1545</v>
      </c>
      <c r="K140" s="11" t="s">
        <v>1546</v>
      </c>
      <c r="L140" s="27" t="str">
        <f aca="false">+VLOOKUP(K140,'Correl CIIU'!$A$1:$F$26,2,FALSE())</f>
        <v>Enseñanza</v>
      </c>
      <c r="M140" s="27" t="str">
        <f aca="false">+VLOOKUP(K140,'Correl CIIU'!$A$1:$F$26,3,FALSE())</f>
        <v>Enseñanza</v>
      </c>
      <c r="N140" s="27" t="str">
        <f aca="false">+VLOOKUP(K140,'Correl CIIU'!$A$1:$F$26,4,FALSE())</f>
        <v>Education</v>
      </c>
      <c r="O140" s="27" t="n">
        <v>3</v>
      </c>
      <c r="P140" s="28" t="str">
        <f aca="false">+VLOOKUP(O140,bio!$A$2:$B$4,2,FALSE())</f>
        <v>No bioeconomía</v>
      </c>
    </row>
    <row r="141" customFormat="false" ht="14.25" hidden="false" customHeight="false" outlineLevel="0" collapsed="false">
      <c r="A141" s="24" t="s">
        <v>1193</v>
      </c>
      <c r="B141" s="25" t="s">
        <v>1578</v>
      </c>
      <c r="C141" s="26" t="str">
        <f aca="false">+VLOOKUP(B141,'transacciones '!$A$2:$I$39,2,FALSE())</f>
        <v>ATC01</v>
      </c>
      <c r="D141" s="26" t="str">
        <f aca="false">+VLOOKUP(B141,'transacciones '!$A$2:$I$39,3,FALSE())</f>
        <v>Producción / Consumo intermedio</v>
      </c>
      <c r="E141" s="26" t="str">
        <f aca="false">+VLOOKUP(B141,'transacciones '!$A$2:$I$39,4,FALSE())</f>
        <v>Consumo</v>
      </c>
      <c r="F141" s="26" t="n">
        <f aca="false">+VLOOKUP(B141,'transacciones '!$A$2:$I$39,5,FALSE())</f>
        <v>2</v>
      </c>
      <c r="G141" s="26" t="str">
        <f aca="false">+VLOOKUP(B141,'transacciones '!$A$2:$I$39,6,FALSE())</f>
        <v>P2</v>
      </c>
      <c r="H141" s="26" t="str">
        <f aca="false">+VLOOKUP(B141,'transacciones '!$A$2:$I$39,7,FALSE())</f>
        <v>Consumo intermedio</v>
      </c>
      <c r="I141" s="26" t="s">
        <v>1547</v>
      </c>
      <c r="J141" s="26" t="s">
        <v>1548</v>
      </c>
      <c r="K141" s="11" t="s">
        <v>1546</v>
      </c>
      <c r="L141" s="27" t="str">
        <f aca="false">+VLOOKUP(K141,'Correl CIIU'!$A$1:$F$26,2,FALSE())</f>
        <v>Enseñanza</v>
      </c>
      <c r="M141" s="27" t="str">
        <f aca="false">+VLOOKUP(K141,'Correl CIIU'!$A$1:$F$26,3,FALSE())</f>
        <v>Enseñanza</v>
      </c>
      <c r="N141" s="27" t="str">
        <f aca="false">+VLOOKUP(K141,'Correl CIIU'!$A$1:$F$26,4,FALSE())</f>
        <v>Education</v>
      </c>
      <c r="O141" s="27" t="n">
        <v>3</v>
      </c>
      <c r="P141" s="28" t="str">
        <f aca="false">+VLOOKUP(O141,bio!$A$2:$B$4,2,FALSE())</f>
        <v>No bioeconomía</v>
      </c>
    </row>
    <row r="142" customFormat="false" ht="14.25" hidden="false" customHeight="false" outlineLevel="0" collapsed="false">
      <c r="A142" s="24" t="s">
        <v>1195</v>
      </c>
      <c r="B142" s="25" t="s">
        <v>1578</v>
      </c>
      <c r="C142" s="26" t="str">
        <f aca="false">+VLOOKUP(B142,'transacciones '!$A$2:$I$39,2,FALSE())</f>
        <v>ATC01</v>
      </c>
      <c r="D142" s="26" t="str">
        <f aca="false">+VLOOKUP(B142,'transacciones '!$A$2:$I$39,3,FALSE())</f>
        <v>Producción / Consumo intermedio</v>
      </c>
      <c r="E142" s="26" t="str">
        <f aca="false">+VLOOKUP(B142,'transacciones '!$A$2:$I$39,4,FALSE())</f>
        <v>Consumo</v>
      </c>
      <c r="F142" s="26" t="n">
        <f aca="false">+VLOOKUP(B142,'transacciones '!$A$2:$I$39,5,FALSE())</f>
        <v>2</v>
      </c>
      <c r="G142" s="26" t="str">
        <f aca="false">+VLOOKUP(B142,'transacciones '!$A$2:$I$39,6,FALSE())</f>
        <v>P2</v>
      </c>
      <c r="H142" s="26" t="str">
        <f aca="false">+VLOOKUP(B142,'transacciones '!$A$2:$I$39,7,FALSE())</f>
        <v>Consumo intermedio</v>
      </c>
      <c r="I142" s="9" t="s">
        <v>1549</v>
      </c>
      <c r="J142" s="26" t="s">
        <v>1550</v>
      </c>
      <c r="K142" s="11" t="s">
        <v>1551</v>
      </c>
      <c r="L142" s="27" t="str">
        <f aca="false">+VLOOKUP(K142,'Correl CIIU'!$A$1:$F$26,2,FALSE())</f>
        <v>Actividades de atención de la salud humana y de asistencia social</v>
      </c>
      <c r="M142" s="27" t="str">
        <f aca="false">+VLOOKUP(K142,'Correl CIIU'!$A$1:$F$26,3,FALSE())</f>
        <v>Salud</v>
      </c>
      <c r="N142" s="27" t="str">
        <f aca="false">+VLOOKUP(K142,'Correl CIIU'!$A$1:$F$26,4,FALSE())</f>
        <v>Human health and social work activities</v>
      </c>
      <c r="O142" s="27" t="n">
        <v>3</v>
      </c>
      <c r="P142" s="28" t="str">
        <f aca="false">+VLOOKUP(O142,bio!$A$2:$B$4,2,FALSE())</f>
        <v>No bioeconomía</v>
      </c>
    </row>
    <row r="143" customFormat="false" ht="14.25" hidden="false" customHeight="false" outlineLevel="0" collapsed="false">
      <c r="A143" s="24" t="s">
        <v>1197</v>
      </c>
      <c r="B143" s="25" t="s">
        <v>1578</v>
      </c>
      <c r="C143" s="26" t="str">
        <f aca="false">+VLOOKUP(B143,'transacciones '!$A$2:$I$39,2,FALSE())</f>
        <v>ATC01</v>
      </c>
      <c r="D143" s="26" t="str">
        <f aca="false">+VLOOKUP(B143,'transacciones '!$A$2:$I$39,3,FALSE())</f>
        <v>Producción / Consumo intermedio</v>
      </c>
      <c r="E143" s="26" t="str">
        <f aca="false">+VLOOKUP(B143,'transacciones '!$A$2:$I$39,4,FALSE())</f>
        <v>Consumo</v>
      </c>
      <c r="F143" s="26" t="n">
        <f aca="false">+VLOOKUP(B143,'transacciones '!$A$2:$I$39,5,FALSE())</f>
        <v>2</v>
      </c>
      <c r="G143" s="26" t="str">
        <f aca="false">+VLOOKUP(B143,'transacciones '!$A$2:$I$39,6,FALSE())</f>
        <v>P2</v>
      </c>
      <c r="H143" s="26" t="str">
        <f aca="false">+VLOOKUP(B143,'transacciones '!$A$2:$I$39,7,FALSE())</f>
        <v>Consumo intermedio</v>
      </c>
      <c r="I143" s="26" t="s">
        <v>1552</v>
      </c>
      <c r="J143" s="26" t="s">
        <v>1553</v>
      </c>
      <c r="K143" s="11" t="s">
        <v>1551</v>
      </c>
      <c r="L143" s="27" t="str">
        <f aca="false">+VLOOKUP(K143,'Correl CIIU'!$A$1:$F$26,2,FALSE())</f>
        <v>Actividades de atención de la salud humana y de asistencia social</v>
      </c>
      <c r="M143" s="27" t="str">
        <f aca="false">+VLOOKUP(K143,'Correl CIIU'!$A$1:$F$26,3,FALSE())</f>
        <v>Salud</v>
      </c>
      <c r="N143" s="27" t="str">
        <f aca="false">+VLOOKUP(K143,'Correl CIIU'!$A$1:$F$26,4,FALSE())</f>
        <v>Human health and social work activities</v>
      </c>
      <c r="O143" s="27" t="n">
        <v>3</v>
      </c>
      <c r="P143" s="28" t="str">
        <f aca="false">+VLOOKUP(O143,bio!$A$2:$B$4,2,FALSE())</f>
        <v>No bioeconomía</v>
      </c>
    </row>
    <row r="144" customFormat="false" ht="14.25" hidden="false" customHeight="false" outlineLevel="0" collapsed="false">
      <c r="A144" s="24" t="s">
        <v>1199</v>
      </c>
      <c r="B144" s="25" t="s">
        <v>1578</v>
      </c>
      <c r="C144" s="26" t="str">
        <f aca="false">+VLOOKUP(B144,'transacciones '!$A$2:$I$39,2,FALSE())</f>
        <v>ATC01</v>
      </c>
      <c r="D144" s="26" t="str">
        <f aca="false">+VLOOKUP(B144,'transacciones '!$A$2:$I$39,3,FALSE())</f>
        <v>Producción / Consumo intermedio</v>
      </c>
      <c r="E144" s="26" t="str">
        <f aca="false">+VLOOKUP(B144,'transacciones '!$A$2:$I$39,4,FALSE())</f>
        <v>Consumo</v>
      </c>
      <c r="F144" s="26" t="n">
        <f aca="false">+VLOOKUP(B144,'transacciones '!$A$2:$I$39,5,FALSE())</f>
        <v>2</v>
      </c>
      <c r="G144" s="26" t="str">
        <f aca="false">+VLOOKUP(B144,'transacciones '!$A$2:$I$39,6,FALSE())</f>
        <v>P2</v>
      </c>
      <c r="H144" s="26" t="str">
        <f aca="false">+VLOOKUP(B144,'transacciones '!$A$2:$I$39,7,FALSE())</f>
        <v>Consumo intermedio</v>
      </c>
      <c r="I144" s="9" t="s">
        <v>1554</v>
      </c>
      <c r="J144" s="26" t="s">
        <v>1555</v>
      </c>
      <c r="K144" s="11" t="s">
        <v>1556</v>
      </c>
      <c r="L144" s="27" t="str">
        <f aca="false">+VLOOKUP(K144,'Correl CIIU'!$A$1:$F$26,2,FALSE())</f>
        <v>Actividades artísticas, de entretenimiento y recreativas</v>
      </c>
      <c r="M144" s="27" t="str">
        <f aca="false">+VLOOKUP(K144,'Correl CIIU'!$A$1:$F$26,3,FALSE())</f>
        <v>Recreación</v>
      </c>
      <c r="N144" s="27" t="str">
        <f aca="false">+VLOOKUP(K144,'Correl CIIU'!$A$1:$F$26,4,FALSE())</f>
        <v>Arts, entertainment and recreation</v>
      </c>
      <c r="O144" s="27" t="n">
        <v>3</v>
      </c>
      <c r="P144" s="28" t="str">
        <f aca="false">+VLOOKUP(O145,bio!$A$2:$B$4,2,FALSE())</f>
        <v>No bioeconomía</v>
      </c>
    </row>
    <row r="145" customFormat="false" ht="14.25" hidden="false" customHeight="false" outlineLevel="0" collapsed="false">
      <c r="A145" s="24" t="s">
        <v>1201</v>
      </c>
      <c r="B145" s="25" t="s">
        <v>1578</v>
      </c>
      <c r="C145" s="26" t="str">
        <f aca="false">+VLOOKUP(B145,'transacciones '!$A$2:$I$39,2,FALSE())</f>
        <v>ATC01</v>
      </c>
      <c r="D145" s="26" t="str">
        <f aca="false">+VLOOKUP(B145,'transacciones '!$A$2:$I$39,3,FALSE())</f>
        <v>Producción / Consumo intermedio</v>
      </c>
      <c r="E145" s="26" t="str">
        <f aca="false">+VLOOKUP(B145,'transacciones '!$A$2:$I$39,4,FALSE())</f>
        <v>Consumo</v>
      </c>
      <c r="F145" s="26" t="n">
        <f aca="false">+VLOOKUP(B145,'transacciones '!$A$2:$I$39,5,FALSE())</f>
        <v>2</v>
      </c>
      <c r="G145" s="26" t="str">
        <f aca="false">+VLOOKUP(B145,'transacciones '!$A$2:$I$39,6,FALSE())</f>
        <v>P2</v>
      </c>
      <c r="H145" s="26" t="str">
        <f aca="false">+VLOOKUP(B145,'transacciones '!$A$2:$I$39,7,FALSE())</f>
        <v>Consumo intermedio</v>
      </c>
      <c r="I145" s="26" t="s">
        <v>1557</v>
      </c>
      <c r="J145" s="26" t="s">
        <v>1558</v>
      </c>
      <c r="K145" s="11" t="s">
        <v>1556</v>
      </c>
      <c r="L145" s="27" t="str">
        <f aca="false">+VLOOKUP(K145,'Correl CIIU'!$A$1:$F$26,2,FALSE())</f>
        <v>Actividades artísticas, de entretenimiento y recreativas</v>
      </c>
      <c r="M145" s="27" t="str">
        <f aca="false">+VLOOKUP(K145,'Correl CIIU'!$A$1:$F$26,3,FALSE())</f>
        <v>Recreación</v>
      </c>
      <c r="N145" s="27" t="str">
        <f aca="false">+VLOOKUP(K145,'Correl CIIU'!$A$1:$F$26,4,FALSE())</f>
        <v>Arts, entertainment and recreation</v>
      </c>
      <c r="O145" s="27" t="n">
        <v>3</v>
      </c>
      <c r="P145" s="28" t="str">
        <f aca="false">+VLOOKUP(O146,bio!$A$2:$B$4,2,FALSE())</f>
        <v>No bioeconomía</v>
      </c>
    </row>
    <row r="146" customFormat="false" ht="14.25" hidden="false" customHeight="false" outlineLevel="0" collapsed="false">
      <c r="A146" s="24" t="s">
        <v>1203</v>
      </c>
      <c r="B146" s="25" t="s">
        <v>1578</v>
      </c>
      <c r="C146" s="26" t="str">
        <f aca="false">+VLOOKUP(B146,'transacciones '!$A$2:$I$39,2,FALSE())</f>
        <v>ATC01</v>
      </c>
      <c r="D146" s="26" t="str">
        <f aca="false">+VLOOKUP(B146,'transacciones '!$A$2:$I$39,3,FALSE())</f>
        <v>Producción / Consumo intermedio</v>
      </c>
      <c r="E146" s="26" t="str">
        <f aca="false">+VLOOKUP(B146,'transacciones '!$A$2:$I$39,4,FALSE())</f>
        <v>Consumo</v>
      </c>
      <c r="F146" s="26" t="n">
        <f aca="false">+VLOOKUP(B146,'transacciones '!$A$2:$I$39,5,FALSE())</f>
        <v>2</v>
      </c>
      <c r="G146" s="26" t="str">
        <f aca="false">+VLOOKUP(B146,'transacciones '!$A$2:$I$39,6,FALSE())</f>
        <v>P2</v>
      </c>
      <c r="H146" s="26" t="str">
        <f aca="false">+VLOOKUP(B146,'transacciones '!$A$2:$I$39,7,FALSE())</f>
        <v>Consumo intermedio</v>
      </c>
      <c r="I146" s="9" t="s">
        <v>1559</v>
      </c>
      <c r="J146" s="26" t="s">
        <v>1560</v>
      </c>
      <c r="K146" s="11" t="s">
        <v>1561</v>
      </c>
      <c r="L146" s="27" t="str">
        <f aca="false">+VLOOKUP(K146,'Correl CIIU'!$A$1:$F$26,2,FALSE())</f>
        <v>Actividades de los hogares como empleadores; actividades no diferenciadas de los hogares como productores de bienes y servicios para uso propio</v>
      </c>
      <c r="M146" s="27" t="str">
        <f aca="false">+VLOOKUP(K146,'Correl CIIU'!$A$1:$F$26,3,FALSE())</f>
        <v>Hogares como empleadores</v>
      </c>
      <c r="N146" s="27" t="str">
        <f aca="false">+VLOOKUP(K146,'Correl CIIU'!$A$1:$F$26,4,FALSE())</f>
        <v>Activities of households as employers; undifferentiated goods- and services-producing activities of households for own use</v>
      </c>
      <c r="O146" s="27" t="n">
        <v>3</v>
      </c>
      <c r="P146" s="28" t="str">
        <f aca="false">+VLOOKUP(O146,bio!$A$2:$B$4,2,FALSE())</f>
        <v>No bioeconomía</v>
      </c>
    </row>
    <row r="147" customFormat="false" ht="14.25" hidden="false" customHeight="false" outlineLevel="0" collapsed="false">
      <c r="A147" s="31" t="s">
        <v>1205</v>
      </c>
      <c r="B147" s="38"/>
      <c r="C147" s="39"/>
      <c r="D147" s="39"/>
      <c r="E147" s="39"/>
      <c r="F147" s="39"/>
      <c r="G147" s="39"/>
      <c r="H147" s="39"/>
      <c r="I147" s="33" t="s">
        <v>1565</v>
      </c>
      <c r="J147" s="33" t="s">
        <v>1562</v>
      </c>
      <c r="K147" s="34"/>
      <c r="L147" s="34"/>
      <c r="M147" s="34"/>
      <c r="N147" s="34"/>
      <c r="O147" s="34"/>
      <c r="P147" s="35"/>
    </row>
    <row r="148" customFormat="false" ht="14.25" hidden="false" customHeight="false" outlineLevel="0" collapsed="false">
      <c r="A148" s="24" t="s">
        <v>1207</v>
      </c>
      <c r="B148" s="25" t="s">
        <v>1579</v>
      </c>
      <c r="C148" s="26" t="str">
        <f aca="false">+VLOOKUP(B148,'transacciones '!$A$2:$I$39,2,FALSE())</f>
        <v>ATC02</v>
      </c>
      <c r="D148" s="26" t="str">
        <f aca="false">+VLOOKUP(B148,'transacciones '!$A$2:$I$39,3,FALSE())</f>
        <v>Exportaciones / Importaciones</v>
      </c>
      <c r="E148" s="26" t="str">
        <f aca="false">+VLOOKUP(B148,'transacciones '!$A$2:$I$39,4,FALSE())</f>
        <v>Exportaciones de bienes y servicios</v>
      </c>
      <c r="F148" s="26" t="n">
        <f aca="false">+VLOOKUP(B148,'transacciones '!$A$2:$I$39,5,FALSE())</f>
        <v>6</v>
      </c>
      <c r="G148" s="26" t="str">
        <f aca="false">+VLOOKUP(B148,'transacciones '!$A$2:$I$39,6,FALSE())</f>
        <v>P6</v>
      </c>
      <c r="H148" s="26" t="str">
        <f aca="false">+VLOOKUP(B148,'transacciones '!$A$2:$I$39,7,FALSE())</f>
        <v>Exportaciones de bienes y servicios</v>
      </c>
      <c r="I148" s="26" t="s">
        <v>1565</v>
      </c>
      <c r="J148" s="26" t="s">
        <v>1580</v>
      </c>
      <c r="K148" s="27" t="s">
        <v>1565</v>
      </c>
      <c r="L148" s="27" t="s">
        <v>1565</v>
      </c>
      <c r="M148" s="27" t="s">
        <v>1565</v>
      </c>
      <c r="N148" s="27" t="s">
        <v>1565</v>
      </c>
      <c r="O148" s="27" t="s">
        <v>1565</v>
      </c>
      <c r="P148" s="28" t="s">
        <v>1565</v>
      </c>
    </row>
    <row r="149" customFormat="false" ht="14.25" hidden="false" customHeight="false" outlineLevel="0" collapsed="false">
      <c r="A149" s="24" t="s">
        <v>1209</v>
      </c>
      <c r="B149" s="25" t="s">
        <v>1581</v>
      </c>
      <c r="C149" s="26" t="str">
        <f aca="false">+VLOOKUP(B149,'transacciones '!$A$2:$I$39,2,FALSE())</f>
        <v>ATC06</v>
      </c>
      <c r="D149" s="26" t="str">
        <f aca="false">+VLOOKUP(B149,'transacciones '!$A$2:$I$39,3,FALSE())</f>
        <v>Consumo final</v>
      </c>
      <c r="E149" s="26" t="str">
        <f aca="false">+VLOOKUP(B149,'transacciones '!$A$2:$I$39,4,FALSE())</f>
        <v>Gasto de consumo de gobierno</v>
      </c>
      <c r="F149" s="26" t="n">
        <f aca="false">+VLOOKUP(B149,'transacciones '!$A$2:$I$39,5,FALSE())</f>
        <v>3</v>
      </c>
      <c r="G149" s="26" t="str">
        <f aca="false">+VLOOKUP(B149,'transacciones '!$A$2:$I$39,6,FALSE())</f>
        <v>P3</v>
      </c>
      <c r="H149" s="26" t="str">
        <f aca="false">+VLOOKUP(B149,'transacciones '!$A$2:$I$39,7,FALSE())</f>
        <v>Gasto de consumo final</v>
      </c>
      <c r="I149" s="26" t="s">
        <v>1565</v>
      </c>
      <c r="J149" s="26" t="s">
        <v>1582</v>
      </c>
      <c r="K149" s="27" t="s">
        <v>1565</v>
      </c>
      <c r="L149" s="27" t="s">
        <v>1565</v>
      </c>
      <c r="M149" s="27" t="s">
        <v>1565</v>
      </c>
      <c r="N149" s="27" t="s">
        <v>1565</v>
      </c>
      <c r="O149" s="27" t="s">
        <v>1565</v>
      </c>
      <c r="P149" s="28" t="s">
        <v>1565</v>
      </c>
    </row>
    <row r="150" customFormat="false" ht="14.25" hidden="false" customHeight="false" outlineLevel="0" collapsed="false">
      <c r="A150" s="24" t="s">
        <v>1211</v>
      </c>
      <c r="B150" s="25" t="s">
        <v>1583</v>
      </c>
      <c r="C150" s="26" t="str">
        <f aca="false">+VLOOKUP(B150,'transacciones '!$A$2:$I$39,2,FALSE())</f>
        <v>ATC06</v>
      </c>
      <c r="D150" s="26" t="str">
        <f aca="false">+VLOOKUP(B150,'transacciones '!$A$2:$I$39,3,FALSE())</f>
        <v>Consumo final</v>
      </c>
      <c r="E150" s="26" t="str">
        <f aca="false">+VLOOKUP(B150,'transacciones '!$A$2:$I$39,4,FALSE())</f>
        <v>Gasto de consumo ISFLH</v>
      </c>
      <c r="F150" s="26" t="n">
        <f aca="false">+VLOOKUP(B150,'transacciones '!$A$2:$I$39,5,FALSE())</f>
        <v>3</v>
      </c>
      <c r="G150" s="26" t="str">
        <f aca="false">+VLOOKUP(B150,'transacciones '!$A$2:$I$39,6,FALSE())</f>
        <v>P3</v>
      </c>
      <c r="H150" s="26" t="str">
        <f aca="false">+VLOOKUP(B150,'transacciones '!$A$2:$I$39,7,FALSE())</f>
        <v>Gasto de consumo final</v>
      </c>
      <c r="I150" s="26" t="s">
        <v>1565</v>
      </c>
      <c r="J150" s="26" t="s">
        <v>1584</v>
      </c>
      <c r="K150" s="27" t="s">
        <v>1565</v>
      </c>
      <c r="L150" s="27" t="s">
        <v>1565</v>
      </c>
      <c r="M150" s="27" t="s">
        <v>1565</v>
      </c>
      <c r="N150" s="27" t="s">
        <v>1565</v>
      </c>
      <c r="O150" s="27" t="s">
        <v>1565</v>
      </c>
      <c r="P150" s="28" t="s">
        <v>1565</v>
      </c>
    </row>
    <row r="151" customFormat="false" ht="14.25" hidden="false" customHeight="false" outlineLevel="0" collapsed="false">
      <c r="A151" s="24" t="s">
        <v>1213</v>
      </c>
      <c r="B151" s="25" t="s">
        <v>1585</v>
      </c>
      <c r="C151" s="26" t="str">
        <f aca="false">+VLOOKUP(B151,'transacciones '!$A$2:$I$39,2,FALSE())</f>
        <v>ATC06</v>
      </c>
      <c r="D151" s="26" t="str">
        <f aca="false">+VLOOKUP(B151,'transacciones '!$A$2:$I$39,3,FALSE())</f>
        <v>Gasto de consumo final</v>
      </c>
      <c r="E151" s="26" t="str">
        <f aca="false">+VLOOKUP(B151,'transacciones '!$A$2:$I$39,4,FALSE())</f>
        <v>Gasto de consumo final de los hogares</v>
      </c>
      <c r="F151" s="26" t="n">
        <f aca="false">+VLOOKUP(B151,'transacciones '!$A$2:$I$39,5,FALSE())</f>
        <v>3</v>
      </c>
      <c r="G151" s="26" t="str">
        <f aca="false">+VLOOKUP(B151,'transacciones '!$A$2:$I$39,6,FALSE())</f>
        <v>P3</v>
      </c>
      <c r="H151" s="26" t="str">
        <f aca="false">+VLOOKUP(B151,'transacciones '!$A$2:$I$39,7,FALSE())</f>
        <v>Gasto de consumo final</v>
      </c>
      <c r="I151" s="26" t="s">
        <v>1565</v>
      </c>
      <c r="J151" s="26" t="s">
        <v>1586</v>
      </c>
      <c r="K151" s="27" t="s">
        <v>1565</v>
      </c>
      <c r="L151" s="27" t="s">
        <v>1565</v>
      </c>
      <c r="M151" s="27" t="s">
        <v>1565</v>
      </c>
      <c r="N151" s="27" t="s">
        <v>1565</v>
      </c>
      <c r="O151" s="27" t="s">
        <v>1565</v>
      </c>
      <c r="P151" s="28" t="s">
        <v>1565</v>
      </c>
    </row>
    <row r="152" customFormat="false" ht="14.25" hidden="false" customHeight="false" outlineLevel="0" collapsed="false">
      <c r="A152" s="24" t="s">
        <v>1215</v>
      </c>
      <c r="B152" s="25" t="s">
        <v>1587</v>
      </c>
      <c r="C152" s="26" t="str">
        <f aca="false">+VLOOKUP(B152,'transacciones '!$A$2:$I$39,2,FALSE())</f>
        <v>ATC07</v>
      </c>
      <c r="D152" s="26" t="str">
        <f aca="false">+VLOOKUP(B152,'transacciones '!$A$2:$I$39,3,FALSE())</f>
        <v>Consumo final</v>
      </c>
      <c r="E152" s="26" t="str">
        <f aca="false">+VLOOKUP(B152,'transacciones '!$A$2:$I$39,4,FALSE())</f>
        <v>Formación bruta de capital fijo</v>
      </c>
      <c r="F152" s="26" t="n">
        <f aca="false">+VLOOKUP(B152,'transacciones '!$A$2:$I$39,5,FALSE())</f>
        <v>5</v>
      </c>
      <c r="G152" s="26" t="str">
        <f aca="false">+VLOOKUP(B152,'transacciones '!$A$2:$I$39,6,FALSE())</f>
        <v>P5</v>
      </c>
      <c r="H152" s="26" t="str">
        <f aca="false">+VLOOKUP(B152,'transacciones '!$A$2:$I$39,7,FALSE())</f>
        <v>Formación de capital</v>
      </c>
      <c r="I152" s="26" t="s">
        <v>1565</v>
      </c>
      <c r="J152" s="26" t="s">
        <v>1588</v>
      </c>
      <c r="K152" s="27" t="s">
        <v>1565</v>
      </c>
      <c r="L152" s="27" t="s">
        <v>1565</v>
      </c>
      <c r="M152" s="27" t="s">
        <v>1565</v>
      </c>
      <c r="N152" s="27" t="s">
        <v>1565</v>
      </c>
      <c r="O152" s="27" t="s">
        <v>1565</v>
      </c>
      <c r="P152" s="28" t="s">
        <v>1565</v>
      </c>
    </row>
    <row r="153" customFormat="false" ht="14.25" hidden="false" customHeight="false" outlineLevel="0" collapsed="false">
      <c r="A153" s="24" t="s">
        <v>1217</v>
      </c>
      <c r="B153" s="25" t="s">
        <v>1589</v>
      </c>
      <c r="C153" s="26" t="str">
        <f aca="false">+VLOOKUP(B153,'transacciones '!$A$2:$I$39,2,FALSE())</f>
        <v>ATC07</v>
      </c>
      <c r="D153" s="26" t="str">
        <f aca="false">+VLOOKUP(B153,'transacciones '!$A$2:$I$39,3,FALSE())</f>
        <v>Consumo final</v>
      </c>
      <c r="E153" s="26" t="str">
        <f aca="false">+VLOOKUP(B153,'transacciones '!$A$2:$I$39,4,FALSE())</f>
        <v>Variación de existencias</v>
      </c>
      <c r="F153" s="26" t="n">
        <f aca="false">+VLOOKUP(B153,'transacciones '!$A$2:$I$39,5,FALSE())</f>
        <v>5</v>
      </c>
      <c r="G153" s="26" t="str">
        <f aca="false">+VLOOKUP(B153,'transacciones '!$A$2:$I$39,6,FALSE())</f>
        <v>P5</v>
      </c>
      <c r="H153" s="26" t="str">
        <f aca="false">+VLOOKUP(B153,'transacciones '!$A$2:$I$39,7,FALSE())</f>
        <v>Formación de capital</v>
      </c>
      <c r="I153" s="26" t="s">
        <v>1565</v>
      </c>
      <c r="J153" s="26" t="s">
        <v>1590</v>
      </c>
      <c r="K153" s="27" t="s">
        <v>1565</v>
      </c>
      <c r="L153" s="27" t="s">
        <v>1565</v>
      </c>
      <c r="M153" s="27" t="s">
        <v>1565</v>
      </c>
      <c r="N153" s="27" t="s">
        <v>1565</v>
      </c>
      <c r="O153" s="27" t="s">
        <v>1565</v>
      </c>
      <c r="P153" s="28" t="s">
        <v>1565</v>
      </c>
    </row>
    <row r="154" customFormat="false" ht="14.25" hidden="false" customHeight="false" outlineLevel="0" collapsed="false">
      <c r="A154" s="31" t="s">
        <v>1219</v>
      </c>
      <c r="B154" s="38"/>
      <c r="C154" s="33"/>
      <c r="D154" s="33"/>
      <c r="E154" s="33"/>
      <c r="F154" s="33"/>
      <c r="G154" s="33"/>
      <c r="H154" s="33"/>
      <c r="I154" s="33"/>
      <c r="J154" s="33" t="s">
        <v>1591</v>
      </c>
      <c r="K154" s="34"/>
      <c r="L154" s="34"/>
      <c r="M154" s="34"/>
      <c r="N154" s="34"/>
      <c r="O154" s="34"/>
      <c r="P154" s="35"/>
    </row>
    <row r="155" customFormat="false" ht="14.25" hidden="false" customHeight="false" outlineLevel="0" collapsed="false">
      <c r="A155" s="31" t="s">
        <v>1221</v>
      </c>
      <c r="B155" s="38"/>
      <c r="C155" s="39"/>
      <c r="D155" s="39"/>
      <c r="E155" s="39"/>
      <c r="F155" s="39"/>
      <c r="G155" s="39"/>
      <c r="H155" s="39"/>
      <c r="I155" s="33"/>
      <c r="J155" s="33" t="s">
        <v>1592</v>
      </c>
      <c r="K155" s="34"/>
      <c r="L155" s="34"/>
      <c r="M155" s="34"/>
      <c r="N155" s="34"/>
      <c r="O155" s="34"/>
      <c r="P155" s="35"/>
    </row>
    <row r="156" customFormat="false" ht="14.25" hidden="false" customHeight="false" outlineLevel="0" collapsed="false">
      <c r="A156" s="17" t="s">
        <v>1223</v>
      </c>
      <c r="B156" s="18" t="s">
        <v>1405</v>
      </c>
      <c r="C156" s="19" t="str">
        <f aca="false">+VLOOKUP(B156,'transacciones '!$A$2:$I$39,2,FALSE())</f>
        <v>ATC01</v>
      </c>
      <c r="D156" s="19" t="str">
        <f aca="false">+VLOOKUP(B156,'transacciones '!$A$2:$I$39,3,FALSE())</f>
        <v>Producción / Consumo intermedio</v>
      </c>
      <c r="E156" s="19" t="str">
        <f aca="false">+VLOOKUP(B156,'transacciones '!$A$2:$I$39,4,FALSE())</f>
        <v>Producción</v>
      </c>
      <c r="F156" s="19" t="n">
        <f aca="false">+VLOOKUP(B156,'transacciones '!$A$2:$I$39,5,FALSE())</f>
        <v>1</v>
      </c>
      <c r="G156" s="19" t="str">
        <f aca="false">+VLOOKUP(B156,'transacciones '!$A$2:$I$39,6,FALSE())</f>
        <v>P1</v>
      </c>
      <c r="H156" s="19" t="str">
        <f aca="false">+VLOOKUP(B156,'transacciones '!$A$2:$I$39,7,FALSE())</f>
        <v>Producción</v>
      </c>
      <c r="I156" s="40" t="s">
        <v>1565</v>
      </c>
      <c r="J156" s="19" t="s">
        <v>1407</v>
      </c>
      <c r="K156" s="22" t="s">
        <v>1408</v>
      </c>
      <c r="L156" s="22" t="str">
        <f aca="false">+VLOOKUP(K156,'Correl CIIU'!$A$1:$F$26,2,FALSE())</f>
        <v>Agricultura, ganadería, silvicultura y pesca</v>
      </c>
      <c r="M156" s="22" t="str">
        <f aca="false">+VLOOKUP(K156,'Correl CIIU'!$A$1:$F$26,3,FALSE())</f>
        <v>Agricultura</v>
      </c>
      <c r="N156" s="22" t="str">
        <f aca="false">+VLOOKUP(K156,'Correl CIIU'!$A$1:$F$26,4,FALSE())</f>
        <v>Agriculture, forestry and fishing</v>
      </c>
      <c r="O156" s="22" t="n">
        <v>1</v>
      </c>
      <c r="P156" s="23" t="str">
        <f aca="false">+VLOOKUP(O156,bio!$A$2:$B$4,2,FALSE())</f>
        <v>Bioeconomía</v>
      </c>
    </row>
    <row r="157" customFormat="false" ht="14.25" hidden="false" customHeight="false" outlineLevel="0" collapsed="false">
      <c r="A157" s="24" t="s">
        <v>1225</v>
      </c>
      <c r="B157" s="25" t="s">
        <v>1405</v>
      </c>
      <c r="C157" s="26" t="str">
        <f aca="false">+VLOOKUP(B157,'transacciones '!$A$2:$I$39,2,FALSE())</f>
        <v>ATC01</v>
      </c>
      <c r="D157" s="26" t="str">
        <f aca="false">+VLOOKUP(B157,'transacciones '!$A$2:$I$39,3,FALSE())</f>
        <v>Producción / Consumo intermedio</v>
      </c>
      <c r="E157" s="26" t="str">
        <f aca="false">+VLOOKUP(B157,'transacciones '!$A$2:$I$39,4,FALSE())</f>
        <v>Producción</v>
      </c>
      <c r="F157" s="26" t="n">
        <f aca="false">+VLOOKUP(B157,'transacciones '!$A$2:$I$39,5,FALSE())</f>
        <v>1</v>
      </c>
      <c r="G157" s="26" t="str">
        <f aca="false">+VLOOKUP(B157,'transacciones '!$A$2:$I$39,6,FALSE())</f>
        <v>P1</v>
      </c>
      <c r="H157" s="26" t="str">
        <f aca="false">+VLOOKUP(B157,'transacciones '!$A$2:$I$39,7,FALSE())</f>
        <v>Producción</v>
      </c>
      <c r="I157" s="41" t="s">
        <v>1565</v>
      </c>
      <c r="J157" s="26" t="s">
        <v>1410</v>
      </c>
      <c r="K157" s="27" t="s">
        <v>1408</v>
      </c>
      <c r="L157" s="27" t="str">
        <f aca="false">+VLOOKUP(K157,'Correl CIIU'!$A$1:$F$26,2,FALSE())</f>
        <v>Agricultura, ganadería, silvicultura y pesca</v>
      </c>
      <c r="M157" s="27" t="str">
        <f aca="false">+VLOOKUP(K157,'Correl CIIU'!$A$1:$F$26,3,FALSE())</f>
        <v>Agricultura</v>
      </c>
      <c r="N157" s="27" t="str">
        <f aca="false">+VLOOKUP(K157,'Correl CIIU'!$A$1:$F$26,4,FALSE())</f>
        <v>Agriculture, forestry and fishing</v>
      </c>
      <c r="O157" s="27" t="n">
        <v>1</v>
      </c>
      <c r="P157" s="28" t="str">
        <f aca="false">+VLOOKUP(O157,bio!$A$2:$B$4,2,FALSE())</f>
        <v>Bioeconomía</v>
      </c>
    </row>
    <row r="158" customFormat="false" ht="14.25" hidden="false" customHeight="false" outlineLevel="0" collapsed="false">
      <c r="A158" s="24" t="s">
        <v>1227</v>
      </c>
      <c r="B158" s="25" t="s">
        <v>1405</v>
      </c>
      <c r="C158" s="26" t="str">
        <f aca="false">+VLOOKUP(B158,'transacciones '!$A$2:$I$39,2,FALSE())</f>
        <v>ATC01</v>
      </c>
      <c r="D158" s="26" t="str">
        <f aca="false">+VLOOKUP(B158,'transacciones '!$A$2:$I$39,3,FALSE())</f>
        <v>Producción / Consumo intermedio</v>
      </c>
      <c r="E158" s="26" t="str">
        <f aca="false">+VLOOKUP(B158,'transacciones '!$A$2:$I$39,4,FALSE())</f>
        <v>Producción</v>
      </c>
      <c r="F158" s="26" t="n">
        <f aca="false">+VLOOKUP(B158,'transacciones '!$A$2:$I$39,5,FALSE())</f>
        <v>1</v>
      </c>
      <c r="G158" s="26" t="str">
        <f aca="false">+VLOOKUP(B158,'transacciones '!$A$2:$I$39,6,FALSE())</f>
        <v>P1</v>
      </c>
      <c r="H158" s="26" t="str">
        <f aca="false">+VLOOKUP(B158,'transacciones '!$A$2:$I$39,7,FALSE())</f>
        <v>Producción</v>
      </c>
      <c r="I158" s="41" t="s">
        <v>1565</v>
      </c>
      <c r="J158" s="26" t="s">
        <v>1412</v>
      </c>
      <c r="K158" s="27" t="s">
        <v>1408</v>
      </c>
      <c r="L158" s="27" t="str">
        <f aca="false">+VLOOKUP(K158,'Correl CIIU'!$A$1:$F$26,2,FALSE())</f>
        <v>Agricultura, ganadería, silvicultura y pesca</v>
      </c>
      <c r="M158" s="27" t="str">
        <f aca="false">+VLOOKUP(K158,'Correl CIIU'!$A$1:$F$26,3,FALSE())</f>
        <v>Agricultura</v>
      </c>
      <c r="N158" s="27" t="str">
        <f aca="false">+VLOOKUP(K158,'Correl CIIU'!$A$1:$F$26,4,FALSE())</f>
        <v>Agriculture, forestry and fishing</v>
      </c>
      <c r="O158" s="27" t="n">
        <v>1</v>
      </c>
      <c r="P158" s="28" t="str">
        <f aca="false">+VLOOKUP(O158,bio!$A$2:$B$4,2,FALSE())</f>
        <v>Bioeconomía</v>
      </c>
    </row>
    <row r="159" customFormat="false" ht="14.25" hidden="false" customHeight="false" outlineLevel="0" collapsed="false">
      <c r="A159" s="24" t="s">
        <v>1229</v>
      </c>
      <c r="B159" s="25" t="s">
        <v>1405</v>
      </c>
      <c r="C159" s="26" t="str">
        <f aca="false">+VLOOKUP(B159,'transacciones '!$A$2:$I$39,2,FALSE())</f>
        <v>ATC01</v>
      </c>
      <c r="D159" s="26" t="str">
        <f aca="false">+VLOOKUP(B159,'transacciones '!$A$2:$I$39,3,FALSE())</f>
        <v>Producción / Consumo intermedio</v>
      </c>
      <c r="E159" s="26" t="str">
        <f aca="false">+VLOOKUP(B159,'transacciones '!$A$2:$I$39,4,FALSE())</f>
        <v>Producción</v>
      </c>
      <c r="F159" s="26" t="n">
        <f aca="false">+VLOOKUP(B159,'transacciones '!$A$2:$I$39,5,FALSE())</f>
        <v>1</v>
      </c>
      <c r="G159" s="26" t="str">
        <f aca="false">+VLOOKUP(B159,'transacciones '!$A$2:$I$39,6,FALSE())</f>
        <v>P1</v>
      </c>
      <c r="H159" s="26" t="str">
        <f aca="false">+VLOOKUP(B159,'transacciones '!$A$2:$I$39,7,FALSE())</f>
        <v>Producción</v>
      </c>
      <c r="I159" s="41" t="s">
        <v>1565</v>
      </c>
      <c r="J159" s="26" t="s">
        <v>1414</v>
      </c>
      <c r="K159" s="27" t="s">
        <v>1415</v>
      </c>
      <c r="L159" s="27" t="str">
        <f aca="false">+VLOOKUP(K159,'Correl CIIU'!$A$1:$F$26,2,FALSE())</f>
        <v>Explotación de minas y canteras</v>
      </c>
      <c r="M159" s="27" t="str">
        <f aca="false">+VLOOKUP(K159,'Correl CIIU'!$A$1:$F$26,3,FALSE())</f>
        <v>Minería</v>
      </c>
      <c r="N159" s="27" t="str">
        <f aca="false">+VLOOKUP(K159,'Correl CIIU'!$A$1:$F$26,4,FALSE())</f>
        <v>Mining and quarrying</v>
      </c>
      <c r="O159" s="27" t="n">
        <v>3</v>
      </c>
      <c r="P159" s="28" t="str">
        <f aca="false">+VLOOKUP(O159,bio!$A$2:$B$4,2,FALSE())</f>
        <v>No bioeconomía</v>
      </c>
    </row>
    <row r="160" customFormat="false" ht="14.25" hidden="false" customHeight="false" outlineLevel="0" collapsed="false">
      <c r="A160" s="24" t="s">
        <v>1231</v>
      </c>
      <c r="B160" s="25" t="s">
        <v>1405</v>
      </c>
      <c r="C160" s="26" t="str">
        <f aca="false">+VLOOKUP(B160,'transacciones '!$A$2:$I$39,2,FALSE())</f>
        <v>ATC01</v>
      </c>
      <c r="D160" s="26" t="str">
        <f aca="false">+VLOOKUP(B160,'transacciones '!$A$2:$I$39,3,FALSE())</f>
        <v>Producción / Consumo intermedio</v>
      </c>
      <c r="E160" s="26" t="str">
        <f aca="false">+VLOOKUP(B160,'transacciones '!$A$2:$I$39,4,FALSE())</f>
        <v>Producción</v>
      </c>
      <c r="F160" s="26" t="n">
        <f aca="false">+VLOOKUP(B160,'transacciones '!$A$2:$I$39,5,FALSE())</f>
        <v>1</v>
      </c>
      <c r="G160" s="26" t="str">
        <f aca="false">+VLOOKUP(B160,'transacciones '!$A$2:$I$39,6,FALSE())</f>
        <v>P1</v>
      </c>
      <c r="H160" s="26" t="str">
        <f aca="false">+VLOOKUP(B160,'transacciones '!$A$2:$I$39,7,FALSE())</f>
        <v>Producción</v>
      </c>
      <c r="I160" s="41" t="s">
        <v>1565</v>
      </c>
      <c r="J160" s="26" t="s">
        <v>1417</v>
      </c>
      <c r="K160" s="27" t="s">
        <v>1415</v>
      </c>
      <c r="L160" s="27" t="str">
        <f aca="false">+VLOOKUP(K160,'Correl CIIU'!$A$1:$F$26,2,FALSE())</f>
        <v>Explotación de minas y canteras</v>
      </c>
      <c r="M160" s="27" t="str">
        <f aca="false">+VLOOKUP(K160,'Correl CIIU'!$A$1:$F$26,3,FALSE())</f>
        <v>Minería</v>
      </c>
      <c r="N160" s="27" t="str">
        <f aca="false">+VLOOKUP(K160,'Correl CIIU'!$A$1:$F$26,4,FALSE())</f>
        <v>Mining and quarrying</v>
      </c>
      <c r="O160" s="27" t="n">
        <v>3</v>
      </c>
      <c r="P160" s="28" t="str">
        <f aca="false">+VLOOKUP(O160,bio!$A$2:$B$4,2,FALSE())</f>
        <v>No bioeconomía</v>
      </c>
    </row>
    <row r="161" customFormat="false" ht="14.25" hidden="false" customHeight="false" outlineLevel="0" collapsed="false">
      <c r="A161" s="24" t="s">
        <v>1233</v>
      </c>
      <c r="B161" s="25" t="s">
        <v>1405</v>
      </c>
      <c r="C161" s="26" t="str">
        <f aca="false">+VLOOKUP(B161,'transacciones '!$A$2:$I$39,2,FALSE())</f>
        <v>ATC01</v>
      </c>
      <c r="D161" s="26" t="str">
        <f aca="false">+VLOOKUP(B161,'transacciones '!$A$2:$I$39,3,FALSE())</f>
        <v>Producción / Consumo intermedio</v>
      </c>
      <c r="E161" s="26" t="str">
        <f aca="false">+VLOOKUP(B161,'transacciones '!$A$2:$I$39,4,FALSE())</f>
        <v>Producción</v>
      </c>
      <c r="F161" s="26" t="n">
        <f aca="false">+VLOOKUP(B161,'transacciones '!$A$2:$I$39,5,FALSE())</f>
        <v>1</v>
      </c>
      <c r="G161" s="26" t="str">
        <f aca="false">+VLOOKUP(B161,'transacciones '!$A$2:$I$39,6,FALSE())</f>
        <v>P1</v>
      </c>
      <c r="H161" s="26" t="str">
        <f aca="false">+VLOOKUP(B161,'transacciones '!$A$2:$I$39,7,FALSE())</f>
        <v>Producción</v>
      </c>
      <c r="I161" s="41" t="s">
        <v>1565</v>
      </c>
      <c r="J161" s="26" t="s">
        <v>1419</v>
      </c>
      <c r="K161" s="27" t="s">
        <v>1415</v>
      </c>
      <c r="L161" s="27" t="str">
        <f aca="false">+VLOOKUP(K161,'Correl CIIU'!$A$1:$F$26,2,FALSE())</f>
        <v>Explotación de minas y canteras</v>
      </c>
      <c r="M161" s="27" t="str">
        <f aca="false">+VLOOKUP(K161,'Correl CIIU'!$A$1:$F$26,3,FALSE())</f>
        <v>Minería</v>
      </c>
      <c r="N161" s="27" t="str">
        <f aca="false">+VLOOKUP(K161,'Correl CIIU'!$A$1:$F$26,4,FALSE())</f>
        <v>Mining and quarrying</v>
      </c>
      <c r="O161" s="27" t="n">
        <v>3</v>
      </c>
      <c r="P161" s="28" t="str">
        <f aca="false">+VLOOKUP(O161,bio!$A$2:$B$4,2,FALSE())</f>
        <v>No bioeconomía</v>
      </c>
    </row>
    <row r="162" customFormat="false" ht="14.25" hidden="false" customHeight="false" outlineLevel="0" collapsed="false">
      <c r="A162" s="24" t="s">
        <v>1235</v>
      </c>
      <c r="B162" s="25" t="s">
        <v>1405</v>
      </c>
      <c r="C162" s="26" t="str">
        <f aca="false">+VLOOKUP(B162,'transacciones '!$A$2:$I$39,2,FALSE())</f>
        <v>ATC01</v>
      </c>
      <c r="D162" s="26" t="str">
        <f aca="false">+VLOOKUP(B162,'transacciones '!$A$2:$I$39,3,FALSE())</f>
        <v>Producción / Consumo intermedio</v>
      </c>
      <c r="E162" s="26" t="str">
        <f aca="false">+VLOOKUP(B162,'transacciones '!$A$2:$I$39,4,FALSE())</f>
        <v>Producción</v>
      </c>
      <c r="F162" s="26" t="n">
        <f aca="false">+VLOOKUP(B162,'transacciones '!$A$2:$I$39,5,FALSE())</f>
        <v>1</v>
      </c>
      <c r="G162" s="26" t="str">
        <f aca="false">+VLOOKUP(B162,'transacciones '!$A$2:$I$39,6,FALSE())</f>
        <v>P1</v>
      </c>
      <c r="H162" s="26" t="str">
        <f aca="false">+VLOOKUP(B162,'transacciones '!$A$2:$I$39,7,FALSE())</f>
        <v>Producción</v>
      </c>
      <c r="I162" s="41" t="s">
        <v>1565</v>
      </c>
      <c r="J162" s="26" t="s">
        <v>1421</v>
      </c>
      <c r="K162" s="27" t="s">
        <v>1415</v>
      </c>
      <c r="L162" s="27" t="str">
        <f aca="false">+VLOOKUP(K162,'Correl CIIU'!$A$1:$F$26,2,FALSE())</f>
        <v>Explotación de minas y canteras</v>
      </c>
      <c r="M162" s="27" t="str">
        <f aca="false">+VLOOKUP(K162,'Correl CIIU'!$A$1:$F$26,3,FALSE())</f>
        <v>Minería</v>
      </c>
      <c r="N162" s="27" t="str">
        <f aca="false">+VLOOKUP(K162,'Correl CIIU'!$A$1:$F$26,4,FALSE())</f>
        <v>Mining and quarrying</v>
      </c>
      <c r="O162" s="27" t="n">
        <v>3</v>
      </c>
      <c r="P162" s="28" t="str">
        <f aca="false">+VLOOKUP(O162,bio!$A$2:$B$4,2,FALSE())</f>
        <v>No bioeconomía</v>
      </c>
    </row>
    <row r="163" customFormat="false" ht="14.25" hidden="false" customHeight="false" outlineLevel="0" collapsed="false">
      <c r="A163" s="24" t="s">
        <v>1237</v>
      </c>
      <c r="B163" s="25" t="s">
        <v>1405</v>
      </c>
      <c r="C163" s="26" t="str">
        <f aca="false">+VLOOKUP(B163,'transacciones '!$A$2:$I$39,2,FALSE())</f>
        <v>ATC01</v>
      </c>
      <c r="D163" s="26" t="str">
        <f aca="false">+VLOOKUP(B163,'transacciones '!$A$2:$I$39,3,FALSE())</f>
        <v>Producción / Consumo intermedio</v>
      </c>
      <c r="E163" s="26" t="str">
        <f aca="false">+VLOOKUP(B163,'transacciones '!$A$2:$I$39,4,FALSE())</f>
        <v>Producción</v>
      </c>
      <c r="F163" s="26" t="n">
        <f aca="false">+VLOOKUP(B163,'transacciones '!$A$2:$I$39,5,FALSE())</f>
        <v>1</v>
      </c>
      <c r="G163" s="26" t="str">
        <f aca="false">+VLOOKUP(B163,'transacciones '!$A$2:$I$39,6,FALSE())</f>
        <v>P1</v>
      </c>
      <c r="H163" s="26" t="str">
        <f aca="false">+VLOOKUP(B163,'transacciones '!$A$2:$I$39,7,FALSE())</f>
        <v>Producción</v>
      </c>
      <c r="I163" s="41" t="s">
        <v>1565</v>
      </c>
      <c r="J163" s="26" t="s">
        <v>1423</v>
      </c>
      <c r="K163" s="27" t="s">
        <v>1424</v>
      </c>
      <c r="L163" s="27" t="str">
        <f aca="false">+VLOOKUP(K163,'Correl CIIU'!$A$1:$F$26,2,FALSE())</f>
        <v>Industrias manufactureras</v>
      </c>
      <c r="M163" s="27" t="str">
        <f aca="false">+VLOOKUP(K163,'Correl CIIU'!$A$1:$F$26,3,FALSE())</f>
        <v>Manufacturas</v>
      </c>
      <c r="N163" s="27" t="str">
        <f aca="false">+VLOOKUP(K163,'Correl CIIU'!$A$1:$F$26,4,FALSE())</f>
        <v>Manufacturing</v>
      </c>
      <c r="O163" s="27" t="n">
        <v>1</v>
      </c>
      <c r="P163" s="28" t="str">
        <f aca="false">+VLOOKUP(O163,bio!$A$2:$B$4,2,FALSE())</f>
        <v>Bioeconomía</v>
      </c>
    </row>
    <row r="164" customFormat="false" ht="14.25" hidden="false" customHeight="false" outlineLevel="0" collapsed="false">
      <c r="A164" s="24" t="s">
        <v>1239</v>
      </c>
      <c r="B164" s="25" t="s">
        <v>1405</v>
      </c>
      <c r="C164" s="26" t="str">
        <f aca="false">+VLOOKUP(B164,'transacciones '!$A$2:$I$39,2,FALSE())</f>
        <v>ATC01</v>
      </c>
      <c r="D164" s="26" t="str">
        <f aca="false">+VLOOKUP(B164,'transacciones '!$A$2:$I$39,3,FALSE())</f>
        <v>Producción / Consumo intermedio</v>
      </c>
      <c r="E164" s="26" t="str">
        <f aca="false">+VLOOKUP(B164,'transacciones '!$A$2:$I$39,4,FALSE())</f>
        <v>Producción</v>
      </c>
      <c r="F164" s="26" t="n">
        <f aca="false">+VLOOKUP(B164,'transacciones '!$A$2:$I$39,5,FALSE())</f>
        <v>1</v>
      </c>
      <c r="G164" s="26" t="str">
        <f aca="false">+VLOOKUP(B164,'transacciones '!$A$2:$I$39,6,FALSE())</f>
        <v>P1</v>
      </c>
      <c r="H164" s="26" t="str">
        <f aca="false">+VLOOKUP(B164,'transacciones '!$A$2:$I$39,7,FALSE())</f>
        <v>Producción</v>
      </c>
      <c r="I164" s="41" t="s">
        <v>1565</v>
      </c>
      <c r="J164" s="26" t="s">
        <v>1426</v>
      </c>
      <c r="K164" s="27" t="s">
        <v>1424</v>
      </c>
      <c r="L164" s="27" t="str">
        <f aca="false">+VLOOKUP(K164,'Correl CIIU'!$A$1:$F$26,2,FALSE())</f>
        <v>Industrias manufactureras</v>
      </c>
      <c r="M164" s="27" t="str">
        <f aca="false">+VLOOKUP(K164,'Correl CIIU'!$A$1:$F$26,3,FALSE())</f>
        <v>Manufacturas</v>
      </c>
      <c r="N164" s="27" t="str">
        <f aca="false">+VLOOKUP(K164,'Correl CIIU'!$A$1:$F$26,4,FALSE())</f>
        <v>Manufacturing</v>
      </c>
      <c r="O164" s="27" t="n">
        <v>1</v>
      </c>
      <c r="P164" s="28" t="str">
        <f aca="false">+VLOOKUP(O164,bio!$A$2:$B$4,2,FALSE())</f>
        <v>Bioeconomía</v>
      </c>
    </row>
    <row r="165" customFormat="false" ht="14.25" hidden="false" customHeight="false" outlineLevel="0" collapsed="false">
      <c r="A165" s="24" t="s">
        <v>1241</v>
      </c>
      <c r="B165" s="25" t="s">
        <v>1405</v>
      </c>
      <c r="C165" s="26" t="str">
        <f aca="false">+VLOOKUP(B165,'transacciones '!$A$2:$I$39,2,FALSE())</f>
        <v>ATC01</v>
      </c>
      <c r="D165" s="26" t="str">
        <f aca="false">+VLOOKUP(B165,'transacciones '!$A$2:$I$39,3,FALSE())</f>
        <v>Producción / Consumo intermedio</v>
      </c>
      <c r="E165" s="26" t="str">
        <f aca="false">+VLOOKUP(B165,'transacciones '!$A$2:$I$39,4,FALSE())</f>
        <v>Producción</v>
      </c>
      <c r="F165" s="26" t="n">
        <f aca="false">+VLOOKUP(B165,'transacciones '!$A$2:$I$39,5,FALSE())</f>
        <v>1</v>
      </c>
      <c r="G165" s="26" t="str">
        <f aca="false">+VLOOKUP(B165,'transacciones '!$A$2:$I$39,6,FALSE())</f>
        <v>P1</v>
      </c>
      <c r="H165" s="26" t="str">
        <f aca="false">+VLOOKUP(B165,'transacciones '!$A$2:$I$39,7,FALSE())</f>
        <v>Producción</v>
      </c>
      <c r="I165" s="41" t="s">
        <v>1565</v>
      </c>
      <c r="J165" s="26" t="s">
        <v>1428</v>
      </c>
      <c r="K165" s="27" t="s">
        <v>1424</v>
      </c>
      <c r="L165" s="27" t="str">
        <f aca="false">+VLOOKUP(K165,'Correl CIIU'!$A$1:$F$26,2,FALSE())</f>
        <v>Industrias manufactureras</v>
      </c>
      <c r="M165" s="27" t="str">
        <f aca="false">+VLOOKUP(K165,'Correl CIIU'!$A$1:$F$26,3,FALSE())</f>
        <v>Manufacturas</v>
      </c>
      <c r="N165" s="27" t="str">
        <f aca="false">+VLOOKUP(K165,'Correl CIIU'!$A$1:$F$26,4,FALSE())</f>
        <v>Manufacturing</v>
      </c>
      <c r="O165" s="27" t="n">
        <v>1</v>
      </c>
      <c r="P165" s="28" t="str">
        <f aca="false">+VLOOKUP(O165,bio!$A$2:$B$4,2,FALSE())</f>
        <v>Bioeconomía</v>
      </c>
    </row>
    <row r="166" customFormat="false" ht="14.25" hidden="false" customHeight="false" outlineLevel="0" collapsed="false">
      <c r="A166" s="24" t="s">
        <v>1243</v>
      </c>
      <c r="B166" s="25" t="s">
        <v>1405</v>
      </c>
      <c r="C166" s="26" t="str">
        <f aca="false">+VLOOKUP(B166,'transacciones '!$A$2:$I$39,2,FALSE())</f>
        <v>ATC01</v>
      </c>
      <c r="D166" s="26" t="str">
        <f aca="false">+VLOOKUP(B166,'transacciones '!$A$2:$I$39,3,FALSE())</f>
        <v>Producción / Consumo intermedio</v>
      </c>
      <c r="E166" s="26" t="str">
        <f aca="false">+VLOOKUP(B166,'transacciones '!$A$2:$I$39,4,FALSE())</f>
        <v>Producción</v>
      </c>
      <c r="F166" s="26" t="n">
        <f aca="false">+VLOOKUP(B166,'transacciones '!$A$2:$I$39,5,FALSE())</f>
        <v>1</v>
      </c>
      <c r="G166" s="26" t="str">
        <f aca="false">+VLOOKUP(B166,'transacciones '!$A$2:$I$39,6,FALSE())</f>
        <v>P1</v>
      </c>
      <c r="H166" s="26" t="str">
        <f aca="false">+VLOOKUP(B166,'transacciones '!$A$2:$I$39,7,FALSE())</f>
        <v>Producción</v>
      </c>
      <c r="I166" s="41" t="s">
        <v>1565</v>
      </c>
      <c r="J166" s="26" t="s">
        <v>1430</v>
      </c>
      <c r="K166" s="27" t="s">
        <v>1424</v>
      </c>
      <c r="L166" s="27" t="str">
        <f aca="false">+VLOOKUP(K166,'Correl CIIU'!$A$1:$F$26,2,FALSE())</f>
        <v>Industrias manufactureras</v>
      </c>
      <c r="M166" s="27" t="str">
        <f aca="false">+VLOOKUP(K166,'Correl CIIU'!$A$1:$F$26,3,FALSE())</f>
        <v>Manufacturas</v>
      </c>
      <c r="N166" s="27" t="str">
        <f aca="false">+VLOOKUP(K166,'Correl CIIU'!$A$1:$F$26,4,FALSE())</f>
        <v>Manufacturing</v>
      </c>
      <c r="O166" s="27" t="n">
        <v>1</v>
      </c>
      <c r="P166" s="28" t="str">
        <f aca="false">+VLOOKUP(O166,bio!$A$2:$B$4,2,FALSE())</f>
        <v>Bioeconomía</v>
      </c>
    </row>
    <row r="167" customFormat="false" ht="14.25" hidden="false" customHeight="false" outlineLevel="0" collapsed="false">
      <c r="A167" s="24" t="s">
        <v>1245</v>
      </c>
      <c r="B167" s="25" t="s">
        <v>1405</v>
      </c>
      <c r="C167" s="26" t="str">
        <f aca="false">+VLOOKUP(B167,'transacciones '!$A$2:$I$39,2,FALSE())</f>
        <v>ATC01</v>
      </c>
      <c r="D167" s="26" t="str">
        <f aca="false">+VLOOKUP(B167,'transacciones '!$A$2:$I$39,3,FALSE())</f>
        <v>Producción / Consumo intermedio</v>
      </c>
      <c r="E167" s="26" t="str">
        <f aca="false">+VLOOKUP(B167,'transacciones '!$A$2:$I$39,4,FALSE())</f>
        <v>Producción</v>
      </c>
      <c r="F167" s="26" t="n">
        <f aca="false">+VLOOKUP(B167,'transacciones '!$A$2:$I$39,5,FALSE())</f>
        <v>1</v>
      </c>
      <c r="G167" s="26" t="str">
        <f aca="false">+VLOOKUP(B167,'transacciones '!$A$2:$I$39,6,FALSE())</f>
        <v>P1</v>
      </c>
      <c r="H167" s="26" t="str">
        <f aca="false">+VLOOKUP(B167,'transacciones '!$A$2:$I$39,7,FALSE())</f>
        <v>Producción</v>
      </c>
      <c r="I167" s="41" t="s">
        <v>1565</v>
      </c>
      <c r="J167" s="26" t="s">
        <v>1432</v>
      </c>
      <c r="K167" s="27" t="s">
        <v>1424</v>
      </c>
      <c r="L167" s="27" t="str">
        <f aca="false">+VLOOKUP(K167,'Correl CIIU'!$A$1:$F$26,2,FALSE())</f>
        <v>Industrias manufactureras</v>
      </c>
      <c r="M167" s="27" t="str">
        <f aca="false">+VLOOKUP(K167,'Correl CIIU'!$A$1:$F$26,3,FALSE())</f>
        <v>Manufacturas</v>
      </c>
      <c r="N167" s="27" t="str">
        <f aca="false">+VLOOKUP(K167,'Correl CIIU'!$A$1:$F$26,4,FALSE())</f>
        <v>Manufacturing</v>
      </c>
      <c r="O167" s="27" t="n">
        <v>1</v>
      </c>
      <c r="P167" s="28" t="str">
        <f aca="false">+VLOOKUP(O167,bio!$A$2:$B$4,2,FALSE())</f>
        <v>Bioeconomía</v>
      </c>
    </row>
    <row r="168" customFormat="false" ht="14.25" hidden="false" customHeight="false" outlineLevel="0" collapsed="false">
      <c r="A168" s="24" t="s">
        <v>1247</v>
      </c>
      <c r="B168" s="25" t="s">
        <v>1405</v>
      </c>
      <c r="C168" s="26" t="str">
        <f aca="false">+VLOOKUP(B168,'transacciones '!$A$2:$I$39,2,FALSE())</f>
        <v>ATC01</v>
      </c>
      <c r="D168" s="26" t="str">
        <f aca="false">+VLOOKUP(B168,'transacciones '!$A$2:$I$39,3,FALSE())</f>
        <v>Producción / Consumo intermedio</v>
      </c>
      <c r="E168" s="26" t="str">
        <f aca="false">+VLOOKUP(B168,'transacciones '!$A$2:$I$39,4,FALSE())</f>
        <v>Producción</v>
      </c>
      <c r="F168" s="26" t="n">
        <f aca="false">+VLOOKUP(B168,'transacciones '!$A$2:$I$39,5,FALSE())</f>
        <v>1</v>
      </c>
      <c r="G168" s="26" t="str">
        <f aca="false">+VLOOKUP(B168,'transacciones '!$A$2:$I$39,6,FALSE())</f>
        <v>P1</v>
      </c>
      <c r="H168" s="26" t="str">
        <f aca="false">+VLOOKUP(B168,'transacciones '!$A$2:$I$39,7,FALSE())</f>
        <v>Producción</v>
      </c>
      <c r="I168" s="41" t="s">
        <v>1565</v>
      </c>
      <c r="J168" s="26" t="s">
        <v>1434</v>
      </c>
      <c r="K168" s="27" t="s">
        <v>1424</v>
      </c>
      <c r="L168" s="27" t="str">
        <f aca="false">+VLOOKUP(K168,'Correl CIIU'!$A$1:$F$26,2,FALSE())</f>
        <v>Industrias manufactureras</v>
      </c>
      <c r="M168" s="27" t="str">
        <f aca="false">+VLOOKUP(K168,'Correl CIIU'!$A$1:$F$26,3,FALSE())</f>
        <v>Manufacturas</v>
      </c>
      <c r="N168" s="27" t="str">
        <f aca="false">+VLOOKUP(K168,'Correl CIIU'!$A$1:$F$26,4,FALSE())</f>
        <v>Manufacturing</v>
      </c>
      <c r="O168" s="27" t="n">
        <v>2</v>
      </c>
      <c r="P168" s="28" t="str">
        <f aca="false">+VLOOKUP(O168,bio!$A$2:$B$4,2,FALSE())</f>
        <v>Bioeconomía extendida</v>
      </c>
    </row>
    <row r="169" customFormat="false" ht="14.25" hidden="false" customHeight="false" outlineLevel="0" collapsed="false">
      <c r="A169" s="24" t="s">
        <v>1249</v>
      </c>
      <c r="B169" s="25" t="s">
        <v>1405</v>
      </c>
      <c r="C169" s="26" t="str">
        <f aca="false">+VLOOKUP(B169,'transacciones '!$A$2:$I$39,2,FALSE())</f>
        <v>ATC01</v>
      </c>
      <c r="D169" s="26" t="str">
        <f aca="false">+VLOOKUP(B169,'transacciones '!$A$2:$I$39,3,FALSE())</f>
        <v>Producción / Consumo intermedio</v>
      </c>
      <c r="E169" s="26" t="str">
        <f aca="false">+VLOOKUP(B169,'transacciones '!$A$2:$I$39,4,FALSE())</f>
        <v>Producción</v>
      </c>
      <c r="F169" s="26" t="n">
        <f aca="false">+VLOOKUP(B169,'transacciones '!$A$2:$I$39,5,FALSE())</f>
        <v>1</v>
      </c>
      <c r="G169" s="26" t="str">
        <f aca="false">+VLOOKUP(B169,'transacciones '!$A$2:$I$39,6,FALSE())</f>
        <v>P1</v>
      </c>
      <c r="H169" s="26" t="str">
        <f aca="false">+VLOOKUP(B169,'transacciones '!$A$2:$I$39,7,FALSE())</f>
        <v>Producción</v>
      </c>
      <c r="I169" s="41" t="s">
        <v>1565</v>
      </c>
      <c r="J169" s="26" t="s">
        <v>1436</v>
      </c>
      <c r="K169" s="27" t="s">
        <v>1424</v>
      </c>
      <c r="L169" s="27" t="str">
        <f aca="false">+VLOOKUP(K169,'Correl CIIU'!$A$1:$F$26,2,FALSE())</f>
        <v>Industrias manufactureras</v>
      </c>
      <c r="M169" s="27" t="str">
        <f aca="false">+VLOOKUP(K169,'Correl CIIU'!$A$1:$F$26,3,FALSE())</f>
        <v>Manufacturas</v>
      </c>
      <c r="N169" s="27" t="str">
        <f aca="false">+VLOOKUP(K169,'Correl CIIU'!$A$1:$F$26,4,FALSE())</f>
        <v>Manufacturing</v>
      </c>
      <c r="O169" s="27" t="n">
        <v>2</v>
      </c>
      <c r="P169" s="28" t="str">
        <f aca="false">+VLOOKUP(O169,bio!$A$2:$B$4,2,FALSE())</f>
        <v>Bioeconomía extendida</v>
      </c>
    </row>
    <row r="170" customFormat="false" ht="14.25" hidden="false" customHeight="false" outlineLevel="0" collapsed="false">
      <c r="A170" s="24" t="s">
        <v>1251</v>
      </c>
      <c r="B170" s="25" t="s">
        <v>1405</v>
      </c>
      <c r="C170" s="26" t="str">
        <f aca="false">+VLOOKUP(B170,'transacciones '!$A$2:$I$39,2,FALSE())</f>
        <v>ATC01</v>
      </c>
      <c r="D170" s="26" t="str">
        <f aca="false">+VLOOKUP(B170,'transacciones '!$A$2:$I$39,3,FALSE())</f>
        <v>Producción / Consumo intermedio</v>
      </c>
      <c r="E170" s="26" t="str">
        <f aca="false">+VLOOKUP(B170,'transacciones '!$A$2:$I$39,4,FALSE())</f>
        <v>Producción</v>
      </c>
      <c r="F170" s="26" t="n">
        <f aca="false">+VLOOKUP(B170,'transacciones '!$A$2:$I$39,5,FALSE())</f>
        <v>1</v>
      </c>
      <c r="G170" s="26" t="str">
        <f aca="false">+VLOOKUP(B170,'transacciones '!$A$2:$I$39,6,FALSE())</f>
        <v>P1</v>
      </c>
      <c r="H170" s="26" t="str">
        <f aca="false">+VLOOKUP(B170,'transacciones '!$A$2:$I$39,7,FALSE())</f>
        <v>Producción</v>
      </c>
      <c r="I170" s="41" t="s">
        <v>1565</v>
      </c>
      <c r="J170" s="26" t="s">
        <v>1438</v>
      </c>
      <c r="K170" s="27" t="s">
        <v>1424</v>
      </c>
      <c r="L170" s="27" t="str">
        <f aca="false">+VLOOKUP(K170,'Correl CIIU'!$A$1:$F$26,2,FALSE())</f>
        <v>Industrias manufactureras</v>
      </c>
      <c r="M170" s="27" t="str">
        <f aca="false">+VLOOKUP(K170,'Correl CIIU'!$A$1:$F$26,3,FALSE())</f>
        <v>Manufacturas</v>
      </c>
      <c r="N170" s="27" t="str">
        <f aca="false">+VLOOKUP(K170,'Correl CIIU'!$A$1:$F$26,4,FALSE())</f>
        <v>Manufacturing</v>
      </c>
      <c r="O170" s="27" t="n">
        <v>2</v>
      </c>
      <c r="P170" s="28" t="str">
        <f aca="false">+VLOOKUP(O170,bio!$A$2:$B$4,2,FALSE())</f>
        <v>Bioeconomía extendida</v>
      </c>
    </row>
    <row r="171" customFormat="false" ht="14.25" hidden="false" customHeight="false" outlineLevel="0" collapsed="false">
      <c r="A171" s="24" t="s">
        <v>1253</v>
      </c>
      <c r="B171" s="25" t="s">
        <v>1405</v>
      </c>
      <c r="C171" s="26" t="str">
        <f aca="false">+VLOOKUP(B171,'transacciones '!$A$2:$I$39,2,FALSE())</f>
        <v>ATC01</v>
      </c>
      <c r="D171" s="26" t="str">
        <f aca="false">+VLOOKUP(B171,'transacciones '!$A$2:$I$39,3,FALSE())</f>
        <v>Producción / Consumo intermedio</v>
      </c>
      <c r="E171" s="26" t="str">
        <f aca="false">+VLOOKUP(B171,'transacciones '!$A$2:$I$39,4,FALSE())</f>
        <v>Producción</v>
      </c>
      <c r="F171" s="26" t="n">
        <f aca="false">+VLOOKUP(B171,'transacciones '!$A$2:$I$39,5,FALSE())</f>
        <v>1</v>
      </c>
      <c r="G171" s="26" t="str">
        <f aca="false">+VLOOKUP(B171,'transacciones '!$A$2:$I$39,6,FALSE())</f>
        <v>P1</v>
      </c>
      <c r="H171" s="26" t="str">
        <f aca="false">+VLOOKUP(B171,'transacciones '!$A$2:$I$39,7,FALSE())</f>
        <v>Producción</v>
      </c>
      <c r="I171" s="41" t="s">
        <v>1565</v>
      </c>
      <c r="J171" s="26" t="s">
        <v>1440</v>
      </c>
      <c r="K171" s="27" t="s">
        <v>1424</v>
      </c>
      <c r="L171" s="27" t="str">
        <f aca="false">+VLOOKUP(K171,'Correl CIIU'!$A$1:$F$26,2,FALSE())</f>
        <v>Industrias manufactureras</v>
      </c>
      <c r="M171" s="27" t="str">
        <f aca="false">+VLOOKUP(K171,'Correl CIIU'!$A$1:$F$26,3,FALSE())</f>
        <v>Manufacturas</v>
      </c>
      <c r="N171" s="27" t="str">
        <f aca="false">+VLOOKUP(K171,'Correl CIIU'!$A$1:$F$26,4,FALSE())</f>
        <v>Manufacturing</v>
      </c>
      <c r="O171" s="27" t="n">
        <v>1</v>
      </c>
      <c r="P171" s="28" t="str">
        <f aca="false">+VLOOKUP(O171,bio!$A$2:$B$4,2,FALSE())</f>
        <v>Bioeconomía</v>
      </c>
    </row>
    <row r="172" customFormat="false" ht="14.25" hidden="false" customHeight="false" outlineLevel="0" collapsed="false">
      <c r="A172" s="24" t="s">
        <v>1255</v>
      </c>
      <c r="B172" s="25" t="s">
        <v>1405</v>
      </c>
      <c r="C172" s="26" t="str">
        <f aca="false">+VLOOKUP(B172,'transacciones '!$A$2:$I$39,2,FALSE())</f>
        <v>ATC01</v>
      </c>
      <c r="D172" s="26" t="str">
        <f aca="false">+VLOOKUP(B172,'transacciones '!$A$2:$I$39,3,FALSE())</f>
        <v>Producción / Consumo intermedio</v>
      </c>
      <c r="E172" s="26" t="str">
        <f aca="false">+VLOOKUP(B172,'transacciones '!$A$2:$I$39,4,FALSE())</f>
        <v>Producción</v>
      </c>
      <c r="F172" s="26" t="n">
        <f aca="false">+VLOOKUP(B172,'transacciones '!$A$2:$I$39,5,FALSE())</f>
        <v>1</v>
      </c>
      <c r="G172" s="26" t="str">
        <f aca="false">+VLOOKUP(B172,'transacciones '!$A$2:$I$39,6,FALSE())</f>
        <v>P1</v>
      </c>
      <c r="H172" s="26" t="str">
        <f aca="false">+VLOOKUP(B172,'transacciones '!$A$2:$I$39,7,FALSE())</f>
        <v>Producción</v>
      </c>
      <c r="I172" s="41" t="s">
        <v>1565</v>
      </c>
      <c r="J172" s="26" t="s">
        <v>1442</v>
      </c>
      <c r="K172" s="27" t="s">
        <v>1424</v>
      </c>
      <c r="L172" s="27" t="str">
        <f aca="false">+VLOOKUP(K172,'Correl CIIU'!$A$1:$F$26,2,FALSE())</f>
        <v>Industrias manufactureras</v>
      </c>
      <c r="M172" s="27" t="str">
        <f aca="false">+VLOOKUP(K172,'Correl CIIU'!$A$1:$F$26,3,FALSE())</f>
        <v>Manufacturas</v>
      </c>
      <c r="N172" s="27" t="str">
        <f aca="false">+VLOOKUP(K172,'Correl CIIU'!$A$1:$F$26,4,FALSE())</f>
        <v>Manufacturing</v>
      </c>
      <c r="O172" s="27" t="n">
        <v>2</v>
      </c>
      <c r="P172" s="28" t="str">
        <f aca="false">+VLOOKUP(O172,bio!$A$2:$B$4,2,FALSE())</f>
        <v>Bioeconomía extendida</v>
      </c>
    </row>
    <row r="173" customFormat="false" ht="14.25" hidden="false" customHeight="false" outlineLevel="0" collapsed="false">
      <c r="A173" s="24" t="s">
        <v>1257</v>
      </c>
      <c r="B173" s="25" t="s">
        <v>1405</v>
      </c>
      <c r="C173" s="26" t="str">
        <f aca="false">+VLOOKUP(B173,'transacciones '!$A$2:$I$39,2,FALSE())</f>
        <v>ATC01</v>
      </c>
      <c r="D173" s="26" t="str">
        <f aca="false">+VLOOKUP(B173,'transacciones '!$A$2:$I$39,3,FALSE())</f>
        <v>Producción / Consumo intermedio</v>
      </c>
      <c r="E173" s="26" t="str">
        <f aca="false">+VLOOKUP(B173,'transacciones '!$A$2:$I$39,4,FALSE())</f>
        <v>Producción</v>
      </c>
      <c r="F173" s="26" t="n">
        <f aca="false">+VLOOKUP(B173,'transacciones '!$A$2:$I$39,5,FALSE())</f>
        <v>1</v>
      </c>
      <c r="G173" s="26" t="str">
        <f aca="false">+VLOOKUP(B173,'transacciones '!$A$2:$I$39,6,FALSE())</f>
        <v>P1</v>
      </c>
      <c r="H173" s="26" t="str">
        <f aca="false">+VLOOKUP(B173,'transacciones '!$A$2:$I$39,7,FALSE())</f>
        <v>Producción</v>
      </c>
      <c r="I173" s="41" t="s">
        <v>1565</v>
      </c>
      <c r="J173" s="26" t="s">
        <v>1444</v>
      </c>
      <c r="K173" s="27" t="s">
        <v>1424</v>
      </c>
      <c r="L173" s="27" t="str">
        <f aca="false">+VLOOKUP(K173,'Correl CIIU'!$A$1:$F$26,2,FALSE())</f>
        <v>Industrias manufactureras</v>
      </c>
      <c r="M173" s="27" t="str">
        <f aca="false">+VLOOKUP(K173,'Correl CIIU'!$A$1:$F$26,3,FALSE())</f>
        <v>Manufacturas</v>
      </c>
      <c r="N173" s="27" t="str">
        <f aca="false">+VLOOKUP(K173,'Correl CIIU'!$A$1:$F$26,4,FALSE())</f>
        <v>Manufacturing</v>
      </c>
      <c r="O173" s="27" t="n">
        <v>3</v>
      </c>
      <c r="P173" s="28" t="str">
        <f aca="false">+VLOOKUP(O173,bio!$A$2:$B$4,2,FALSE())</f>
        <v>No bioeconomía</v>
      </c>
    </row>
    <row r="174" customFormat="false" ht="14.25" hidden="false" customHeight="false" outlineLevel="0" collapsed="false">
      <c r="A174" s="24" t="s">
        <v>1259</v>
      </c>
      <c r="B174" s="25" t="s">
        <v>1405</v>
      </c>
      <c r="C174" s="26" t="str">
        <f aca="false">+VLOOKUP(B174,'transacciones '!$A$2:$I$39,2,FALSE())</f>
        <v>ATC01</v>
      </c>
      <c r="D174" s="26" t="str">
        <f aca="false">+VLOOKUP(B174,'transacciones '!$A$2:$I$39,3,FALSE())</f>
        <v>Producción / Consumo intermedio</v>
      </c>
      <c r="E174" s="26" t="str">
        <f aca="false">+VLOOKUP(B174,'transacciones '!$A$2:$I$39,4,FALSE())</f>
        <v>Producción</v>
      </c>
      <c r="F174" s="26" t="n">
        <f aca="false">+VLOOKUP(B174,'transacciones '!$A$2:$I$39,5,FALSE())</f>
        <v>1</v>
      </c>
      <c r="G174" s="26" t="str">
        <f aca="false">+VLOOKUP(B174,'transacciones '!$A$2:$I$39,6,FALSE())</f>
        <v>P1</v>
      </c>
      <c r="H174" s="26" t="str">
        <f aca="false">+VLOOKUP(B174,'transacciones '!$A$2:$I$39,7,FALSE())</f>
        <v>Producción</v>
      </c>
      <c r="I174" s="41" t="s">
        <v>1565</v>
      </c>
      <c r="J174" s="26" t="s">
        <v>1446</v>
      </c>
      <c r="K174" s="27" t="s">
        <v>1424</v>
      </c>
      <c r="L174" s="27" t="str">
        <f aca="false">+VLOOKUP(K174,'Correl CIIU'!$A$1:$F$26,2,FALSE())</f>
        <v>Industrias manufactureras</v>
      </c>
      <c r="M174" s="27" t="str">
        <f aca="false">+VLOOKUP(K174,'Correl CIIU'!$A$1:$F$26,3,FALSE())</f>
        <v>Manufacturas</v>
      </c>
      <c r="N174" s="27" t="str">
        <f aca="false">+VLOOKUP(K174,'Correl CIIU'!$A$1:$F$26,4,FALSE())</f>
        <v>Manufacturing</v>
      </c>
      <c r="O174" s="27" t="n">
        <v>3</v>
      </c>
      <c r="P174" s="28" t="str">
        <f aca="false">+VLOOKUP(O174,bio!$A$2:$B$4,2,FALSE())</f>
        <v>No bioeconomía</v>
      </c>
    </row>
    <row r="175" customFormat="false" ht="14.25" hidden="false" customHeight="false" outlineLevel="0" collapsed="false">
      <c r="A175" s="24" t="s">
        <v>1261</v>
      </c>
      <c r="B175" s="25" t="s">
        <v>1405</v>
      </c>
      <c r="C175" s="26" t="str">
        <f aca="false">+VLOOKUP(B175,'transacciones '!$A$2:$I$39,2,FALSE())</f>
        <v>ATC01</v>
      </c>
      <c r="D175" s="26" t="str">
        <f aca="false">+VLOOKUP(B175,'transacciones '!$A$2:$I$39,3,FALSE())</f>
        <v>Producción / Consumo intermedio</v>
      </c>
      <c r="E175" s="26" t="str">
        <f aca="false">+VLOOKUP(B175,'transacciones '!$A$2:$I$39,4,FALSE())</f>
        <v>Producción</v>
      </c>
      <c r="F175" s="26" t="n">
        <f aca="false">+VLOOKUP(B175,'transacciones '!$A$2:$I$39,5,FALSE())</f>
        <v>1</v>
      </c>
      <c r="G175" s="26" t="str">
        <f aca="false">+VLOOKUP(B175,'transacciones '!$A$2:$I$39,6,FALSE())</f>
        <v>P1</v>
      </c>
      <c r="H175" s="26" t="str">
        <f aca="false">+VLOOKUP(B175,'transacciones '!$A$2:$I$39,7,FALSE())</f>
        <v>Producción</v>
      </c>
      <c r="I175" s="41" t="s">
        <v>1565</v>
      </c>
      <c r="J175" s="26" t="s">
        <v>1448</v>
      </c>
      <c r="K175" s="27" t="s">
        <v>1424</v>
      </c>
      <c r="L175" s="27" t="str">
        <f aca="false">+VLOOKUP(K175,'Correl CIIU'!$A$1:$F$26,2,FALSE())</f>
        <v>Industrias manufactureras</v>
      </c>
      <c r="M175" s="27" t="str">
        <f aca="false">+VLOOKUP(K175,'Correl CIIU'!$A$1:$F$26,3,FALSE())</f>
        <v>Manufacturas</v>
      </c>
      <c r="N175" s="27" t="str">
        <f aca="false">+VLOOKUP(K175,'Correl CIIU'!$A$1:$F$26,4,FALSE())</f>
        <v>Manufacturing</v>
      </c>
      <c r="O175" s="27" t="n">
        <v>3</v>
      </c>
      <c r="P175" s="28" t="str">
        <f aca="false">+VLOOKUP(O175,bio!$A$2:$B$4,2,FALSE())</f>
        <v>No bioeconomía</v>
      </c>
    </row>
    <row r="176" customFormat="false" ht="14.25" hidden="false" customHeight="false" outlineLevel="0" collapsed="false">
      <c r="A176" s="24" t="s">
        <v>1263</v>
      </c>
      <c r="B176" s="25" t="s">
        <v>1405</v>
      </c>
      <c r="C176" s="26" t="str">
        <f aca="false">+VLOOKUP(B176,'transacciones '!$A$2:$I$39,2,FALSE())</f>
        <v>ATC01</v>
      </c>
      <c r="D176" s="26" t="str">
        <f aca="false">+VLOOKUP(B176,'transacciones '!$A$2:$I$39,3,FALSE())</f>
        <v>Producción / Consumo intermedio</v>
      </c>
      <c r="E176" s="26" t="str">
        <f aca="false">+VLOOKUP(B176,'transacciones '!$A$2:$I$39,4,FALSE())</f>
        <v>Producción</v>
      </c>
      <c r="F176" s="26" t="n">
        <f aca="false">+VLOOKUP(B176,'transacciones '!$A$2:$I$39,5,FALSE())</f>
        <v>1</v>
      </c>
      <c r="G176" s="26" t="str">
        <f aca="false">+VLOOKUP(B176,'transacciones '!$A$2:$I$39,6,FALSE())</f>
        <v>P1</v>
      </c>
      <c r="H176" s="26" t="str">
        <f aca="false">+VLOOKUP(B176,'transacciones '!$A$2:$I$39,7,FALSE())</f>
        <v>Producción</v>
      </c>
      <c r="I176" s="41" t="s">
        <v>1565</v>
      </c>
      <c r="J176" s="26" t="s">
        <v>1450</v>
      </c>
      <c r="K176" s="27" t="s">
        <v>1424</v>
      </c>
      <c r="L176" s="27" t="str">
        <f aca="false">+VLOOKUP(K176,'Correl CIIU'!$A$1:$F$26,2,FALSE())</f>
        <v>Industrias manufactureras</v>
      </c>
      <c r="M176" s="27" t="str">
        <f aca="false">+VLOOKUP(K176,'Correl CIIU'!$A$1:$F$26,3,FALSE())</f>
        <v>Manufacturas</v>
      </c>
      <c r="N176" s="27" t="str">
        <f aca="false">+VLOOKUP(K176,'Correl CIIU'!$A$1:$F$26,4,FALSE())</f>
        <v>Manufacturing</v>
      </c>
      <c r="O176" s="27" t="n">
        <v>2</v>
      </c>
      <c r="P176" s="28" t="str">
        <f aca="false">+VLOOKUP(O176,bio!$A$2:$B$4,2,FALSE())</f>
        <v>Bioeconomía extendida</v>
      </c>
    </row>
    <row r="177" customFormat="false" ht="14.25" hidden="false" customHeight="false" outlineLevel="0" collapsed="false">
      <c r="A177" s="24" t="s">
        <v>1265</v>
      </c>
      <c r="B177" s="25" t="s">
        <v>1405</v>
      </c>
      <c r="C177" s="26" t="str">
        <f aca="false">+VLOOKUP(B177,'transacciones '!$A$2:$I$39,2,FALSE())</f>
        <v>ATC01</v>
      </c>
      <c r="D177" s="26" t="str">
        <f aca="false">+VLOOKUP(B177,'transacciones '!$A$2:$I$39,3,FALSE())</f>
        <v>Producción / Consumo intermedio</v>
      </c>
      <c r="E177" s="26" t="str">
        <f aca="false">+VLOOKUP(B177,'transacciones '!$A$2:$I$39,4,FALSE())</f>
        <v>Producción</v>
      </c>
      <c r="F177" s="26" t="n">
        <f aca="false">+VLOOKUP(B177,'transacciones '!$A$2:$I$39,5,FALSE())</f>
        <v>1</v>
      </c>
      <c r="G177" s="26" t="str">
        <f aca="false">+VLOOKUP(B177,'transacciones '!$A$2:$I$39,6,FALSE())</f>
        <v>P1</v>
      </c>
      <c r="H177" s="26" t="str">
        <f aca="false">+VLOOKUP(B177,'transacciones '!$A$2:$I$39,7,FALSE())</f>
        <v>Producción</v>
      </c>
      <c r="I177" s="41" t="s">
        <v>1565</v>
      </c>
      <c r="J177" s="26" t="s">
        <v>1452</v>
      </c>
      <c r="K177" s="27" t="s">
        <v>1424</v>
      </c>
      <c r="L177" s="27" t="str">
        <f aca="false">+VLOOKUP(K177,'Correl CIIU'!$A$1:$F$26,2,FALSE())</f>
        <v>Industrias manufactureras</v>
      </c>
      <c r="M177" s="27" t="str">
        <f aca="false">+VLOOKUP(K177,'Correl CIIU'!$A$1:$F$26,3,FALSE())</f>
        <v>Manufacturas</v>
      </c>
      <c r="N177" s="27" t="str">
        <f aca="false">+VLOOKUP(K177,'Correl CIIU'!$A$1:$F$26,4,FALSE())</f>
        <v>Manufacturing</v>
      </c>
      <c r="O177" s="27" t="n">
        <v>2</v>
      </c>
      <c r="P177" s="28" t="str">
        <f aca="false">+VLOOKUP(O177,bio!$A$2:$B$4,2,FALSE())</f>
        <v>Bioeconomía extendida</v>
      </c>
    </row>
    <row r="178" customFormat="false" ht="14.25" hidden="false" customHeight="false" outlineLevel="0" collapsed="false">
      <c r="A178" s="24" t="s">
        <v>1267</v>
      </c>
      <c r="B178" s="25" t="s">
        <v>1405</v>
      </c>
      <c r="C178" s="26" t="str">
        <f aca="false">+VLOOKUP(B178,'transacciones '!$A$2:$I$39,2,FALSE())</f>
        <v>ATC01</v>
      </c>
      <c r="D178" s="26" t="str">
        <f aca="false">+VLOOKUP(B178,'transacciones '!$A$2:$I$39,3,FALSE())</f>
        <v>Producción / Consumo intermedio</v>
      </c>
      <c r="E178" s="26" t="str">
        <f aca="false">+VLOOKUP(B178,'transacciones '!$A$2:$I$39,4,FALSE())</f>
        <v>Producción</v>
      </c>
      <c r="F178" s="26" t="n">
        <f aca="false">+VLOOKUP(B178,'transacciones '!$A$2:$I$39,5,FALSE())</f>
        <v>1</v>
      </c>
      <c r="G178" s="26" t="str">
        <f aca="false">+VLOOKUP(B178,'transacciones '!$A$2:$I$39,6,FALSE())</f>
        <v>P1</v>
      </c>
      <c r="H178" s="26" t="str">
        <f aca="false">+VLOOKUP(B178,'transacciones '!$A$2:$I$39,7,FALSE())</f>
        <v>Producción</v>
      </c>
      <c r="I178" s="41" t="s">
        <v>1565</v>
      </c>
      <c r="J178" s="26" t="s">
        <v>1454</v>
      </c>
      <c r="K178" s="27" t="s">
        <v>1424</v>
      </c>
      <c r="L178" s="27" t="str">
        <f aca="false">+VLOOKUP(K178,'Correl CIIU'!$A$1:$F$26,2,FALSE())</f>
        <v>Industrias manufactureras</v>
      </c>
      <c r="M178" s="27" t="str">
        <f aca="false">+VLOOKUP(K178,'Correl CIIU'!$A$1:$F$26,3,FALSE())</f>
        <v>Manufacturas</v>
      </c>
      <c r="N178" s="27" t="str">
        <f aca="false">+VLOOKUP(K178,'Correl CIIU'!$A$1:$F$26,4,FALSE())</f>
        <v>Manufacturing</v>
      </c>
      <c r="O178" s="27" t="n">
        <v>2</v>
      </c>
      <c r="P178" s="28" t="str">
        <f aca="false">+VLOOKUP(O178,bio!$A$2:$B$4,2,FALSE())</f>
        <v>Bioeconomía extendida</v>
      </c>
    </row>
    <row r="179" customFormat="false" ht="14.25" hidden="false" customHeight="false" outlineLevel="0" collapsed="false">
      <c r="A179" s="24" t="s">
        <v>1269</v>
      </c>
      <c r="B179" s="25" t="s">
        <v>1405</v>
      </c>
      <c r="C179" s="26" t="str">
        <f aca="false">+VLOOKUP(B179,'transacciones '!$A$2:$I$39,2,FALSE())</f>
        <v>ATC01</v>
      </c>
      <c r="D179" s="26" t="str">
        <f aca="false">+VLOOKUP(B179,'transacciones '!$A$2:$I$39,3,FALSE())</f>
        <v>Producción / Consumo intermedio</v>
      </c>
      <c r="E179" s="26" t="str">
        <f aca="false">+VLOOKUP(B179,'transacciones '!$A$2:$I$39,4,FALSE())</f>
        <v>Producción</v>
      </c>
      <c r="F179" s="26" t="n">
        <f aca="false">+VLOOKUP(B179,'transacciones '!$A$2:$I$39,5,FALSE())</f>
        <v>1</v>
      </c>
      <c r="G179" s="26" t="str">
        <f aca="false">+VLOOKUP(B179,'transacciones '!$A$2:$I$39,6,FALSE())</f>
        <v>P1</v>
      </c>
      <c r="H179" s="26" t="str">
        <f aca="false">+VLOOKUP(B179,'transacciones '!$A$2:$I$39,7,FALSE())</f>
        <v>Producción</v>
      </c>
      <c r="I179" s="41" t="s">
        <v>1565</v>
      </c>
      <c r="J179" s="26" t="s">
        <v>1456</v>
      </c>
      <c r="K179" s="27" t="s">
        <v>1424</v>
      </c>
      <c r="L179" s="27" t="str">
        <f aca="false">+VLOOKUP(K179,'Correl CIIU'!$A$1:$F$26,2,FALSE())</f>
        <v>Industrias manufactureras</v>
      </c>
      <c r="M179" s="27" t="str">
        <f aca="false">+VLOOKUP(K179,'Correl CIIU'!$A$1:$F$26,3,FALSE())</f>
        <v>Manufacturas</v>
      </c>
      <c r="N179" s="27" t="str">
        <f aca="false">+VLOOKUP(K179,'Correl CIIU'!$A$1:$F$26,4,FALSE())</f>
        <v>Manufacturing</v>
      </c>
      <c r="O179" s="27" t="n">
        <v>2</v>
      </c>
      <c r="P179" s="28" t="str">
        <f aca="false">+VLOOKUP(O179,bio!$A$2:$B$4,2,FALSE())</f>
        <v>Bioeconomía extendida</v>
      </c>
    </row>
    <row r="180" customFormat="false" ht="14.25" hidden="false" customHeight="false" outlineLevel="0" collapsed="false">
      <c r="A180" s="24" t="s">
        <v>1271</v>
      </c>
      <c r="B180" s="25" t="s">
        <v>1405</v>
      </c>
      <c r="C180" s="26" t="str">
        <f aca="false">+VLOOKUP(B180,'transacciones '!$A$2:$I$39,2,FALSE())</f>
        <v>ATC01</v>
      </c>
      <c r="D180" s="26" t="str">
        <f aca="false">+VLOOKUP(B180,'transacciones '!$A$2:$I$39,3,FALSE())</f>
        <v>Producción / Consumo intermedio</v>
      </c>
      <c r="E180" s="26" t="str">
        <f aca="false">+VLOOKUP(B180,'transacciones '!$A$2:$I$39,4,FALSE())</f>
        <v>Producción</v>
      </c>
      <c r="F180" s="26" t="n">
        <f aca="false">+VLOOKUP(B180,'transacciones '!$A$2:$I$39,5,FALSE())</f>
        <v>1</v>
      </c>
      <c r="G180" s="26" t="str">
        <f aca="false">+VLOOKUP(B180,'transacciones '!$A$2:$I$39,6,FALSE())</f>
        <v>P1</v>
      </c>
      <c r="H180" s="26" t="str">
        <f aca="false">+VLOOKUP(B180,'transacciones '!$A$2:$I$39,7,FALSE())</f>
        <v>Producción</v>
      </c>
      <c r="I180" s="41" t="s">
        <v>1565</v>
      </c>
      <c r="J180" s="26" t="s">
        <v>1458</v>
      </c>
      <c r="K180" s="27" t="s">
        <v>1424</v>
      </c>
      <c r="L180" s="27" t="str">
        <f aca="false">+VLOOKUP(K180,'Correl CIIU'!$A$1:$F$26,2,FALSE())</f>
        <v>Industrias manufactureras</v>
      </c>
      <c r="M180" s="27" t="str">
        <f aca="false">+VLOOKUP(K180,'Correl CIIU'!$A$1:$F$26,3,FALSE())</f>
        <v>Manufacturas</v>
      </c>
      <c r="N180" s="27" t="str">
        <f aca="false">+VLOOKUP(K180,'Correl CIIU'!$A$1:$F$26,4,FALSE())</f>
        <v>Manufacturing</v>
      </c>
      <c r="O180" s="27" t="n">
        <v>2</v>
      </c>
      <c r="P180" s="28" t="str">
        <f aca="false">+VLOOKUP(O180,bio!$A$2:$B$4,2,FALSE())</f>
        <v>Bioeconomía extendida</v>
      </c>
    </row>
    <row r="181" customFormat="false" ht="14.25" hidden="false" customHeight="false" outlineLevel="0" collapsed="false">
      <c r="A181" s="24" t="s">
        <v>1273</v>
      </c>
      <c r="B181" s="25" t="s">
        <v>1405</v>
      </c>
      <c r="C181" s="26" t="str">
        <f aca="false">+VLOOKUP(B181,'transacciones '!$A$2:$I$39,2,FALSE())</f>
        <v>ATC01</v>
      </c>
      <c r="D181" s="26" t="str">
        <f aca="false">+VLOOKUP(B181,'transacciones '!$A$2:$I$39,3,FALSE())</f>
        <v>Producción / Consumo intermedio</v>
      </c>
      <c r="E181" s="26" t="str">
        <f aca="false">+VLOOKUP(B181,'transacciones '!$A$2:$I$39,4,FALSE())</f>
        <v>Producción</v>
      </c>
      <c r="F181" s="26" t="n">
        <f aca="false">+VLOOKUP(B181,'transacciones '!$A$2:$I$39,5,FALSE())</f>
        <v>1</v>
      </c>
      <c r="G181" s="26" t="str">
        <f aca="false">+VLOOKUP(B181,'transacciones '!$A$2:$I$39,6,FALSE())</f>
        <v>P1</v>
      </c>
      <c r="H181" s="26" t="str">
        <f aca="false">+VLOOKUP(B181,'transacciones '!$A$2:$I$39,7,FALSE())</f>
        <v>Producción</v>
      </c>
      <c r="I181" s="41" t="s">
        <v>1565</v>
      </c>
      <c r="J181" s="26" t="s">
        <v>1460</v>
      </c>
      <c r="K181" s="27" t="s">
        <v>1424</v>
      </c>
      <c r="L181" s="27" t="str">
        <f aca="false">+VLOOKUP(K181,'Correl CIIU'!$A$1:$F$26,2,FALSE())</f>
        <v>Industrias manufactureras</v>
      </c>
      <c r="M181" s="27" t="str">
        <f aca="false">+VLOOKUP(K181,'Correl CIIU'!$A$1:$F$26,3,FALSE())</f>
        <v>Manufacturas</v>
      </c>
      <c r="N181" s="27" t="str">
        <f aca="false">+VLOOKUP(K181,'Correl CIIU'!$A$1:$F$26,4,FALSE())</f>
        <v>Manufacturing</v>
      </c>
      <c r="O181" s="27" t="n">
        <v>3</v>
      </c>
      <c r="P181" s="28" t="str">
        <f aca="false">+VLOOKUP(O181,bio!$A$2:$B$4,2,FALSE())</f>
        <v>No bioeconomía</v>
      </c>
    </row>
    <row r="182" customFormat="false" ht="14.25" hidden="false" customHeight="false" outlineLevel="0" collapsed="false">
      <c r="A182" s="24" t="s">
        <v>1275</v>
      </c>
      <c r="B182" s="25" t="s">
        <v>1405</v>
      </c>
      <c r="C182" s="26" t="str">
        <f aca="false">+VLOOKUP(B182,'transacciones '!$A$2:$I$39,2,FALSE())</f>
        <v>ATC01</v>
      </c>
      <c r="D182" s="26" t="str">
        <f aca="false">+VLOOKUP(B182,'transacciones '!$A$2:$I$39,3,FALSE())</f>
        <v>Producción / Consumo intermedio</v>
      </c>
      <c r="E182" s="26" t="str">
        <f aca="false">+VLOOKUP(B182,'transacciones '!$A$2:$I$39,4,FALSE())</f>
        <v>Producción</v>
      </c>
      <c r="F182" s="26" t="n">
        <f aca="false">+VLOOKUP(B182,'transacciones '!$A$2:$I$39,5,FALSE())</f>
        <v>1</v>
      </c>
      <c r="G182" s="26" t="str">
        <f aca="false">+VLOOKUP(B182,'transacciones '!$A$2:$I$39,6,FALSE())</f>
        <v>P1</v>
      </c>
      <c r="H182" s="26" t="str">
        <f aca="false">+VLOOKUP(B182,'transacciones '!$A$2:$I$39,7,FALSE())</f>
        <v>Producción</v>
      </c>
      <c r="I182" s="41" t="s">
        <v>1565</v>
      </c>
      <c r="J182" s="26" t="s">
        <v>1462</v>
      </c>
      <c r="K182" s="27" t="s">
        <v>1424</v>
      </c>
      <c r="L182" s="27" t="str">
        <f aca="false">+VLOOKUP(K182,'Correl CIIU'!$A$1:$F$26,2,FALSE())</f>
        <v>Industrias manufactureras</v>
      </c>
      <c r="M182" s="27" t="str">
        <f aca="false">+VLOOKUP(K182,'Correl CIIU'!$A$1:$F$26,3,FALSE())</f>
        <v>Manufacturas</v>
      </c>
      <c r="N182" s="27" t="str">
        <f aca="false">+VLOOKUP(K182,'Correl CIIU'!$A$1:$F$26,4,FALSE())</f>
        <v>Manufacturing</v>
      </c>
      <c r="O182" s="27" t="n">
        <v>3</v>
      </c>
      <c r="P182" s="28" t="str">
        <f aca="false">+VLOOKUP(O182,bio!$A$2:$B$4,2,FALSE())</f>
        <v>No bioeconomía</v>
      </c>
    </row>
    <row r="183" customFormat="false" ht="14.25" hidden="false" customHeight="false" outlineLevel="0" collapsed="false">
      <c r="A183" s="24" t="s">
        <v>1277</v>
      </c>
      <c r="B183" s="25" t="s">
        <v>1405</v>
      </c>
      <c r="C183" s="26" t="str">
        <f aca="false">+VLOOKUP(B183,'transacciones '!$A$2:$I$39,2,FALSE())</f>
        <v>ATC01</v>
      </c>
      <c r="D183" s="26" t="str">
        <f aca="false">+VLOOKUP(B183,'transacciones '!$A$2:$I$39,3,FALSE())</f>
        <v>Producción / Consumo intermedio</v>
      </c>
      <c r="E183" s="26" t="str">
        <f aca="false">+VLOOKUP(B183,'transacciones '!$A$2:$I$39,4,FALSE())</f>
        <v>Producción</v>
      </c>
      <c r="F183" s="26" t="n">
        <f aca="false">+VLOOKUP(B183,'transacciones '!$A$2:$I$39,5,FALSE())</f>
        <v>1</v>
      </c>
      <c r="G183" s="26" t="str">
        <f aca="false">+VLOOKUP(B183,'transacciones '!$A$2:$I$39,6,FALSE())</f>
        <v>P1</v>
      </c>
      <c r="H183" s="26" t="str">
        <f aca="false">+VLOOKUP(B183,'transacciones '!$A$2:$I$39,7,FALSE())</f>
        <v>Producción</v>
      </c>
      <c r="I183" s="41" t="s">
        <v>1565</v>
      </c>
      <c r="J183" s="26" t="s">
        <v>1464</v>
      </c>
      <c r="K183" s="27" t="s">
        <v>1424</v>
      </c>
      <c r="L183" s="27" t="str">
        <f aca="false">+VLOOKUP(K183,'Correl CIIU'!$A$1:$F$26,2,FALSE())</f>
        <v>Industrias manufactureras</v>
      </c>
      <c r="M183" s="27" t="str">
        <f aca="false">+VLOOKUP(K183,'Correl CIIU'!$A$1:$F$26,3,FALSE())</f>
        <v>Manufacturas</v>
      </c>
      <c r="N183" s="27" t="str">
        <f aca="false">+VLOOKUP(K183,'Correl CIIU'!$A$1:$F$26,4,FALSE())</f>
        <v>Manufacturing</v>
      </c>
      <c r="O183" s="27" t="n">
        <v>3</v>
      </c>
      <c r="P183" s="28" t="str">
        <f aca="false">+VLOOKUP(O183,bio!$A$2:$B$4,2,FALSE())</f>
        <v>No bioeconomía</v>
      </c>
    </row>
    <row r="184" customFormat="false" ht="14.25" hidden="false" customHeight="false" outlineLevel="0" collapsed="false">
      <c r="A184" s="24" t="s">
        <v>1279</v>
      </c>
      <c r="B184" s="25" t="s">
        <v>1405</v>
      </c>
      <c r="C184" s="26" t="str">
        <f aca="false">+VLOOKUP(B184,'transacciones '!$A$2:$I$39,2,FALSE())</f>
        <v>ATC01</v>
      </c>
      <c r="D184" s="26" t="str">
        <f aca="false">+VLOOKUP(B184,'transacciones '!$A$2:$I$39,3,FALSE())</f>
        <v>Producción / Consumo intermedio</v>
      </c>
      <c r="E184" s="26" t="str">
        <f aca="false">+VLOOKUP(B184,'transacciones '!$A$2:$I$39,4,FALSE())</f>
        <v>Producción</v>
      </c>
      <c r="F184" s="26" t="n">
        <f aca="false">+VLOOKUP(B184,'transacciones '!$A$2:$I$39,5,FALSE())</f>
        <v>1</v>
      </c>
      <c r="G184" s="26" t="str">
        <f aca="false">+VLOOKUP(B184,'transacciones '!$A$2:$I$39,6,FALSE())</f>
        <v>P1</v>
      </c>
      <c r="H184" s="26" t="str">
        <f aca="false">+VLOOKUP(B184,'transacciones '!$A$2:$I$39,7,FALSE())</f>
        <v>Producción</v>
      </c>
      <c r="I184" s="41" t="s">
        <v>1565</v>
      </c>
      <c r="J184" s="26" t="s">
        <v>1466</v>
      </c>
      <c r="K184" s="27" t="s">
        <v>1424</v>
      </c>
      <c r="L184" s="27" t="str">
        <f aca="false">+VLOOKUP(K184,'Correl CIIU'!$A$1:$F$26,2,FALSE())</f>
        <v>Industrias manufactureras</v>
      </c>
      <c r="M184" s="27" t="str">
        <f aca="false">+VLOOKUP(K184,'Correl CIIU'!$A$1:$F$26,3,FALSE())</f>
        <v>Manufacturas</v>
      </c>
      <c r="N184" s="27" t="str">
        <f aca="false">+VLOOKUP(K184,'Correl CIIU'!$A$1:$F$26,4,FALSE())</f>
        <v>Manufacturing</v>
      </c>
      <c r="O184" s="27" t="n">
        <v>3</v>
      </c>
      <c r="P184" s="28" t="str">
        <f aca="false">+VLOOKUP(O184,bio!$A$2:$B$4,2,FALSE())</f>
        <v>No bioeconomía</v>
      </c>
    </row>
    <row r="185" customFormat="false" ht="14.25" hidden="false" customHeight="false" outlineLevel="0" collapsed="false">
      <c r="A185" s="24" t="s">
        <v>1281</v>
      </c>
      <c r="B185" s="25" t="s">
        <v>1405</v>
      </c>
      <c r="C185" s="26" t="str">
        <f aca="false">+VLOOKUP(B185,'transacciones '!$A$2:$I$39,2,FALSE())</f>
        <v>ATC01</v>
      </c>
      <c r="D185" s="26" t="str">
        <f aca="false">+VLOOKUP(B185,'transacciones '!$A$2:$I$39,3,FALSE())</f>
        <v>Producción / Consumo intermedio</v>
      </c>
      <c r="E185" s="26" t="str">
        <f aca="false">+VLOOKUP(B185,'transacciones '!$A$2:$I$39,4,FALSE())</f>
        <v>Producción</v>
      </c>
      <c r="F185" s="26" t="n">
        <f aca="false">+VLOOKUP(B185,'transacciones '!$A$2:$I$39,5,FALSE())</f>
        <v>1</v>
      </c>
      <c r="G185" s="26" t="str">
        <f aca="false">+VLOOKUP(B185,'transacciones '!$A$2:$I$39,6,FALSE())</f>
        <v>P1</v>
      </c>
      <c r="H185" s="26" t="str">
        <f aca="false">+VLOOKUP(B185,'transacciones '!$A$2:$I$39,7,FALSE())</f>
        <v>Producción</v>
      </c>
      <c r="I185" s="41" t="s">
        <v>1565</v>
      </c>
      <c r="J185" s="26" t="s">
        <v>1468</v>
      </c>
      <c r="K185" s="27" t="s">
        <v>1424</v>
      </c>
      <c r="L185" s="27" t="str">
        <f aca="false">+VLOOKUP(K185,'Correl CIIU'!$A$1:$F$26,2,FALSE())</f>
        <v>Industrias manufactureras</v>
      </c>
      <c r="M185" s="27" t="str">
        <f aca="false">+VLOOKUP(K185,'Correl CIIU'!$A$1:$F$26,3,FALSE())</f>
        <v>Manufacturas</v>
      </c>
      <c r="N185" s="27" t="str">
        <f aca="false">+VLOOKUP(K185,'Correl CIIU'!$A$1:$F$26,4,FALSE())</f>
        <v>Manufacturing</v>
      </c>
      <c r="O185" s="27" t="n">
        <v>3</v>
      </c>
      <c r="P185" s="28" t="str">
        <f aca="false">+VLOOKUP(O185,bio!$A$2:$B$4,2,FALSE())</f>
        <v>No bioeconomía</v>
      </c>
    </row>
    <row r="186" customFormat="false" ht="14.25" hidden="false" customHeight="false" outlineLevel="0" collapsed="false">
      <c r="A186" s="24" t="s">
        <v>1283</v>
      </c>
      <c r="B186" s="25" t="s">
        <v>1405</v>
      </c>
      <c r="C186" s="26" t="str">
        <f aca="false">+VLOOKUP(B186,'transacciones '!$A$2:$I$39,2,FALSE())</f>
        <v>ATC01</v>
      </c>
      <c r="D186" s="26" t="str">
        <f aca="false">+VLOOKUP(B186,'transacciones '!$A$2:$I$39,3,FALSE())</f>
        <v>Producción / Consumo intermedio</v>
      </c>
      <c r="E186" s="26" t="str">
        <f aca="false">+VLOOKUP(B186,'transacciones '!$A$2:$I$39,4,FALSE())</f>
        <v>Producción</v>
      </c>
      <c r="F186" s="26" t="n">
        <f aca="false">+VLOOKUP(B186,'transacciones '!$A$2:$I$39,5,FALSE())</f>
        <v>1</v>
      </c>
      <c r="G186" s="26" t="str">
        <f aca="false">+VLOOKUP(B186,'transacciones '!$A$2:$I$39,6,FALSE())</f>
        <v>P1</v>
      </c>
      <c r="H186" s="26" t="str">
        <f aca="false">+VLOOKUP(B186,'transacciones '!$A$2:$I$39,7,FALSE())</f>
        <v>Producción</v>
      </c>
      <c r="I186" s="41" t="s">
        <v>1565</v>
      </c>
      <c r="J186" s="26" t="s">
        <v>1470</v>
      </c>
      <c r="K186" s="27" t="s">
        <v>1424</v>
      </c>
      <c r="L186" s="27" t="str">
        <f aca="false">+VLOOKUP(K186,'Correl CIIU'!$A$1:$F$26,2,FALSE())</f>
        <v>Industrias manufactureras</v>
      </c>
      <c r="M186" s="27" t="str">
        <f aca="false">+VLOOKUP(K186,'Correl CIIU'!$A$1:$F$26,3,FALSE())</f>
        <v>Manufacturas</v>
      </c>
      <c r="N186" s="27" t="str">
        <f aca="false">+VLOOKUP(K186,'Correl CIIU'!$A$1:$F$26,4,FALSE())</f>
        <v>Manufacturing</v>
      </c>
      <c r="O186" s="27" t="n">
        <v>3</v>
      </c>
      <c r="P186" s="28" t="str">
        <f aca="false">+VLOOKUP(O186,bio!$A$2:$B$4,2,FALSE())</f>
        <v>No bioeconomía</v>
      </c>
    </row>
    <row r="187" customFormat="false" ht="14.25" hidden="false" customHeight="false" outlineLevel="0" collapsed="false">
      <c r="A187" s="24" t="s">
        <v>1285</v>
      </c>
      <c r="B187" s="25" t="s">
        <v>1405</v>
      </c>
      <c r="C187" s="26" t="str">
        <f aca="false">+VLOOKUP(B187,'transacciones '!$A$2:$I$39,2,FALSE())</f>
        <v>ATC01</v>
      </c>
      <c r="D187" s="26" t="str">
        <f aca="false">+VLOOKUP(B187,'transacciones '!$A$2:$I$39,3,FALSE())</f>
        <v>Producción / Consumo intermedio</v>
      </c>
      <c r="E187" s="26" t="str">
        <f aca="false">+VLOOKUP(B187,'transacciones '!$A$2:$I$39,4,FALSE())</f>
        <v>Producción</v>
      </c>
      <c r="F187" s="26" t="n">
        <f aca="false">+VLOOKUP(B187,'transacciones '!$A$2:$I$39,5,FALSE())</f>
        <v>1</v>
      </c>
      <c r="G187" s="26" t="str">
        <f aca="false">+VLOOKUP(B187,'transacciones '!$A$2:$I$39,6,FALSE())</f>
        <v>P1</v>
      </c>
      <c r="H187" s="26" t="str">
        <f aca="false">+VLOOKUP(B187,'transacciones '!$A$2:$I$39,7,FALSE())</f>
        <v>Producción</v>
      </c>
      <c r="I187" s="41" t="s">
        <v>1565</v>
      </c>
      <c r="J187" s="26" t="s">
        <v>1472</v>
      </c>
      <c r="K187" s="27" t="s">
        <v>1424</v>
      </c>
      <c r="L187" s="27" t="str">
        <f aca="false">+VLOOKUP(K187,'Correl CIIU'!$A$1:$F$26,2,FALSE())</f>
        <v>Industrias manufactureras</v>
      </c>
      <c r="M187" s="27" t="str">
        <f aca="false">+VLOOKUP(K187,'Correl CIIU'!$A$1:$F$26,3,FALSE())</f>
        <v>Manufacturas</v>
      </c>
      <c r="N187" s="27" t="str">
        <f aca="false">+VLOOKUP(K187,'Correl CIIU'!$A$1:$F$26,4,FALSE())</f>
        <v>Manufacturing</v>
      </c>
      <c r="O187" s="27" t="n">
        <v>3</v>
      </c>
      <c r="P187" s="28" t="str">
        <f aca="false">+VLOOKUP(O187,bio!$A$2:$B$4,2,FALSE())</f>
        <v>No bioeconomía</v>
      </c>
    </row>
    <row r="188" customFormat="false" ht="14.25" hidden="false" customHeight="false" outlineLevel="0" collapsed="false">
      <c r="A188" s="24" t="s">
        <v>1287</v>
      </c>
      <c r="B188" s="25" t="s">
        <v>1405</v>
      </c>
      <c r="C188" s="26" t="str">
        <f aca="false">+VLOOKUP(B188,'transacciones '!$A$2:$I$39,2,FALSE())</f>
        <v>ATC01</v>
      </c>
      <c r="D188" s="26" t="str">
        <f aca="false">+VLOOKUP(B188,'transacciones '!$A$2:$I$39,3,FALSE())</f>
        <v>Producción / Consumo intermedio</v>
      </c>
      <c r="E188" s="26" t="str">
        <f aca="false">+VLOOKUP(B188,'transacciones '!$A$2:$I$39,4,FALSE())</f>
        <v>Producción</v>
      </c>
      <c r="F188" s="26" t="n">
        <f aca="false">+VLOOKUP(B188,'transacciones '!$A$2:$I$39,5,FALSE())</f>
        <v>1</v>
      </c>
      <c r="G188" s="26" t="str">
        <f aca="false">+VLOOKUP(B188,'transacciones '!$A$2:$I$39,6,FALSE())</f>
        <v>P1</v>
      </c>
      <c r="H188" s="26" t="str">
        <f aca="false">+VLOOKUP(B188,'transacciones '!$A$2:$I$39,7,FALSE())</f>
        <v>Producción</v>
      </c>
      <c r="I188" s="41" t="s">
        <v>1565</v>
      </c>
      <c r="J188" s="26" t="s">
        <v>1474</v>
      </c>
      <c r="K188" s="27" t="s">
        <v>1424</v>
      </c>
      <c r="L188" s="27" t="str">
        <f aca="false">+VLOOKUP(K188,'Correl CIIU'!$A$1:$F$26,2,FALSE())</f>
        <v>Industrias manufactureras</v>
      </c>
      <c r="M188" s="27" t="str">
        <f aca="false">+VLOOKUP(K188,'Correl CIIU'!$A$1:$F$26,3,FALSE())</f>
        <v>Manufacturas</v>
      </c>
      <c r="N188" s="27" t="str">
        <f aca="false">+VLOOKUP(K188,'Correl CIIU'!$A$1:$F$26,4,FALSE())</f>
        <v>Manufacturing</v>
      </c>
      <c r="O188" s="27" t="n">
        <v>3</v>
      </c>
      <c r="P188" s="28" t="str">
        <f aca="false">+VLOOKUP(O188,bio!$A$2:$B$4,2,FALSE())</f>
        <v>No bioeconomía</v>
      </c>
    </row>
    <row r="189" customFormat="false" ht="14.25" hidden="false" customHeight="false" outlineLevel="0" collapsed="false">
      <c r="A189" s="24" t="s">
        <v>1289</v>
      </c>
      <c r="B189" s="25" t="s">
        <v>1405</v>
      </c>
      <c r="C189" s="26" t="str">
        <f aca="false">+VLOOKUP(B189,'transacciones '!$A$2:$I$39,2,FALSE())</f>
        <v>ATC01</v>
      </c>
      <c r="D189" s="26" t="str">
        <f aca="false">+VLOOKUP(B189,'transacciones '!$A$2:$I$39,3,FALSE())</f>
        <v>Producción / Consumo intermedio</v>
      </c>
      <c r="E189" s="26" t="str">
        <f aca="false">+VLOOKUP(B189,'transacciones '!$A$2:$I$39,4,FALSE())</f>
        <v>Producción</v>
      </c>
      <c r="F189" s="26" t="n">
        <f aca="false">+VLOOKUP(B189,'transacciones '!$A$2:$I$39,5,FALSE())</f>
        <v>1</v>
      </c>
      <c r="G189" s="26" t="str">
        <f aca="false">+VLOOKUP(B189,'transacciones '!$A$2:$I$39,6,FALSE())</f>
        <v>P1</v>
      </c>
      <c r="H189" s="26" t="str">
        <f aca="false">+VLOOKUP(B189,'transacciones '!$A$2:$I$39,7,FALSE())</f>
        <v>Producción</v>
      </c>
      <c r="I189" s="41" t="s">
        <v>1565</v>
      </c>
      <c r="J189" s="26" t="s">
        <v>1476</v>
      </c>
      <c r="K189" s="27" t="s">
        <v>1424</v>
      </c>
      <c r="L189" s="27" t="str">
        <f aca="false">+VLOOKUP(K189,'Correl CIIU'!$A$1:$F$26,2,FALSE())</f>
        <v>Industrias manufactureras</v>
      </c>
      <c r="M189" s="27" t="str">
        <f aca="false">+VLOOKUP(K189,'Correl CIIU'!$A$1:$F$26,3,FALSE())</f>
        <v>Manufacturas</v>
      </c>
      <c r="N189" s="27" t="str">
        <f aca="false">+VLOOKUP(K189,'Correl CIIU'!$A$1:$F$26,4,FALSE())</f>
        <v>Manufacturing</v>
      </c>
      <c r="O189" s="27" t="n">
        <v>3</v>
      </c>
      <c r="P189" s="28" t="str">
        <f aca="false">+VLOOKUP(O189,bio!$A$2:$B$4,2,FALSE())</f>
        <v>No bioeconomía</v>
      </c>
    </row>
    <row r="190" customFormat="false" ht="14.25" hidden="false" customHeight="false" outlineLevel="0" collapsed="false">
      <c r="A190" s="24" t="s">
        <v>1291</v>
      </c>
      <c r="B190" s="25" t="s">
        <v>1405</v>
      </c>
      <c r="C190" s="26" t="str">
        <f aca="false">+VLOOKUP(B190,'transacciones '!$A$2:$I$39,2,FALSE())</f>
        <v>ATC01</v>
      </c>
      <c r="D190" s="26" t="str">
        <f aca="false">+VLOOKUP(B190,'transacciones '!$A$2:$I$39,3,FALSE())</f>
        <v>Producción / Consumo intermedio</v>
      </c>
      <c r="E190" s="26" t="str">
        <f aca="false">+VLOOKUP(B190,'transacciones '!$A$2:$I$39,4,FALSE())</f>
        <v>Producción</v>
      </c>
      <c r="F190" s="26" t="n">
        <f aca="false">+VLOOKUP(B190,'transacciones '!$A$2:$I$39,5,FALSE())</f>
        <v>1</v>
      </c>
      <c r="G190" s="26" t="str">
        <f aca="false">+VLOOKUP(B190,'transacciones '!$A$2:$I$39,6,FALSE())</f>
        <v>P1</v>
      </c>
      <c r="H190" s="26" t="str">
        <f aca="false">+VLOOKUP(B190,'transacciones '!$A$2:$I$39,7,FALSE())</f>
        <v>Producción</v>
      </c>
      <c r="I190" s="41" t="s">
        <v>1565</v>
      </c>
      <c r="J190" s="26" t="s">
        <v>1478</v>
      </c>
      <c r="K190" s="27" t="s">
        <v>1424</v>
      </c>
      <c r="L190" s="27" t="str">
        <f aca="false">+VLOOKUP(K190,'Correl CIIU'!$A$1:$F$26,2,FALSE())</f>
        <v>Industrias manufactureras</v>
      </c>
      <c r="M190" s="27" t="str">
        <f aca="false">+VLOOKUP(K190,'Correl CIIU'!$A$1:$F$26,3,FALSE())</f>
        <v>Manufacturas</v>
      </c>
      <c r="N190" s="27" t="str">
        <f aca="false">+VLOOKUP(K190,'Correl CIIU'!$A$1:$F$26,4,FALSE())</f>
        <v>Manufacturing</v>
      </c>
      <c r="O190" s="27" t="n">
        <v>3</v>
      </c>
      <c r="P190" s="28" t="str">
        <f aca="false">+VLOOKUP(O190,bio!$A$2:$B$4,2,FALSE())</f>
        <v>No bioeconomía</v>
      </c>
    </row>
    <row r="191" customFormat="false" ht="14.25" hidden="false" customHeight="false" outlineLevel="0" collapsed="false">
      <c r="A191" s="24" t="s">
        <v>1293</v>
      </c>
      <c r="B191" s="25" t="s">
        <v>1405</v>
      </c>
      <c r="C191" s="26" t="str">
        <f aca="false">+VLOOKUP(B191,'transacciones '!$A$2:$I$39,2,FALSE())</f>
        <v>ATC01</v>
      </c>
      <c r="D191" s="26" t="str">
        <f aca="false">+VLOOKUP(B191,'transacciones '!$A$2:$I$39,3,FALSE())</f>
        <v>Producción / Consumo intermedio</v>
      </c>
      <c r="E191" s="26" t="str">
        <f aca="false">+VLOOKUP(B191,'transacciones '!$A$2:$I$39,4,FALSE())</f>
        <v>Producción</v>
      </c>
      <c r="F191" s="26" t="n">
        <f aca="false">+VLOOKUP(B191,'transacciones '!$A$2:$I$39,5,FALSE())</f>
        <v>1</v>
      </c>
      <c r="G191" s="26" t="str">
        <f aca="false">+VLOOKUP(B191,'transacciones '!$A$2:$I$39,6,FALSE())</f>
        <v>P1</v>
      </c>
      <c r="H191" s="26" t="str">
        <f aca="false">+VLOOKUP(B191,'transacciones '!$A$2:$I$39,7,FALSE())</f>
        <v>Producción</v>
      </c>
      <c r="I191" s="41" t="s">
        <v>1565</v>
      </c>
      <c r="J191" s="26" t="s">
        <v>1480</v>
      </c>
      <c r="K191" s="27" t="s">
        <v>1424</v>
      </c>
      <c r="L191" s="27" t="str">
        <f aca="false">+VLOOKUP(K191,'Correl CIIU'!$A$1:$F$26,2,FALSE())</f>
        <v>Industrias manufactureras</v>
      </c>
      <c r="M191" s="27" t="str">
        <f aca="false">+VLOOKUP(K191,'Correl CIIU'!$A$1:$F$26,3,FALSE())</f>
        <v>Manufacturas</v>
      </c>
      <c r="N191" s="27" t="str">
        <f aca="false">+VLOOKUP(K191,'Correl CIIU'!$A$1:$F$26,4,FALSE())</f>
        <v>Manufacturing</v>
      </c>
      <c r="O191" s="27" t="n">
        <v>3</v>
      </c>
      <c r="P191" s="28" t="str">
        <f aca="false">+VLOOKUP(O191,bio!$A$2:$B$4,2,FALSE())</f>
        <v>No bioeconomía</v>
      </c>
    </row>
    <row r="192" customFormat="false" ht="14.25" hidden="false" customHeight="false" outlineLevel="0" collapsed="false">
      <c r="A192" s="24" t="s">
        <v>1295</v>
      </c>
      <c r="B192" s="25" t="s">
        <v>1405</v>
      </c>
      <c r="C192" s="26" t="str">
        <f aca="false">+VLOOKUP(B192,'transacciones '!$A$2:$I$39,2,FALSE())</f>
        <v>ATC01</v>
      </c>
      <c r="D192" s="26" t="str">
        <f aca="false">+VLOOKUP(B192,'transacciones '!$A$2:$I$39,3,FALSE())</f>
        <v>Producción / Consumo intermedio</v>
      </c>
      <c r="E192" s="26" t="str">
        <f aca="false">+VLOOKUP(B192,'transacciones '!$A$2:$I$39,4,FALSE())</f>
        <v>Producción</v>
      </c>
      <c r="F192" s="26" t="n">
        <f aca="false">+VLOOKUP(B192,'transacciones '!$A$2:$I$39,5,FALSE())</f>
        <v>1</v>
      </c>
      <c r="G192" s="26" t="str">
        <f aca="false">+VLOOKUP(B192,'transacciones '!$A$2:$I$39,6,FALSE())</f>
        <v>P1</v>
      </c>
      <c r="H192" s="26" t="str">
        <f aca="false">+VLOOKUP(B192,'transacciones '!$A$2:$I$39,7,FALSE())</f>
        <v>Producción</v>
      </c>
      <c r="I192" s="41" t="s">
        <v>1565</v>
      </c>
      <c r="J192" s="26" t="s">
        <v>1482</v>
      </c>
      <c r="K192" s="27" t="s">
        <v>1424</v>
      </c>
      <c r="L192" s="27" t="str">
        <f aca="false">+VLOOKUP(K192,'Correl CIIU'!$A$1:$F$26,2,FALSE())</f>
        <v>Industrias manufactureras</v>
      </c>
      <c r="M192" s="27" t="str">
        <f aca="false">+VLOOKUP(K192,'Correl CIIU'!$A$1:$F$26,3,FALSE())</f>
        <v>Manufacturas</v>
      </c>
      <c r="N192" s="27" t="str">
        <f aca="false">+VLOOKUP(K192,'Correl CIIU'!$A$1:$F$26,4,FALSE())</f>
        <v>Manufacturing</v>
      </c>
      <c r="O192" s="27" t="n">
        <v>3</v>
      </c>
      <c r="P192" s="28" t="str">
        <f aca="false">+VLOOKUP(O192,bio!$A$2:$B$4,2,FALSE())</f>
        <v>No bioeconomía</v>
      </c>
    </row>
    <row r="193" customFormat="false" ht="14.25" hidden="false" customHeight="false" outlineLevel="0" collapsed="false">
      <c r="A193" s="24" t="s">
        <v>1297</v>
      </c>
      <c r="B193" s="25" t="s">
        <v>1405</v>
      </c>
      <c r="C193" s="26" t="str">
        <f aca="false">+VLOOKUP(B193,'transacciones '!$A$2:$I$39,2,FALSE())</f>
        <v>ATC01</v>
      </c>
      <c r="D193" s="26" t="str">
        <f aca="false">+VLOOKUP(B193,'transacciones '!$A$2:$I$39,3,FALSE())</f>
        <v>Producción / Consumo intermedio</v>
      </c>
      <c r="E193" s="26" t="str">
        <f aca="false">+VLOOKUP(B193,'transacciones '!$A$2:$I$39,4,FALSE())</f>
        <v>Producción</v>
      </c>
      <c r="F193" s="26" t="n">
        <f aca="false">+VLOOKUP(B193,'transacciones '!$A$2:$I$39,5,FALSE())</f>
        <v>1</v>
      </c>
      <c r="G193" s="26" t="str">
        <f aca="false">+VLOOKUP(B193,'transacciones '!$A$2:$I$39,6,FALSE())</f>
        <v>P1</v>
      </c>
      <c r="H193" s="26" t="str">
        <f aca="false">+VLOOKUP(B193,'transacciones '!$A$2:$I$39,7,FALSE())</f>
        <v>Producción</v>
      </c>
      <c r="I193" s="41" t="s">
        <v>1565</v>
      </c>
      <c r="J193" s="26" t="s">
        <v>1484</v>
      </c>
      <c r="K193" s="27" t="s">
        <v>1485</v>
      </c>
      <c r="L193" s="27" t="str">
        <f aca="false">+VLOOKUP(K193,'Correl CIIU'!$A$1:$F$26,2,FALSE())</f>
        <v>Suministro de electricidad, gas, vapor y aire acondicionado</v>
      </c>
      <c r="M193" s="27" t="str">
        <f aca="false">+VLOOKUP(K193,'Correl CIIU'!$A$1:$F$26,3,FALSE())</f>
        <v>Servicios básicos</v>
      </c>
      <c r="N193" s="27" t="str">
        <f aca="false">+VLOOKUP(K193,'Correl CIIU'!$A$1:$F$26,4,FALSE())</f>
        <v>Electricity, gas, steam and air conditioning supply</v>
      </c>
      <c r="O193" s="27" t="n">
        <v>3</v>
      </c>
      <c r="P193" s="28" t="str">
        <f aca="false">+VLOOKUP(O193,bio!$A$2:$B$4,2,FALSE())</f>
        <v>No bioeconomía</v>
      </c>
    </row>
    <row r="194" customFormat="false" ht="14.25" hidden="false" customHeight="false" outlineLevel="0" collapsed="false">
      <c r="A194" s="24" t="s">
        <v>1299</v>
      </c>
      <c r="B194" s="25" t="s">
        <v>1405</v>
      </c>
      <c r="C194" s="26" t="str">
        <f aca="false">+VLOOKUP(B194,'transacciones '!$A$2:$I$39,2,FALSE())</f>
        <v>ATC01</v>
      </c>
      <c r="D194" s="26" t="str">
        <f aca="false">+VLOOKUP(B194,'transacciones '!$A$2:$I$39,3,FALSE())</f>
        <v>Producción / Consumo intermedio</v>
      </c>
      <c r="E194" s="26" t="str">
        <f aca="false">+VLOOKUP(B194,'transacciones '!$A$2:$I$39,4,FALSE())</f>
        <v>Producción</v>
      </c>
      <c r="F194" s="26" t="n">
        <f aca="false">+VLOOKUP(B194,'transacciones '!$A$2:$I$39,5,FALSE())</f>
        <v>1</v>
      </c>
      <c r="G194" s="26" t="str">
        <f aca="false">+VLOOKUP(B194,'transacciones '!$A$2:$I$39,6,FALSE())</f>
        <v>P1</v>
      </c>
      <c r="H194" s="26" t="str">
        <f aca="false">+VLOOKUP(B194,'transacciones '!$A$2:$I$39,7,FALSE())</f>
        <v>Producción</v>
      </c>
      <c r="I194" s="41" t="s">
        <v>1565</v>
      </c>
      <c r="J194" s="26" t="s">
        <v>1487</v>
      </c>
      <c r="K194" s="27" t="s">
        <v>1488</v>
      </c>
      <c r="L194" s="27" t="str">
        <f aca="false">+VLOOKUP(K194,'Correl CIIU'!$A$1:$F$26,2,FALSE())</f>
        <v>Suministro de agua; evacuación de aguas residuales, gestión de desechos y descontaminación</v>
      </c>
      <c r="M194" s="27" t="str">
        <f aca="false">+VLOOKUP(K194,'Correl CIIU'!$A$1:$F$26,3,FALSE())</f>
        <v>Suministro de agua</v>
      </c>
      <c r="N194" s="27" t="str">
        <f aca="false">+VLOOKUP(K194,'Correl CIIU'!$A$1:$F$26,4,FALSE())</f>
        <v>Water supply; sewerage, waste management and remediation activities</v>
      </c>
      <c r="O194" s="27" t="n">
        <v>2</v>
      </c>
      <c r="P194" s="28" t="str">
        <f aca="false">+VLOOKUP(O194,bio!$A$2:$B$4,2,FALSE())</f>
        <v>Bioeconomía extendida</v>
      </c>
    </row>
    <row r="195" customFormat="false" ht="14.25" hidden="false" customHeight="false" outlineLevel="0" collapsed="false">
      <c r="A195" s="24" t="s">
        <v>1301</v>
      </c>
      <c r="B195" s="25" t="s">
        <v>1405</v>
      </c>
      <c r="C195" s="26" t="str">
        <f aca="false">+VLOOKUP(B195,'transacciones '!$A$2:$I$39,2,FALSE())</f>
        <v>ATC01</v>
      </c>
      <c r="D195" s="26" t="str">
        <f aca="false">+VLOOKUP(B195,'transacciones '!$A$2:$I$39,3,FALSE())</f>
        <v>Producción / Consumo intermedio</v>
      </c>
      <c r="E195" s="26" t="str">
        <f aca="false">+VLOOKUP(B195,'transacciones '!$A$2:$I$39,4,FALSE())</f>
        <v>Producción</v>
      </c>
      <c r="F195" s="26" t="n">
        <f aca="false">+VLOOKUP(B195,'transacciones '!$A$2:$I$39,5,FALSE())</f>
        <v>1</v>
      </c>
      <c r="G195" s="26" t="str">
        <f aca="false">+VLOOKUP(B195,'transacciones '!$A$2:$I$39,6,FALSE())</f>
        <v>P1</v>
      </c>
      <c r="H195" s="26" t="str">
        <f aca="false">+VLOOKUP(B195,'transacciones '!$A$2:$I$39,7,FALSE())</f>
        <v>Producción</v>
      </c>
      <c r="I195" s="41" t="s">
        <v>1565</v>
      </c>
      <c r="J195" s="26" t="s">
        <v>1490</v>
      </c>
      <c r="K195" s="27" t="s">
        <v>1491</v>
      </c>
      <c r="L195" s="27" t="str">
        <f aca="false">+VLOOKUP(K195,'Correl CIIU'!$A$1:$F$26,2,FALSE())</f>
        <v>Construcción</v>
      </c>
      <c r="M195" s="27" t="str">
        <f aca="false">+VLOOKUP(K195,'Correl CIIU'!$A$1:$F$26,3,FALSE())</f>
        <v>Construcción</v>
      </c>
      <c r="N195" s="27" t="str">
        <f aca="false">+VLOOKUP(K195,'Correl CIIU'!$A$1:$F$26,4,FALSE())</f>
        <v>Construction</v>
      </c>
      <c r="O195" s="27" t="n">
        <v>3</v>
      </c>
      <c r="P195" s="28" t="str">
        <f aca="false">+VLOOKUP(O195,bio!$A$2:$B$4,2,FALSE())</f>
        <v>No bioeconomía</v>
      </c>
    </row>
    <row r="196" customFormat="false" ht="14.25" hidden="false" customHeight="false" outlineLevel="0" collapsed="false">
      <c r="A196" s="24" t="s">
        <v>1303</v>
      </c>
      <c r="B196" s="25" t="s">
        <v>1405</v>
      </c>
      <c r="C196" s="26" t="str">
        <f aca="false">+VLOOKUP(B196,'transacciones '!$A$2:$I$39,2,FALSE())</f>
        <v>ATC01</v>
      </c>
      <c r="D196" s="26" t="str">
        <f aca="false">+VLOOKUP(B196,'transacciones '!$A$2:$I$39,3,FALSE())</f>
        <v>Producción / Consumo intermedio</v>
      </c>
      <c r="E196" s="26" t="str">
        <f aca="false">+VLOOKUP(B196,'transacciones '!$A$2:$I$39,4,FALSE())</f>
        <v>Producción</v>
      </c>
      <c r="F196" s="26" t="n">
        <f aca="false">+VLOOKUP(B196,'transacciones '!$A$2:$I$39,5,FALSE())</f>
        <v>1</v>
      </c>
      <c r="G196" s="26" t="str">
        <f aca="false">+VLOOKUP(B196,'transacciones '!$A$2:$I$39,6,FALSE())</f>
        <v>P1</v>
      </c>
      <c r="H196" s="26" t="str">
        <f aca="false">+VLOOKUP(B196,'transacciones '!$A$2:$I$39,7,FALSE())</f>
        <v>Producción</v>
      </c>
      <c r="I196" s="41" t="s">
        <v>1565</v>
      </c>
      <c r="J196" s="26" t="s">
        <v>1493</v>
      </c>
      <c r="K196" s="27" t="s">
        <v>1494</v>
      </c>
      <c r="L196" s="27" t="str">
        <f aca="false">+VLOOKUP(K196,'Correl CIIU'!$A$1:$F$26,2,FALSE())</f>
        <v>Comercio al por mayor y al por menor; reparación de vehículos automotores y motocicletas</v>
      </c>
      <c r="M196" s="27" t="str">
        <f aca="false">+VLOOKUP(K196,'Correl CIIU'!$A$1:$F$26,3,FALSE())</f>
        <v>Comercio</v>
      </c>
      <c r="N196" s="27" t="str">
        <f aca="false">+VLOOKUP(K196,'Correl CIIU'!$A$1:$F$26,4,FALSE())</f>
        <v>Wholesale and retail trade; repair of motor vehicles and motorcycles</v>
      </c>
      <c r="O196" s="30" t="n">
        <v>3</v>
      </c>
      <c r="P196" s="28" t="str">
        <f aca="false">+VLOOKUP(O196,bio!$A$2:$B$4,2,FALSE())</f>
        <v>No bioeconomía</v>
      </c>
    </row>
    <row r="197" customFormat="false" ht="14.25" hidden="false" customHeight="false" outlineLevel="0" collapsed="false">
      <c r="A197" s="24" t="s">
        <v>1305</v>
      </c>
      <c r="B197" s="25" t="s">
        <v>1405</v>
      </c>
      <c r="C197" s="26" t="str">
        <f aca="false">+VLOOKUP(B197,'transacciones '!$A$2:$I$39,2,FALSE())</f>
        <v>ATC01</v>
      </c>
      <c r="D197" s="26" t="str">
        <f aca="false">+VLOOKUP(B197,'transacciones '!$A$2:$I$39,3,FALSE())</f>
        <v>Producción / Consumo intermedio</v>
      </c>
      <c r="E197" s="26" t="str">
        <f aca="false">+VLOOKUP(B197,'transacciones '!$A$2:$I$39,4,FALSE())</f>
        <v>Producción</v>
      </c>
      <c r="F197" s="26" t="n">
        <f aca="false">+VLOOKUP(B197,'transacciones '!$A$2:$I$39,5,FALSE())</f>
        <v>1</v>
      </c>
      <c r="G197" s="26" t="str">
        <f aca="false">+VLOOKUP(B197,'transacciones '!$A$2:$I$39,6,FALSE())</f>
        <v>P1</v>
      </c>
      <c r="H197" s="26" t="str">
        <f aca="false">+VLOOKUP(B197,'transacciones '!$A$2:$I$39,7,FALSE())</f>
        <v>Producción</v>
      </c>
      <c r="I197" s="41" t="s">
        <v>1565</v>
      </c>
      <c r="J197" s="26" t="s">
        <v>1496</v>
      </c>
      <c r="K197" s="27" t="s">
        <v>1494</v>
      </c>
      <c r="L197" s="27" t="str">
        <f aca="false">+VLOOKUP(K197,'Correl CIIU'!$A$1:$F$26,2,FALSE())</f>
        <v>Comercio al por mayor y al por menor; reparación de vehículos automotores y motocicletas</v>
      </c>
      <c r="M197" s="27" t="str">
        <f aca="false">+VLOOKUP(K197,'Correl CIIU'!$A$1:$F$26,3,FALSE())</f>
        <v>Comercio</v>
      </c>
      <c r="N197" s="27" t="str">
        <f aca="false">+VLOOKUP(K197,'Correl CIIU'!$A$1:$F$26,4,FALSE())</f>
        <v>Wholesale and retail trade; repair of motor vehicles and motorcycles</v>
      </c>
      <c r="O197" s="30" t="n">
        <v>3</v>
      </c>
      <c r="P197" s="28" t="str">
        <f aca="false">+VLOOKUP(O197,bio!$A$2:$B$4,2,FALSE())</f>
        <v>No bioeconomía</v>
      </c>
    </row>
    <row r="198" customFormat="false" ht="14.25" hidden="false" customHeight="false" outlineLevel="0" collapsed="false">
      <c r="A198" s="24" t="s">
        <v>1307</v>
      </c>
      <c r="B198" s="25" t="s">
        <v>1405</v>
      </c>
      <c r="C198" s="26" t="str">
        <f aca="false">+VLOOKUP(B198,'transacciones '!$A$2:$I$39,2,FALSE())</f>
        <v>ATC01</v>
      </c>
      <c r="D198" s="26" t="str">
        <f aca="false">+VLOOKUP(B198,'transacciones '!$A$2:$I$39,3,FALSE())</f>
        <v>Producción / Consumo intermedio</v>
      </c>
      <c r="E198" s="26" t="str">
        <f aca="false">+VLOOKUP(B198,'transacciones '!$A$2:$I$39,4,FALSE())</f>
        <v>Producción</v>
      </c>
      <c r="F198" s="26" t="n">
        <f aca="false">+VLOOKUP(B198,'transacciones '!$A$2:$I$39,5,FALSE())</f>
        <v>1</v>
      </c>
      <c r="G198" s="26" t="str">
        <f aca="false">+VLOOKUP(B198,'transacciones '!$A$2:$I$39,6,FALSE())</f>
        <v>P1</v>
      </c>
      <c r="H198" s="26" t="str">
        <f aca="false">+VLOOKUP(B198,'transacciones '!$A$2:$I$39,7,FALSE())</f>
        <v>Producción</v>
      </c>
      <c r="I198" s="41" t="s">
        <v>1565</v>
      </c>
      <c r="J198" s="26" t="s">
        <v>1498</v>
      </c>
      <c r="K198" s="27" t="s">
        <v>1499</v>
      </c>
      <c r="L198" s="27" t="str">
        <f aca="false">+VLOOKUP(K198,'Correl CIIU'!$A$1:$F$26,2,FALSE())</f>
        <v>Transporte y almacenamiento</v>
      </c>
      <c r="M198" s="27" t="str">
        <f aca="false">+VLOOKUP(K198,'Correl CIIU'!$A$1:$F$26,3,FALSE())</f>
        <v>Transporte y almacenamiento</v>
      </c>
      <c r="N198" s="27" t="str">
        <f aca="false">+VLOOKUP(K198,'Correl CIIU'!$A$1:$F$26,4,FALSE())</f>
        <v>Transportation and storage</v>
      </c>
      <c r="O198" s="30" t="n">
        <v>3</v>
      </c>
      <c r="P198" s="28" t="str">
        <f aca="false">+VLOOKUP(O198,bio!$A$2:$B$4,2,FALSE())</f>
        <v>No bioeconomía</v>
      </c>
    </row>
    <row r="199" customFormat="false" ht="14.25" hidden="false" customHeight="false" outlineLevel="0" collapsed="false">
      <c r="A199" s="24" t="s">
        <v>1309</v>
      </c>
      <c r="B199" s="25" t="s">
        <v>1405</v>
      </c>
      <c r="C199" s="26" t="str">
        <f aca="false">+VLOOKUP(B199,'transacciones '!$A$2:$I$39,2,FALSE())</f>
        <v>ATC01</v>
      </c>
      <c r="D199" s="26" t="str">
        <f aca="false">+VLOOKUP(B199,'transacciones '!$A$2:$I$39,3,FALSE())</f>
        <v>Producción / Consumo intermedio</v>
      </c>
      <c r="E199" s="26" t="str">
        <f aca="false">+VLOOKUP(B199,'transacciones '!$A$2:$I$39,4,FALSE())</f>
        <v>Producción</v>
      </c>
      <c r="F199" s="26" t="n">
        <f aca="false">+VLOOKUP(B199,'transacciones '!$A$2:$I$39,5,FALSE())</f>
        <v>1</v>
      </c>
      <c r="G199" s="26" t="str">
        <f aca="false">+VLOOKUP(B199,'transacciones '!$A$2:$I$39,6,FALSE())</f>
        <v>P1</v>
      </c>
      <c r="H199" s="26" t="str">
        <f aca="false">+VLOOKUP(B199,'transacciones '!$A$2:$I$39,7,FALSE())</f>
        <v>Producción</v>
      </c>
      <c r="I199" s="41" t="s">
        <v>1565</v>
      </c>
      <c r="J199" s="26" t="s">
        <v>1501</v>
      </c>
      <c r="K199" s="27" t="s">
        <v>1499</v>
      </c>
      <c r="L199" s="27" t="str">
        <f aca="false">+VLOOKUP(K199,'Correl CIIU'!$A$1:$F$26,2,FALSE())</f>
        <v>Transporte y almacenamiento</v>
      </c>
      <c r="M199" s="27" t="str">
        <f aca="false">+VLOOKUP(K199,'Correl CIIU'!$A$1:$F$26,3,FALSE())</f>
        <v>Transporte y almacenamiento</v>
      </c>
      <c r="N199" s="27" t="str">
        <f aca="false">+VLOOKUP(K199,'Correl CIIU'!$A$1:$F$26,4,FALSE())</f>
        <v>Transportation and storage</v>
      </c>
      <c r="O199" s="27" t="n">
        <v>3</v>
      </c>
      <c r="P199" s="28" t="str">
        <f aca="false">+VLOOKUP(O199,bio!$A$2:$B$4,2,FALSE())</f>
        <v>No bioeconomía</v>
      </c>
    </row>
    <row r="200" customFormat="false" ht="14.25" hidden="false" customHeight="false" outlineLevel="0" collapsed="false">
      <c r="A200" s="24" t="s">
        <v>1311</v>
      </c>
      <c r="B200" s="25" t="s">
        <v>1405</v>
      </c>
      <c r="C200" s="26" t="str">
        <f aca="false">+VLOOKUP(B200,'transacciones '!$A$2:$I$39,2,FALSE())</f>
        <v>ATC01</v>
      </c>
      <c r="D200" s="26" t="str">
        <f aca="false">+VLOOKUP(B200,'transacciones '!$A$2:$I$39,3,FALSE())</f>
        <v>Producción / Consumo intermedio</v>
      </c>
      <c r="E200" s="26" t="str">
        <f aca="false">+VLOOKUP(B200,'transacciones '!$A$2:$I$39,4,FALSE())</f>
        <v>Producción</v>
      </c>
      <c r="F200" s="26" t="n">
        <f aca="false">+VLOOKUP(B200,'transacciones '!$A$2:$I$39,5,FALSE())</f>
        <v>1</v>
      </c>
      <c r="G200" s="26" t="str">
        <f aca="false">+VLOOKUP(B200,'transacciones '!$A$2:$I$39,6,FALSE())</f>
        <v>P1</v>
      </c>
      <c r="H200" s="26" t="str">
        <f aca="false">+VLOOKUP(B200,'transacciones '!$A$2:$I$39,7,FALSE())</f>
        <v>Producción</v>
      </c>
      <c r="I200" s="41" t="s">
        <v>1565</v>
      </c>
      <c r="J200" s="26" t="s">
        <v>1503</v>
      </c>
      <c r="K200" s="27" t="s">
        <v>1499</v>
      </c>
      <c r="L200" s="27" t="str">
        <f aca="false">+VLOOKUP(K200,'Correl CIIU'!$A$1:$F$26,2,FALSE())</f>
        <v>Transporte y almacenamiento</v>
      </c>
      <c r="M200" s="27" t="str">
        <f aca="false">+VLOOKUP(K200,'Correl CIIU'!$A$1:$F$26,3,FALSE())</f>
        <v>Transporte y almacenamiento</v>
      </c>
      <c r="N200" s="27" t="str">
        <f aca="false">+VLOOKUP(K200,'Correl CIIU'!$A$1:$F$26,4,FALSE())</f>
        <v>Transportation and storage</v>
      </c>
      <c r="O200" s="27" t="n">
        <v>3</v>
      </c>
      <c r="P200" s="28" t="str">
        <f aca="false">+VLOOKUP(O200,bio!$A$2:$B$4,2,FALSE())</f>
        <v>No bioeconomía</v>
      </c>
    </row>
    <row r="201" customFormat="false" ht="14.25" hidden="false" customHeight="false" outlineLevel="0" collapsed="false">
      <c r="A201" s="24" t="s">
        <v>1313</v>
      </c>
      <c r="B201" s="25" t="s">
        <v>1405</v>
      </c>
      <c r="C201" s="26" t="str">
        <f aca="false">+VLOOKUP(B201,'transacciones '!$A$2:$I$39,2,FALSE())</f>
        <v>ATC01</v>
      </c>
      <c r="D201" s="26" t="str">
        <f aca="false">+VLOOKUP(B201,'transacciones '!$A$2:$I$39,3,FALSE())</f>
        <v>Producción / Consumo intermedio</v>
      </c>
      <c r="E201" s="26" t="str">
        <f aca="false">+VLOOKUP(B201,'transacciones '!$A$2:$I$39,4,FALSE())</f>
        <v>Producción</v>
      </c>
      <c r="F201" s="26" t="n">
        <f aca="false">+VLOOKUP(B201,'transacciones '!$A$2:$I$39,5,FALSE())</f>
        <v>1</v>
      </c>
      <c r="G201" s="26" t="str">
        <f aca="false">+VLOOKUP(B201,'transacciones '!$A$2:$I$39,6,FALSE())</f>
        <v>P1</v>
      </c>
      <c r="H201" s="26" t="str">
        <f aca="false">+VLOOKUP(B201,'transacciones '!$A$2:$I$39,7,FALSE())</f>
        <v>Producción</v>
      </c>
      <c r="I201" s="41" t="s">
        <v>1565</v>
      </c>
      <c r="J201" s="26" t="s">
        <v>1505</v>
      </c>
      <c r="K201" s="11" t="s">
        <v>1499</v>
      </c>
      <c r="L201" s="27" t="str">
        <f aca="false">+VLOOKUP(K201,'Correl CIIU'!$A$1:$F$26,2,FALSE())</f>
        <v>Transporte y almacenamiento</v>
      </c>
      <c r="M201" s="27" t="str">
        <f aca="false">+VLOOKUP(K201,'Correl CIIU'!$A$1:$F$26,3,FALSE())</f>
        <v>Transporte y almacenamiento</v>
      </c>
      <c r="N201" s="27" t="str">
        <f aca="false">+VLOOKUP(K201,'Correl CIIU'!$A$1:$F$26,4,FALSE())</f>
        <v>Transportation and storage</v>
      </c>
      <c r="O201" s="27" t="n">
        <v>3</v>
      </c>
      <c r="P201" s="28" t="str">
        <f aca="false">+VLOOKUP(O201,bio!$A$2:$B$4,2,FALSE())</f>
        <v>No bioeconomía</v>
      </c>
    </row>
    <row r="202" customFormat="false" ht="14.25" hidden="false" customHeight="false" outlineLevel="0" collapsed="false">
      <c r="A202" s="24" t="s">
        <v>1315</v>
      </c>
      <c r="B202" s="25" t="s">
        <v>1405</v>
      </c>
      <c r="C202" s="26" t="str">
        <f aca="false">+VLOOKUP(B202,'transacciones '!$A$2:$I$39,2,FALSE())</f>
        <v>ATC01</v>
      </c>
      <c r="D202" s="26" t="str">
        <f aca="false">+VLOOKUP(B202,'transacciones '!$A$2:$I$39,3,FALSE())</f>
        <v>Producción / Consumo intermedio</v>
      </c>
      <c r="E202" s="26" t="str">
        <f aca="false">+VLOOKUP(B202,'transacciones '!$A$2:$I$39,4,FALSE())</f>
        <v>Producción</v>
      </c>
      <c r="F202" s="26" t="n">
        <f aca="false">+VLOOKUP(B202,'transacciones '!$A$2:$I$39,5,FALSE())</f>
        <v>1</v>
      </c>
      <c r="G202" s="26" t="str">
        <f aca="false">+VLOOKUP(B202,'transacciones '!$A$2:$I$39,6,FALSE())</f>
        <v>P1</v>
      </c>
      <c r="H202" s="26" t="str">
        <f aca="false">+VLOOKUP(B202,'transacciones '!$A$2:$I$39,7,FALSE())</f>
        <v>Producción</v>
      </c>
      <c r="I202" s="41" t="s">
        <v>1565</v>
      </c>
      <c r="J202" s="26" t="s">
        <v>1507</v>
      </c>
      <c r="K202" s="11" t="s">
        <v>1508</v>
      </c>
      <c r="L202" s="27" t="str">
        <f aca="false">+VLOOKUP(K202,'Correl CIIU'!$A$1:$F$26,2,FALSE())</f>
        <v>Actividades de alojamiento y de servicio de comidas</v>
      </c>
      <c r="M202" s="27" t="str">
        <f aca="false">+VLOOKUP(K202,'Correl CIIU'!$A$1:$F$26,3,FALSE())</f>
        <v>Alojamiento y alimentación</v>
      </c>
      <c r="N202" s="27" t="str">
        <f aca="false">+VLOOKUP(K202,'Correl CIIU'!$A$1:$F$26,4,FALSE())</f>
        <v>Accommodation and food service activities</v>
      </c>
      <c r="O202" s="27" t="n">
        <v>3</v>
      </c>
      <c r="P202" s="28" t="str">
        <f aca="false">+VLOOKUP(O202,bio!$A$2:$B$4,2,FALSE())</f>
        <v>No bioeconomía</v>
      </c>
    </row>
    <row r="203" customFormat="false" ht="14.25" hidden="false" customHeight="false" outlineLevel="0" collapsed="false">
      <c r="A203" s="24" t="s">
        <v>1317</v>
      </c>
      <c r="B203" s="25" t="s">
        <v>1405</v>
      </c>
      <c r="C203" s="26" t="str">
        <f aca="false">+VLOOKUP(B203,'transacciones '!$A$2:$I$39,2,FALSE())</f>
        <v>ATC01</v>
      </c>
      <c r="D203" s="26" t="str">
        <f aca="false">+VLOOKUP(B203,'transacciones '!$A$2:$I$39,3,FALSE())</f>
        <v>Producción / Consumo intermedio</v>
      </c>
      <c r="E203" s="26" t="str">
        <f aca="false">+VLOOKUP(B203,'transacciones '!$A$2:$I$39,4,FALSE())</f>
        <v>Producción</v>
      </c>
      <c r="F203" s="26" t="n">
        <f aca="false">+VLOOKUP(B203,'transacciones '!$A$2:$I$39,5,FALSE())</f>
        <v>1</v>
      </c>
      <c r="G203" s="26" t="str">
        <f aca="false">+VLOOKUP(B203,'transacciones '!$A$2:$I$39,6,FALSE())</f>
        <v>P1</v>
      </c>
      <c r="H203" s="26" t="str">
        <f aca="false">+VLOOKUP(B203,'transacciones '!$A$2:$I$39,7,FALSE())</f>
        <v>Producción</v>
      </c>
      <c r="I203" s="41" t="s">
        <v>1565</v>
      </c>
      <c r="J203" s="26" t="s">
        <v>1510</v>
      </c>
      <c r="K203" s="11" t="s">
        <v>1508</v>
      </c>
      <c r="L203" s="27" t="str">
        <f aca="false">+VLOOKUP(K203,'Correl CIIU'!$A$1:$F$26,2,FALSE())</f>
        <v>Actividades de alojamiento y de servicio de comidas</v>
      </c>
      <c r="M203" s="27" t="str">
        <f aca="false">+VLOOKUP(K203,'Correl CIIU'!$A$1:$F$26,3,FALSE())</f>
        <v>Alojamiento y alimentación</v>
      </c>
      <c r="N203" s="27" t="str">
        <f aca="false">+VLOOKUP(K203,'Correl CIIU'!$A$1:$F$26,4,FALSE())</f>
        <v>Accommodation and food service activities</v>
      </c>
      <c r="O203" s="27" t="n">
        <v>2</v>
      </c>
      <c r="P203" s="28" t="str">
        <f aca="false">+VLOOKUP(O203,bio!$A$2:$B$4,2,FALSE())</f>
        <v>Bioeconomía extendida</v>
      </c>
    </row>
    <row r="204" customFormat="false" ht="14.25" hidden="false" customHeight="false" outlineLevel="0" collapsed="false">
      <c r="A204" s="24" t="s">
        <v>1319</v>
      </c>
      <c r="B204" s="25" t="s">
        <v>1405</v>
      </c>
      <c r="C204" s="26" t="str">
        <f aca="false">+VLOOKUP(B204,'transacciones '!$A$2:$I$39,2,FALSE())</f>
        <v>ATC01</v>
      </c>
      <c r="D204" s="26" t="str">
        <f aca="false">+VLOOKUP(B204,'transacciones '!$A$2:$I$39,3,FALSE())</f>
        <v>Producción / Consumo intermedio</v>
      </c>
      <c r="E204" s="26" t="str">
        <f aca="false">+VLOOKUP(B204,'transacciones '!$A$2:$I$39,4,FALSE())</f>
        <v>Producción</v>
      </c>
      <c r="F204" s="26" t="n">
        <f aca="false">+VLOOKUP(B204,'transacciones '!$A$2:$I$39,5,FALSE())</f>
        <v>1</v>
      </c>
      <c r="G204" s="26" t="str">
        <f aca="false">+VLOOKUP(B204,'transacciones '!$A$2:$I$39,6,FALSE())</f>
        <v>P1</v>
      </c>
      <c r="H204" s="26" t="str">
        <f aca="false">+VLOOKUP(B204,'transacciones '!$A$2:$I$39,7,FALSE())</f>
        <v>Producción</v>
      </c>
      <c r="I204" s="41" t="s">
        <v>1565</v>
      </c>
      <c r="J204" s="26" t="s">
        <v>1512</v>
      </c>
      <c r="K204" s="11" t="s">
        <v>1513</v>
      </c>
      <c r="L204" s="27" t="str">
        <f aca="false">+VLOOKUP(K204,'Correl CIIU'!$A$1:$F$26,2,FALSE())</f>
        <v>Información y comunicaciones</v>
      </c>
      <c r="M204" s="27" t="str">
        <f aca="false">+VLOOKUP(K204,'Correl CIIU'!$A$1:$F$26,3,FALSE())</f>
        <v>Información y comunicaciones</v>
      </c>
      <c r="N204" s="27" t="str">
        <f aca="false">+VLOOKUP(K204,'Correl CIIU'!$A$1:$F$26,4,FALSE())</f>
        <v>Information and communication</v>
      </c>
      <c r="O204" s="27" t="n">
        <v>3</v>
      </c>
      <c r="P204" s="28" t="str">
        <f aca="false">+VLOOKUP(O204,bio!$A$2:$B$4,2,FALSE())</f>
        <v>No bioeconomía</v>
      </c>
    </row>
    <row r="205" customFormat="false" ht="14.25" hidden="false" customHeight="false" outlineLevel="0" collapsed="false">
      <c r="A205" s="24" t="s">
        <v>1321</v>
      </c>
      <c r="B205" s="25" t="s">
        <v>1405</v>
      </c>
      <c r="C205" s="26" t="str">
        <f aca="false">+VLOOKUP(B205,'transacciones '!$A$2:$I$39,2,FALSE())</f>
        <v>ATC01</v>
      </c>
      <c r="D205" s="26" t="str">
        <f aca="false">+VLOOKUP(B205,'transacciones '!$A$2:$I$39,3,FALSE())</f>
        <v>Producción / Consumo intermedio</v>
      </c>
      <c r="E205" s="26" t="str">
        <f aca="false">+VLOOKUP(B205,'transacciones '!$A$2:$I$39,4,FALSE())</f>
        <v>Producción</v>
      </c>
      <c r="F205" s="26" t="n">
        <f aca="false">+VLOOKUP(B205,'transacciones '!$A$2:$I$39,5,FALSE())</f>
        <v>1</v>
      </c>
      <c r="G205" s="26" t="str">
        <f aca="false">+VLOOKUP(B205,'transacciones '!$A$2:$I$39,6,FALSE())</f>
        <v>P1</v>
      </c>
      <c r="H205" s="26" t="str">
        <f aca="false">+VLOOKUP(B205,'transacciones '!$A$2:$I$39,7,FALSE())</f>
        <v>Producción</v>
      </c>
      <c r="I205" s="41" t="s">
        <v>1565</v>
      </c>
      <c r="J205" s="26" t="s">
        <v>1515</v>
      </c>
      <c r="K205" s="11" t="s">
        <v>1513</v>
      </c>
      <c r="L205" s="27" t="str">
        <f aca="false">+VLOOKUP(K205,'Correl CIIU'!$A$1:$F$26,2,FALSE())</f>
        <v>Información y comunicaciones</v>
      </c>
      <c r="M205" s="27" t="str">
        <f aca="false">+VLOOKUP(K205,'Correl CIIU'!$A$1:$F$26,3,FALSE())</f>
        <v>Información y comunicaciones</v>
      </c>
      <c r="N205" s="27" t="str">
        <f aca="false">+VLOOKUP(K205,'Correl CIIU'!$A$1:$F$26,4,FALSE())</f>
        <v>Information and communication</v>
      </c>
      <c r="O205" s="27" t="n">
        <v>3</v>
      </c>
      <c r="P205" s="28" t="str">
        <f aca="false">+VLOOKUP(O205,bio!$A$2:$B$4,2,FALSE())</f>
        <v>No bioeconomía</v>
      </c>
    </row>
    <row r="206" customFormat="false" ht="14.25" hidden="false" customHeight="false" outlineLevel="0" collapsed="false">
      <c r="A206" s="24" t="s">
        <v>1323</v>
      </c>
      <c r="B206" s="25" t="s">
        <v>1405</v>
      </c>
      <c r="C206" s="26" t="str">
        <f aca="false">+VLOOKUP(B206,'transacciones '!$A$2:$I$39,2,FALSE())</f>
        <v>ATC01</v>
      </c>
      <c r="D206" s="26" t="str">
        <f aca="false">+VLOOKUP(B206,'transacciones '!$A$2:$I$39,3,FALSE())</f>
        <v>Producción / Consumo intermedio</v>
      </c>
      <c r="E206" s="26" t="str">
        <f aca="false">+VLOOKUP(B206,'transacciones '!$A$2:$I$39,4,FALSE())</f>
        <v>Producción</v>
      </c>
      <c r="F206" s="26" t="n">
        <f aca="false">+VLOOKUP(B206,'transacciones '!$A$2:$I$39,5,FALSE())</f>
        <v>1</v>
      </c>
      <c r="G206" s="26" t="str">
        <f aca="false">+VLOOKUP(B206,'transacciones '!$A$2:$I$39,6,FALSE())</f>
        <v>P1</v>
      </c>
      <c r="H206" s="26" t="str">
        <f aca="false">+VLOOKUP(B206,'transacciones '!$A$2:$I$39,7,FALSE())</f>
        <v>Producción</v>
      </c>
      <c r="I206" s="41" t="s">
        <v>1565</v>
      </c>
      <c r="J206" s="26" t="s">
        <v>1517</v>
      </c>
      <c r="K206" s="11" t="s">
        <v>1513</v>
      </c>
      <c r="L206" s="27" t="str">
        <f aca="false">+VLOOKUP(K206,'Correl CIIU'!$A$1:$F$26,2,FALSE())</f>
        <v>Información y comunicaciones</v>
      </c>
      <c r="M206" s="27" t="str">
        <f aca="false">+VLOOKUP(K206,'Correl CIIU'!$A$1:$F$26,3,FALSE())</f>
        <v>Información y comunicaciones</v>
      </c>
      <c r="N206" s="27" t="str">
        <f aca="false">+VLOOKUP(K206,'Correl CIIU'!$A$1:$F$26,4,FALSE())</f>
        <v>Information and communication</v>
      </c>
      <c r="O206" s="27" t="n">
        <v>3</v>
      </c>
      <c r="P206" s="28" t="str">
        <f aca="false">+VLOOKUP(O206,bio!$A$2:$B$4,2,FALSE())</f>
        <v>No bioeconomía</v>
      </c>
    </row>
    <row r="207" customFormat="false" ht="14.25" hidden="false" customHeight="false" outlineLevel="0" collapsed="false">
      <c r="A207" s="24" t="s">
        <v>1325</v>
      </c>
      <c r="B207" s="25" t="s">
        <v>1405</v>
      </c>
      <c r="C207" s="26" t="str">
        <f aca="false">+VLOOKUP(B207,'transacciones '!$A$2:$I$39,2,FALSE())</f>
        <v>ATC01</v>
      </c>
      <c r="D207" s="26" t="str">
        <f aca="false">+VLOOKUP(B207,'transacciones '!$A$2:$I$39,3,FALSE())</f>
        <v>Producción / Consumo intermedio</v>
      </c>
      <c r="E207" s="26" t="str">
        <f aca="false">+VLOOKUP(B207,'transacciones '!$A$2:$I$39,4,FALSE())</f>
        <v>Producción</v>
      </c>
      <c r="F207" s="26" t="n">
        <f aca="false">+VLOOKUP(B207,'transacciones '!$A$2:$I$39,5,FALSE())</f>
        <v>1</v>
      </c>
      <c r="G207" s="26" t="str">
        <f aca="false">+VLOOKUP(B207,'transacciones '!$A$2:$I$39,6,FALSE())</f>
        <v>P1</v>
      </c>
      <c r="H207" s="26" t="str">
        <f aca="false">+VLOOKUP(B207,'transacciones '!$A$2:$I$39,7,FALSE())</f>
        <v>Producción</v>
      </c>
      <c r="I207" s="41" t="s">
        <v>1565</v>
      </c>
      <c r="J207" s="26" t="s">
        <v>1519</v>
      </c>
      <c r="K207" s="11" t="s">
        <v>1513</v>
      </c>
      <c r="L207" s="27" t="str">
        <f aca="false">+VLOOKUP(K207,'Correl CIIU'!$A$1:$F$26,2,FALSE())</f>
        <v>Información y comunicaciones</v>
      </c>
      <c r="M207" s="27" t="str">
        <f aca="false">+VLOOKUP(K207,'Correl CIIU'!$A$1:$F$26,3,FALSE())</f>
        <v>Información y comunicaciones</v>
      </c>
      <c r="N207" s="27" t="str">
        <f aca="false">+VLOOKUP(K207,'Correl CIIU'!$A$1:$F$26,4,FALSE())</f>
        <v>Information and communication</v>
      </c>
      <c r="O207" s="27" t="n">
        <v>3</v>
      </c>
      <c r="P207" s="28" t="str">
        <f aca="false">+VLOOKUP(O207,bio!$A$2:$B$4,2,FALSE())</f>
        <v>No bioeconomía</v>
      </c>
    </row>
    <row r="208" customFormat="false" ht="14.25" hidden="false" customHeight="false" outlineLevel="0" collapsed="false">
      <c r="A208" s="24" t="s">
        <v>1327</v>
      </c>
      <c r="B208" s="25" t="s">
        <v>1405</v>
      </c>
      <c r="C208" s="26" t="str">
        <f aca="false">+VLOOKUP(B208,'transacciones '!$A$2:$I$39,2,FALSE())</f>
        <v>ATC01</v>
      </c>
      <c r="D208" s="26" t="str">
        <f aca="false">+VLOOKUP(B208,'transacciones '!$A$2:$I$39,3,FALSE())</f>
        <v>Producción / Consumo intermedio</v>
      </c>
      <c r="E208" s="26" t="str">
        <f aca="false">+VLOOKUP(B208,'transacciones '!$A$2:$I$39,4,FALSE())</f>
        <v>Producción</v>
      </c>
      <c r="F208" s="26" t="n">
        <f aca="false">+VLOOKUP(B208,'transacciones '!$A$2:$I$39,5,FALSE())</f>
        <v>1</v>
      </c>
      <c r="G208" s="26" t="str">
        <f aca="false">+VLOOKUP(B208,'transacciones '!$A$2:$I$39,6,FALSE())</f>
        <v>P1</v>
      </c>
      <c r="H208" s="26" t="str">
        <f aca="false">+VLOOKUP(B208,'transacciones '!$A$2:$I$39,7,FALSE())</f>
        <v>Producción</v>
      </c>
      <c r="I208" s="41" t="s">
        <v>1565</v>
      </c>
      <c r="J208" s="26" t="s">
        <v>1521</v>
      </c>
      <c r="K208" s="11" t="s">
        <v>1522</v>
      </c>
      <c r="L208" s="27" t="str">
        <f aca="false">+VLOOKUP(K208,'Correl CIIU'!$A$1:$F$26,2,FALSE())</f>
        <v>Actividades financieras y de seguros</v>
      </c>
      <c r="M208" s="27" t="str">
        <f aca="false">+VLOOKUP(K208,'Correl CIIU'!$A$1:$F$26,3,FALSE())</f>
        <v>Finanzas y seguros</v>
      </c>
      <c r="N208" s="27" t="str">
        <f aca="false">+VLOOKUP(K208,'Correl CIIU'!$A$1:$F$26,4,FALSE())</f>
        <v>Financial and insurance activities</v>
      </c>
      <c r="O208" s="27" t="n">
        <v>3</v>
      </c>
      <c r="P208" s="28" t="str">
        <f aca="false">+VLOOKUP(O208,bio!$A$2:$B$4,2,FALSE())</f>
        <v>No bioeconomía</v>
      </c>
    </row>
    <row r="209" customFormat="false" ht="14.25" hidden="false" customHeight="false" outlineLevel="0" collapsed="false">
      <c r="A209" s="24" t="s">
        <v>1329</v>
      </c>
      <c r="B209" s="25" t="s">
        <v>1405</v>
      </c>
      <c r="C209" s="26" t="str">
        <f aca="false">+VLOOKUP(B209,'transacciones '!$A$2:$I$39,2,FALSE())</f>
        <v>ATC01</v>
      </c>
      <c r="D209" s="26" t="str">
        <f aca="false">+VLOOKUP(B209,'transacciones '!$A$2:$I$39,3,FALSE())</f>
        <v>Producción / Consumo intermedio</v>
      </c>
      <c r="E209" s="26" t="str">
        <f aca="false">+VLOOKUP(B209,'transacciones '!$A$2:$I$39,4,FALSE())</f>
        <v>Producción</v>
      </c>
      <c r="F209" s="26" t="n">
        <f aca="false">+VLOOKUP(B209,'transacciones '!$A$2:$I$39,5,FALSE())</f>
        <v>1</v>
      </c>
      <c r="G209" s="26" t="str">
        <f aca="false">+VLOOKUP(B209,'transacciones '!$A$2:$I$39,6,FALSE())</f>
        <v>P1</v>
      </c>
      <c r="H209" s="26" t="str">
        <f aca="false">+VLOOKUP(B209,'transacciones '!$A$2:$I$39,7,FALSE())</f>
        <v>Producción</v>
      </c>
      <c r="I209" s="41" t="s">
        <v>1565</v>
      </c>
      <c r="J209" s="26" t="s">
        <v>1524</v>
      </c>
      <c r="K209" s="11" t="s">
        <v>1525</v>
      </c>
      <c r="L209" s="27" t="str">
        <f aca="false">+VLOOKUP(K209,'Correl CIIU'!$A$1:$F$26,2,FALSE())</f>
        <v>Actividades inmobiliarias</v>
      </c>
      <c r="M209" s="27" t="str">
        <f aca="false">+VLOOKUP(K209,'Correl CIIU'!$A$1:$F$26,3,FALSE())</f>
        <v>Inmobiliarios</v>
      </c>
      <c r="N209" s="27" t="str">
        <f aca="false">+VLOOKUP(K209,'Correl CIIU'!$A$1:$F$26,4,FALSE())</f>
        <v>Real estate activities</v>
      </c>
      <c r="O209" s="27" t="n">
        <v>3</v>
      </c>
      <c r="P209" s="28" t="str">
        <f aca="false">+VLOOKUP(O209,bio!$A$2:$B$4,2,FALSE())</f>
        <v>No bioeconomía</v>
      </c>
    </row>
    <row r="210" customFormat="false" ht="14.25" hidden="false" customHeight="false" outlineLevel="0" collapsed="false">
      <c r="A210" s="24" t="s">
        <v>1331</v>
      </c>
      <c r="B210" s="25" t="s">
        <v>1405</v>
      </c>
      <c r="C210" s="26" t="str">
        <f aca="false">+VLOOKUP(B210,'transacciones '!$A$2:$I$39,2,FALSE())</f>
        <v>ATC01</v>
      </c>
      <c r="D210" s="26" t="str">
        <f aca="false">+VLOOKUP(B210,'transacciones '!$A$2:$I$39,3,FALSE())</f>
        <v>Producción / Consumo intermedio</v>
      </c>
      <c r="E210" s="26" t="str">
        <f aca="false">+VLOOKUP(B210,'transacciones '!$A$2:$I$39,4,FALSE())</f>
        <v>Producción</v>
      </c>
      <c r="F210" s="26" t="n">
        <f aca="false">+VLOOKUP(B210,'transacciones '!$A$2:$I$39,5,FALSE())</f>
        <v>1</v>
      </c>
      <c r="G210" s="26" t="str">
        <f aca="false">+VLOOKUP(B210,'transacciones '!$A$2:$I$39,6,FALSE())</f>
        <v>P1</v>
      </c>
      <c r="H210" s="26" t="str">
        <f aca="false">+VLOOKUP(B210,'transacciones '!$A$2:$I$39,7,FALSE())</f>
        <v>Producción</v>
      </c>
      <c r="I210" s="41" t="s">
        <v>1565</v>
      </c>
      <c r="J210" s="26" t="s">
        <v>1527</v>
      </c>
      <c r="K210" s="11" t="s">
        <v>1528</v>
      </c>
      <c r="L210" s="27" t="str">
        <f aca="false">+VLOOKUP(K210,'Correl CIIU'!$A$1:$F$26,2,FALSE())</f>
        <v>Actividades de servicios administrativos y de apoyo</v>
      </c>
      <c r="M210" s="27" t="str">
        <f aca="false">+VLOOKUP(K210,'Correl CIIU'!$A$1:$F$26,3,FALSE())</f>
        <v>Servicios administrativos</v>
      </c>
      <c r="N210" s="27" t="str">
        <f aca="false">+VLOOKUP(K210,'Correl CIIU'!$A$1:$F$26,4,FALSE())</f>
        <v>Administrative and support service activities</v>
      </c>
      <c r="O210" s="27" t="n">
        <v>3</v>
      </c>
      <c r="P210" s="28" t="str">
        <f aca="false">+VLOOKUP(O210,bio!$A$2:$B$4,2,FALSE())</f>
        <v>No bioeconomía</v>
      </c>
    </row>
    <row r="211" customFormat="false" ht="14.25" hidden="false" customHeight="false" outlineLevel="0" collapsed="false">
      <c r="A211" s="24" t="s">
        <v>1333</v>
      </c>
      <c r="B211" s="25" t="s">
        <v>1405</v>
      </c>
      <c r="C211" s="26" t="str">
        <f aca="false">+VLOOKUP(B211,'transacciones '!$A$2:$I$39,2,FALSE())</f>
        <v>ATC01</v>
      </c>
      <c r="D211" s="26" t="str">
        <f aca="false">+VLOOKUP(B211,'transacciones '!$A$2:$I$39,3,FALSE())</f>
        <v>Producción / Consumo intermedio</v>
      </c>
      <c r="E211" s="26" t="str">
        <f aca="false">+VLOOKUP(B211,'transacciones '!$A$2:$I$39,4,FALSE())</f>
        <v>Producción</v>
      </c>
      <c r="F211" s="26" t="n">
        <f aca="false">+VLOOKUP(B211,'transacciones '!$A$2:$I$39,5,FALSE())</f>
        <v>1</v>
      </c>
      <c r="G211" s="26" t="str">
        <f aca="false">+VLOOKUP(B211,'transacciones '!$A$2:$I$39,6,FALSE())</f>
        <v>P1</v>
      </c>
      <c r="H211" s="26" t="str">
        <f aca="false">+VLOOKUP(B211,'transacciones '!$A$2:$I$39,7,FALSE())</f>
        <v>Producción</v>
      </c>
      <c r="I211" s="41" t="s">
        <v>1565</v>
      </c>
      <c r="J211" s="26" t="s">
        <v>1530</v>
      </c>
      <c r="K211" s="11" t="s">
        <v>1531</v>
      </c>
      <c r="L211" s="27" t="str">
        <f aca="false">+VLOOKUP(K211,'Correl CIIU'!$A$1:$F$26,2,FALSE())</f>
        <v>Actividades profesionales, científicas y técnicas</v>
      </c>
      <c r="M211" s="27" t="str">
        <f aca="false">+VLOOKUP(K211,'Correl CIIU'!$A$1:$F$26,3,FALSE())</f>
        <v>Servicios profesionales</v>
      </c>
      <c r="N211" s="27" t="str">
        <f aca="false">+VLOOKUP(K211,'Correl CIIU'!$A$1:$F$26,4,FALSE())</f>
        <v>Professional, scientific and technical activities</v>
      </c>
      <c r="O211" s="27" t="n">
        <v>3</v>
      </c>
      <c r="P211" s="28" t="str">
        <f aca="false">+VLOOKUP(O211,bio!$A$2:$B$4,2,FALSE())</f>
        <v>No bioeconomía</v>
      </c>
    </row>
    <row r="212" customFormat="false" ht="14.25" hidden="false" customHeight="false" outlineLevel="0" collapsed="false">
      <c r="A212" s="24" t="s">
        <v>1335</v>
      </c>
      <c r="B212" s="25" t="s">
        <v>1405</v>
      </c>
      <c r="C212" s="26" t="str">
        <f aca="false">+VLOOKUP(B212,'transacciones '!$A$2:$I$39,2,FALSE())</f>
        <v>ATC01</v>
      </c>
      <c r="D212" s="26" t="str">
        <f aca="false">+VLOOKUP(B212,'transacciones '!$A$2:$I$39,3,FALSE())</f>
        <v>Producción / Consumo intermedio</v>
      </c>
      <c r="E212" s="26" t="str">
        <f aca="false">+VLOOKUP(B212,'transacciones '!$A$2:$I$39,4,FALSE())</f>
        <v>Producción</v>
      </c>
      <c r="F212" s="26" t="n">
        <f aca="false">+VLOOKUP(B212,'transacciones '!$A$2:$I$39,5,FALSE())</f>
        <v>1</v>
      </c>
      <c r="G212" s="26" t="str">
        <f aca="false">+VLOOKUP(B212,'transacciones '!$A$2:$I$39,6,FALSE())</f>
        <v>P1</v>
      </c>
      <c r="H212" s="26" t="str">
        <f aca="false">+VLOOKUP(B212,'transacciones '!$A$2:$I$39,7,FALSE())</f>
        <v>Producción</v>
      </c>
      <c r="I212" s="41" t="s">
        <v>1565</v>
      </c>
      <c r="J212" s="26" t="s">
        <v>1533</v>
      </c>
      <c r="K212" s="11" t="s">
        <v>1531</v>
      </c>
      <c r="L212" s="27" t="str">
        <f aca="false">+VLOOKUP(K212,'Correl CIIU'!$A$1:$F$26,2,FALSE())</f>
        <v>Actividades profesionales, científicas y técnicas</v>
      </c>
      <c r="M212" s="27" t="str">
        <f aca="false">+VLOOKUP(K212,'Correl CIIU'!$A$1:$F$26,3,FALSE())</f>
        <v>Servicios profesionales</v>
      </c>
      <c r="N212" s="27" t="str">
        <f aca="false">+VLOOKUP(K212,'Correl CIIU'!$A$1:$F$26,4,FALSE())</f>
        <v>Professional, scientific and technical activities</v>
      </c>
      <c r="O212" s="27" t="n">
        <v>2</v>
      </c>
      <c r="P212" s="28" t="str">
        <f aca="false">+VLOOKUP(O212,bio!$A$2:$B$4,2,FALSE())</f>
        <v>Bioeconomía extendida</v>
      </c>
    </row>
    <row r="213" customFormat="false" ht="14.25" hidden="false" customHeight="false" outlineLevel="0" collapsed="false">
      <c r="A213" s="24" t="s">
        <v>1337</v>
      </c>
      <c r="B213" s="25" t="s">
        <v>1405</v>
      </c>
      <c r="C213" s="26" t="str">
        <f aca="false">+VLOOKUP(B213,'transacciones '!$A$2:$I$39,2,FALSE())</f>
        <v>ATC01</v>
      </c>
      <c r="D213" s="26" t="str">
        <f aca="false">+VLOOKUP(B213,'transacciones '!$A$2:$I$39,3,FALSE())</f>
        <v>Producción / Consumo intermedio</v>
      </c>
      <c r="E213" s="26" t="str">
        <f aca="false">+VLOOKUP(B213,'transacciones '!$A$2:$I$39,4,FALSE())</f>
        <v>Producción</v>
      </c>
      <c r="F213" s="26" t="n">
        <f aca="false">+VLOOKUP(B213,'transacciones '!$A$2:$I$39,5,FALSE())</f>
        <v>1</v>
      </c>
      <c r="G213" s="26" t="str">
        <f aca="false">+VLOOKUP(B213,'transacciones '!$A$2:$I$39,6,FALSE())</f>
        <v>P1</v>
      </c>
      <c r="H213" s="26" t="str">
        <f aca="false">+VLOOKUP(B213,'transacciones '!$A$2:$I$39,7,FALSE())</f>
        <v>Producción</v>
      </c>
      <c r="I213" s="41" t="s">
        <v>1565</v>
      </c>
      <c r="J213" s="26" t="s">
        <v>1535</v>
      </c>
      <c r="K213" s="11" t="s">
        <v>1525</v>
      </c>
      <c r="L213" s="27" t="str">
        <f aca="false">+VLOOKUP(K213,'Correl CIIU'!$A$1:$F$26,2,FALSE())</f>
        <v>Actividades inmobiliarias</v>
      </c>
      <c r="M213" s="27" t="str">
        <f aca="false">+VLOOKUP(K213,'Correl CIIU'!$A$1:$F$26,3,FALSE())</f>
        <v>Inmobiliarios</v>
      </c>
      <c r="N213" s="27" t="str">
        <f aca="false">+VLOOKUP(K213,'Correl CIIU'!$A$1:$F$26,4,FALSE())</f>
        <v>Real estate activities</v>
      </c>
      <c r="O213" s="27" t="n">
        <v>2</v>
      </c>
      <c r="P213" s="28" t="str">
        <f aca="false">+VLOOKUP(O213,bio!$A$2:$B$4,2,FALSE())</f>
        <v>Bioeconomía extendida</v>
      </c>
    </row>
    <row r="214" customFormat="false" ht="14.25" hidden="false" customHeight="false" outlineLevel="0" collapsed="false">
      <c r="A214" s="24" t="s">
        <v>1339</v>
      </c>
      <c r="B214" s="25" t="s">
        <v>1405</v>
      </c>
      <c r="C214" s="26" t="str">
        <f aca="false">+VLOOKUP(B214,'transacciones '!$A$2:$I$39,2,FALSE())</f>
        <v>ATC01</v>
      </c>
      <c r="D214" s="26" t="str">
        <f aca="false">+VLOOKUP(B214,'transacciones '!$A$2:$I$39,3,FALSE())</f>
        <v>Producción / Consumo intermedio</v>
      </c>
      <c r="E214" s="26" t="str">
        <f aca="false">+VLOOKUP(B214,'transacciones '!$A$2:$I$39,4,FALSE())</f>
        <v>Producción</v>
      </c>
      <c r="F214" s="26" t="n">
        <f aca="false">+VLOOKUP(B214,'transacciones '!$A$2:$I$39,5,FALSE())</f>
        <v>1</v>
      </c>
      <c r="G214" s="26" t="str">
        <f aca="false">+VLOOKUP(B214,'transacciones '!$A$2:$I$39,6,FALSE())</f>
        <v>P1</v>
      </c>
      <c r="H214" s="26" t="str">
        <f aca="false">+VLOOKUP(B214,'transacciones '!$A$2:$I$39,7,FALSE())</f>
        <v>Producción</v>
      </c>
      <c r="I214" s="41" t="s">
        <v>1565</v>
      </c>
      <c r="J214" s="26" t="s">
        <v>1537</v>
      </c>
      <c r="K214" s="11" t="s">
        <v>1528</v>
      </c>
      <c r="L214" s="27" t="str">
        <f aca="false">+VLOOKUP(K214,'Correl CIIU'!$A$1:$F$26,2,FALSE())</f>
        <v>Actividades de servicios administrativos y de apoyo</v>
      </c>
      <c r="M214" s="27" t="str">
        <f aca="false">+VLOOKUP(K214,'Correl CIIU'!$A$1:$F$26,3,FALSE())</f>
        <v>Servicios administrativos</v>
      </c>
      <c r="N214" s="27" t="str">
        <f aca="false">+VLOOKUP(K214,'Correl CIIU'!$A$1:$F$26,4,FALSE())</f>
        <v>Administrative and support service activities</v>
      </c>
      <c r="O214" s="27" t="n">
        <v>3</v>
      </c>
      <c r="P214" s="28" t="str">
        <f aca="false">+VLOOKUP(O214,bio!$A$2:$B$4,2,FALSE())</f>
        <v>No bioeconomía</v>
      </c>
    </row>
    <row r="215" customFormat="false" ht="14.25" hidden="false" customHeight="false" outlineLevel="0" collapsed="false">
      <c r="A215" s="24" t="s">
        <v>1341</v>
      </c>
      <c r="B215" s="25" t="s">
        <v>1405</v>
      </c>
      <c r="C215" s="26" t="str">
        <f aca="false">+VLOOKUP(B215,'transacciones '!$A$2:$I$39,2,FALSE())</f>
        <v>ATC01</v>
      </c>
      <c r="D215" s="26" t="str">
        <f aca="false">+VLOOKUP(B215,'transacciones '!$A$2:$I$39,3,FALSE())</f>
        <v>Producción / Consumo intermedio</v>
      </c>
      <c r="E215" s="26" t="str">
        <f aca="false">+VLOOKUP(B215,'transacciones '!$A$2:$I$39,4,FALSE())</f>
        <v>Producción</v>
      </c>
      <c r="F215" s="26" t="n">
        <f aca="false">+VLOOKUP(B215,'transacciones '!$A$2:$I$39,5,FALSE())</f>
        <v>1</v>
      </c>
      <c r="G215" s="26" t="str">
        <f aca="false">+VLOOKUP(B215,'transacciones '!$A$2:$I$39,6,FALSE())</f>
        <v>P1</v>
      </c>
      <c r="H215" s="26" t="str">
        <f aca="false">+VLOOKUP(B215,'transacciones '!$A$2:$I$39,7,FALSE())</f>
        <v>Producción</v>
      </c>
      <c r="I215" s="41" t="s">
        <v>1565</v>
      </c>
      <c r="J215" s="26" t="s">
        <v>1539</v>
      </c>
      <c r="K215" s="11" t="s">
        <v>1540</v>
      </c>
      <c r="L215" s="27" t="str">
        <f aca="false">+VLOOKUP(K215,'Correl CIIU'!$A$1:$F$26,2,FALSE())</f>
        <v>Otras actividades de servicios</v>
      </c>
      <c r="M215" s="27" t="str">
        <f aca="false">+VLOOKUP(K215,'Correl CIIU'!$A$1:$F$26,3,FALSE())</f>
        <v>Otros servicios</v>
      </c>
      <c r="N215" s="27" t="str">
        <f aca="false">+VLOOKUP(K215,'Correl CIIU'!$A$1:$F$26,4,FALSE())</f>
        <v>Other service activities</v>
      </c>
      <c r="O215" s="27" t="n">
        <v>3</v>
      </c>
      <c r="P215" s="28" t="str">
        <f aca="false">+VLOOKUP(O215,bio!$A$2:$B$4,2,FALSE())</f>
        <v>No bioeconomía</v>
      </c>
    </row>
    <row r="216" customFormat="false" ht="14.25" hidden="false" customHeight="false" outlineLevel="0" collapsed="false">
      <c r="A216" s="24" t="s">
        <v>1343</v>
      </c>
      <c r="B216" s="25" t="s">
        <v>1405</v>
      </c>
      <c r="C216" s="26" t="str">
        <f aca="false">+VLOOKUP(B216,'transacciones '!$A$2:$I$39,2,FALSE())</f>
        <v>ATC01</v>
      </c>
      <c r="D216" s="26" t="str">
        <f aca="false">+VLOOKUP(B216,'transacciones '!$A$2:$I$39,3,FALSE())</f>
        <v>Producción / Consumo intermedio</v>
      </c>
      <c r="E216" s="26" t="str">
        <f aca="false">+VLOOKUP(B216,'transacciones '!$A$2:$I$39,4,FALSE())</f>
        <v>Producción</v>
      </c>
      <c r="F216" s="26" t="n">
        <f aca="false">+VLOOKUP(B216,'transacciones '!$A$2:$I$39,5,FALSE())</f>
        <v>1</v>
      </c>
      <c r="G216" s="26" t="str">
        <f aca="false">+VLOOKUP(B216,'transacciones '!$A$2:$I$39,6,FALSE())</f>
        <v>P1</v>
      </c>
      <c r="H216" s="26" t="str">
        <f aca="false">+VLOOKUP(B216,'transacciones '!$A$2:$I$39,7,FALSE())</f>
        <v>Producción</v>
      </c>
      <c r="I216" s="41" t="s">
        <v>1565</v>
      </c>
      <c r="J216" s="26" t="s">
        <v>1542</v>
      </c>
      <c r="K216" s="11" t="s">
        <v>1543</v>
      </c>
      <c r="L216" s="27" t="str">
        <f aca="false">+VLOOKUP(K216,'Correl CIIU'!$A$1:$F$26,2,FALSE())</f>
        <v>Administración pública y defensa; planes de seguridad social de afiliación obligatoria</v>
      </c>
      <c r="M216" s="27" t="str">
        <f aca="false">+VLOOKUP(K216,'Correl CIIU'!$A$1:$F$26,3,FALSE())</f>
        <v>Administración pública</v>
      </c>
      <c r="N216" s="27" t="str">
        <f aca="false">+VLOOKUP(K216,'Correl CIIU'!$A$1:$F$26,4,FALSE())</f>
        <v>Public administration and defence; compulsory social security</v>
      </c>
      <c r="O216" s="27" t="n">
        <v>3</v>
      </c>
      <c r="P216" s="28" t="str">
        <f aca="false">+VLOOKUP(O216,bio!$A$2:$B$4,2,FALSE())</f>
        <v>No bioeconomía</v>
      </c>
    </row>
    <row r="217" customFormat="false" ht="14.25" hidden="false" customHeight="false" outlineLevel="0" collapsed="false">
      <c r="A217" s="24" t="s">
        <v>1345</v>
      </c>
      <c r="B217" s="25" t="s">
        <v>1405</v>
      </c>
      <c r="C217" s="26" t="str">
        <f aca="false">+VLOOKUP(B217,'transacciones '!$A$2:$I$39,2,FALSE())</f>
        <v>ATC01</v>
      </c>
      <c r="D217" s="26" t="str">
        <f aca="false">+VLOOKUP(B217,'transacciones '!$A$2:$I$39,3,FALSE())</f>
        <v>Producción / Consumo intermedio</v>
      </c>
      <c r="E217" s="26" t="str">
        <f aca="false">+VLOOKUP(B217,'transacciones '!$A$2:$I$39,4,FALSE())</f>
        <v>Producción</v>
      </c>
      <c r="F217" s="26" t="n">
        <f aca="false">+VLOOKUP(B217,'transacciones '!$A$2:$I$39,5,FALSE())</f>
        <v>1</v>
      </c>
      <c r="G217" s="26" t="str">
        <f aca="false">+VLOOKUP(B217,'transacciones '!$A$2:$I$39,6,FALSE())</f>
        <v>P1</v>
      </c>
      <c r="H217" s="26" t="str">
        <f aca="false">+VLOOKUP(B217,'transacciones '!$A$2:$I$39,7,FALSE())</f>
        <v>Producción</v>
      </c>
      <c r="I217" s="41" t="s">
        <v>1565</v>
      </c>
      <c r="J217" s="26" t="s">
        <v>1545</v>
      </c>
      <c r="K217" s="11" t="s">
        <v>1546</v>
      </c>
      <c r="L217" s="27" t="str">
        <f aca="false">+VLOOKUP(K217,'Correl CIIU'!$A$1:$F$26,2,FALSE())</f>
        <v>Enseñanza</v>
      </c>
      <c r="M217" s="27" t="str">
        <f aca="false">+VLOOKUP(K217,'Correl CIIU'!$A$1:$F$26,3,FALSE())</f>
        <v>Enseñanza</v>
      </c>
      <c r="N217" s="27" t="str">
        <f aca="false">+VLOOKUP(K217,'Correl CIIU'!$A$1:$F$26,4,FALSE())</f>
        <v>Education</v>
      </c>
      <c r="O217" s="27" t="n">
        <v>3</v>
      </c>
      <c r="P217" s="28" t="str">
        <f aca="false">+VLOOKUP(O217,bio!$A$2:$B$4,2,FALSE())</f>
        <v>No bioeconomía</v>
      </c>
    </row>
    <row r="218" customFormat="false" ht="14.25" hidden="false" customHeight="false" outlineLevel="0" collapsed="false">
      <c r="A218" s="24" t="s">
        <v>1347</v>
      </c>
      <c r="B218" s="25" t="s">
        <v>1405</v>
      </c>
      <c r="C218" s="26" t="str">
        <f aca="false">+VLOOKUP(B218,'transacciones '!$A$2:$I$39,2,FALSE())</f>
        <v>ATC01</v>
      </c>
      <c r="D218" s="26" t="str">
        <f aca="false">+VLOOKUP(B218,'transacciones '!$A$2:$I$39,3,FALSE())</f>
        <v>Producción / Consumo intermedio</v>
      </c>
      <c r="E218" s="26" t="str">
        <f aca="false">+VLOOKUP(B218,'transacciones '!$A$2:$I$39,4,FALSE())</f>
        <v>Producción</v>
      </c>
      <c r="F218" s="26" t="n">
        <f aca="false">+VLOOKUP(B218,'transacciones '!$A$2:$I$39,5,FALSE())</f>
        <v>1</v>
      </c>
      <c r="G218" s="26" t="str">
        <f aca="false">+VLOOKUP(B218,'transacciones '!$A$2:$I$39,6,FALSE())</f>
        <v>P1</v>
      </c>
      <c r="H218" s="26" t="str">
        <f aca="false">+VLOOKUP(B218,'transacciones '!$A$2:$I$39,7,FALSE())</f>
        <v>Producción</v>
      </c>
      <c r="I218" s="41" t="s">
        <v>1565</v>
      </c>
      <c r="J218" s="26" t="s">
        <v>1548</v>
      </c>
      <c r="K218" s="11" t="s">
        <v>1546</v>
      </c>
      <c r="L218" s="27" t="str">
        <f aca="false">+VLOOKUP(K218,'Correl CIIU'!$A$1:$F$26,2,FALSE())</f>
        <v>Enseñanza</v>
      </c>
      <c r="M218" s="27" t="str">
        <f aca="false">+VLOOKUP(K218,'Correl CIIU'!$A$1:$F$26,3,FALSE())</f>
        <v>Enseñanza</v>
      </c>
      <c r="N218" s="27" t="str">
        <f aca="false">+VLOOKUP(K218,'Correl CIIU'!$A$1:$F$26,4,FALSE())</f>
        <v>Education</v>
      </c>
      <c r="O218" s="27" t="n">
        <v>3</v>
      </c>
      <c r="P218" s="28" t="str">
        <f aca="false">+VLOOKUP(O218,bio!$A$2:$B$4,2,FALSE())</f>
        <v>No bioeconomía</v>
      </c>
    </row>
    <row r="219" customFormat="false" ht="14.25" hidden="false" customHeight="false" outlineLevel="0" collapsed="false">
      <c r="A219" s="24" t="s">
        <v>1349</v>
      </c>
      <c r="B219" s="25" t="s">
        <v>1405</v>
      </c>
      <c r="C219" s="26" t="str">
        <f aca="false">+VLOOKUP(B219,'transacciones '!$A$2:$I$39,2,FALSE())</f>
        <v>ATC01</v>
      </c>
      <c r="D219" s="26" t="str">
        <f aca="false">+VLOOKUP(B219,'transacciones '!$A$2:$I$39,3,FALSE())</f>
        <v>Producción / Consumo intermedio</v>
      </c>
      <c r="E219" s="26" t="str">
        <f aca="false">+VLOOKUP(B219,'transacciones '!$A$2:$I$39,4,FALSE())</f>
        <v>Producción</v>
      </c>
      <c r="F219" s="26" t="n">
        <f aca="false">+VLOOKUP(B219,'transacciones '!$A$2:$I$39,5,FALSE())</f>
        <v>1</v>
      </c>
      <c r="G219" s="26" t="str">
        <f aca="false">+VLOOKUP(B219,'transacciones '!$A$2:$I$39,6,FALSE())</f>
        <v>P1</v>
      </c>
      <c r="H219" s="26" t="str">
        <f aca="false">+VLOOKUP(B219,'transacciones '!$A$2:$I$39,7,FALSE())</f>
        <v>Producción</v>
      </c>
      <c r="I219" s="41" t="s">
        <v>1565</v>
      </c>
      <c r="J219" s="26" t="s">
        <v>1550</v>
      </c>
      <c r="K219" s="11" t="s">
        <v>1551</v>
      </c>
      <c r="L219" s="27" t="str">
        <f aca="false">+VLOOKUP(K219,'Correl CIIU'!$A$1:$F$26,2,FALSE())</f>
        <v>Actividades de atención de la salud humana y de asistencia social</v>
      </c>
      <c r="M219" s="27" t="str">
        <f aca="false">+VLOOKUP(K219,'Correl CIIU'!$A$1:$F$26,3,FALSE())</f>
        <v>Salud</v>
      </c>
      <c r="N219" s="27" t="str">
        <f aca="false">+VLOOKUP(K219,'Correl CIIU'!$A$1:$F$26,4,FALSE())</f>
        <v>Human health and social work activities</v>
      </c>
      <c r="O219" s="27" t="n">
        <v>3</v>
      </c>
      <c r="P219" s="28" t="str">
        <f aca="false">+VLOOKUP(O219,bio!$A$2:$B$4,2,FALSE())</f>
        <v>No bioeconomía</v>
      </c>
    </row>
    <row r="220" customFormat="false" ht="14.25" hidden="false" customHeight="false" outlineLevel="0" collapsed="false">
      <c r="A220" s="24" t="s">
        <v>1351</v>
      </c>
      <c r="B220" s="25" t="s">
        <v>1405</v>
      </c>
      <c r="C220" s="26" t="str">
        <f aca="false">+VLOOKUP(B220,'transacciones '!$A$2:$I$39,2,FALSE())</f>
        <v>ATC01</v>
      </c>
      <c r="D220" s="26" t="str">
        <f aca="false">+VLOOKUP(B220,'transacciones '!$A$2:$I$39,3,FALSE())</f>
        <v>Producción / Consumo intermedio</v>
      </c>
      <c r="E220" s="26" t="str">
        <f aca="false">+VLOOKUP(B220,'transacciones '!$A$2:$I$39,4,FALSE())</f>
        <v>Producción</v>
      </c>
      <c r="F220" s="26" t="n">
        <f aca="false">+VLOOKUP(B220,'transacciones '!$A$2:$I$39,5,FALSE())</f>
        <v>1</v>
      </c>
      <c r="G220" s="26" t="str">
        <f aca="false">+VLOOKUP(B220,'transacciones '!$A$2:$I$39,6,FALSE())</f>
        <v>P1</v>
      </c>
      <c r="H220" s="26" t="str">
        <f aca="false">+VLOOKUP(B220,'transacciones '!$A$2:$I$39,7,FALSE())</f>
        <v>Producción</v>
      </c>
      <c r="I220" s="41" t="s">
        <v>1565</v>
      </c>
      <c r="J220" s="26" t="s">
        <v>1553</v>
      </c>
      <c r="K220" s="11" t="s">
        <v>1551</v>
      </c>
      <c r="L220" s="27" t="str">
        <f aca="false">+VLOOKUP(K220,'Correl CIIU'!$A$1:$F$26,2,FALSE())</f>
        <v>Actividades de atención de la salud humana y de asistencia social</v>
      </c>
      <c r="M220" s="27" t="str">
        <f aca="false">+VLOOKUP(K220,'Correl CIIU'!$A$1:$F$26,3,FALSE())</f>
        <v>Salud</v>
      </c>
      <c r="N220" s="27" t="str">
        <f aca="false">+VLOOKUP(K220,'Correl CIIU'!$A$1:$F$26,4,FALSE())</f>
        <v>Human health and social work activities</v>
      </c>
      <c r="O220" s="27" t="n">
        <v>3</v>
      </c>
      <c r="P220" s="28" t="str">
        <f aca="false">+VLOOKUP(O220,bio!$A$2:$B$4,2,FALSE())</f>
        <v>No bioeconomía</v>
      </c>
    </row>
    <row r="221" customFormat="false" ht="14.25" hidden="false" customHeight="false" outlineLevel="0" collapsed="false">
      <c r="A221" s="24" t="s">
        <v>1353</v>
      </c>
      <c r="B221" s="25" t="s">
        <v>1405</v>
      </c>
      <c r="C221" s="26" t="str">
        <f aca="false">+VLOOKUP(B221,'transacciones '!$A$2:$I$39,2,FALSE())</f>
        <v>ATC01</v>
      </c>
      <c r="D221" s="26" t="str">
        <f aca="false">+VLOOKUP(B221,'transacciones '!$A$2:$I$39,3,FALSE())</f>
        <v>Producción / Consumo intermedio</v>
      </c>
      <c r="E221" s="26" t="str">
        <f aca="false">+VLOOKUP(B221,'transacciones '!$A$2:$I$39,4,FALSE())</f>
        <v>Producción</v>
      </c>
      <c r="F221" s="26" t="n">
        <f aca="false">+VLOOKUP(B221,'transacciones '!$A$2:$I$39,5,FALSE())</f>
        <v>1</v>
      </c>
      <c r="G221" s="26" t="str">
        <f aca="false">+VLOOKUP(B221,'transacciones '!$A$2:$I$39,6,FALSE())</f>
        <v>P1</v>
      </c>
      <c r="H221" s="26" t="str">
        <f aca="false">+VLOOKUP(B221,'transacciones '!$A$2:$I$39,7,FALSE())</f>
        <v>Producción</v>
      </c>
      <c r="I221" s="41" t="s">
        <v>1565</v>
      </c>
      <c r="J221" s="26" t="s">
        <v>1555</v>
      </c>
      <c r="K221" s="11" t="s">
        <v>1556</v>
      </c>
      <c r="L221" s="27" t="str">
        <f aca="false">+VLOOKUP(K221,'Correl CIIU'!$A$1:$F$26,2,FALSE())</f>
        <v>Actividades artísticas, de entretenimiento y recreativas</v>
      </c>
      <c r="M221" s="27" t="str">
        <f aca="false">+VLOOKUP(K221,'Correl CIIU'!$A$1:$F$26,3,FALSE())</f>
        <v>Recreación</v>
      </c>
      <c r="N221" s="27" t="str">
        <f aca="false">+VLOOKUP(K221,'Correl CIIU'!$A$1:$F$26,4,FALSE())</f>
        <v>Arts, entertainment and recreation</v>
      </c>
      <c r="O221" s="27" t="n">
        <v>3</v>
      </c>
      <c r="P221" s="28" t="str">
        <f aca="false">+VLOOKUP(O222,bio!$A$2:$B$4,2,FALSE())</f>
        <v>No bioeconomía</v>
      </c>
    </row>
    <row r="222" customFormat="false" ht="14.25" hidden="false" customHeight="false" outlineLevel="0" collapsed="false">
      <c r="A222" s="24" t="s">
        <v>1355</v>
      </c>
      <c r="B222" s="25" t="s">
        <v>1405</v>
      </c>
      <c r="C222" s="26" t="str">
        <f aca="false">+VLOOKUP(B222,'transacciones '!$A$2:$I$39,2,FALSE())</f>
        <v>ATC01</v>
      </c>
      <c r="D222" s="26" t="str">
        <f aca="false">+VLOOKUP(B222,'transacciones '!$A$2:$I$39,3,FALSE())</f>
        <v>Producción / Consumo intermedio</v>
      </c>
      <c r="E222" s="26" t="str">
        <f aca="false">+VLOOKUP(B222,'transacciones '!$A$2:$I$39,4,FALSE())</f>
        <v>Producción</v>
      </c>
      <c r="F222" s="26" t="n">
        <f aca="false">+VLOOKUP(B222,'transacciones '!$A$2:$I$39,5,FALSE())</f>
        <v>1</v>
      </c>
      <c r="G222" s="26" t="str">
        <f aca="false">+VLOOKUP(B222,'transacciones '!$A$2:$I$39,6,FALSE())</f>
        <v>P1</v>
      </c>
      <c r="H222" s="26" t="str">
        <f aca="false">+VLOOKUP(B222,'transacciones '!$A$2:$I$39,7,FALSE())</f>
        <v>Producción</v>
      </c>
      <c r="I222" s="41" t="s">
        <v>1565</v>
      </c>
      <c r="J222" s="26" t="s">
        <v>1558</v>
      </c>
      <c r="K222" s="11" t="s">
        <v>1556</v>
      </c>
      <c r="L222" s="27" t="str">
        <f aca="false">+VLOOKUP(K222,'Correl CIIU'!$A$1:$F$26,2,FALSE())</f>
        <v>Actividades artísticas, de entretenimiento y recreativas</v>
      </c>
      <c r="M222" s="27" t="str">
        <f aca="false">+VLOOKUP(K222,'Correl CIIU'!$A$1:$F$26,3,FALSE())</f>
        <v>Recreación</v>
      </c>
      <c r="N222" s="27" t="str">
        <f aca="false">+VLOOKUP(K222,'Correl CIIU'!$A$1:$F$26,4,FALSE())</f>
        <v>Arts, entertainment and recreation</v>
      </c>
      <c r="O222" s="27" t="n">
        <v>3</v>
      </c>
      <c r="P222" s="28" t="str">
        <f aca="false">+VLOOKUP(O223,bio!$A$2:$B$4,2,FALSE())</f>
        <v>No bioeconomía</v>
      </c>
    </row>
    <row r="223" customFormat="false" ht="14.25" hidden="false" customHeight="false" outlineLevel="0" collapsed="false">
      <c r="A223" s="24" t="s">
        <v>1357</v>
      </c>
      <c r="B223" s="25" t="s">
        <v>1405</v>
      </c>
      <c r="C223" s="26" t="str">
        <f aca="false">+VLOOKUP(B223,'transacciones '!$A$2:$I$39,2,FALSE())</f>
        <v>ATC01</v>
      </c>
      <c r="D223" s="26" t="str">
        <f aca="false">+VLOOKUP(B223,'transacciones '!$A$2:$I$39,3,FALSE())</f>
        <v>Producción / Consumo intermedio</v>
      </c>
      <c r="E223" s="26" t="str">
        <f aca="false">+VLOOKUP(B223,'transacciones '!$A$2:$I$39,4,FALSE())</f>
        <v>Producción</v>
      </c>
      <c r="F223" s="26" t="n">
        <f aca="false">+VLOOKUP(B223,'transacciones '!$A$2:$I$39,5,FALSE())</f>
        <v>1</v>
      </c>
      <c r="G223" s="26" t="str">
        <f aca="false">+VLOOKUP(B223,'transacciones '!$A$2:$I$39,6,FALSE())</f>
        <v>P1</v>
      </c>
      <c r="H223" s="26" t="str">
        <f aca="false">+VLOOKUP(B223,'transacciones '!$A$2:$I$39,7,FALSE())</f>
        <v>Producción</v>
      </c>
      <c r="I223" s="41" t="s">
        <v>1565</v>
      </c>
      <c r="J223" s="26" t="s">
        <v>1560</v>
      </c>
      <c r="K223" s="11" t="s">
        <v>1561</v>
      </c>
      <c r="L223" s="27" t="str">
        <f aca="false">+VLOOKUP(K223,'Correl CIIU'!$A$1:$F$26,2,FALSE())</f>
        <v>Actividades de los hogares como empleadores; actividades no diferenciadas de los hogares como productores de bienes y servicios para uso propio</v>
      </c>
      <c r="M223" s="27" t="str">
        <f aca="false">+VLOOKUP(K223,'Correl CIIU'!$A$1:$F$26,3,FALSE())</f>
        <v>Hogares como empleadores</v>
      </c>
      <c r="N223" s="27" t="str">
        <f aca="false">+VLOOKUP(K223,'Correl CIIU'!$A$1:$F$26,4,FALSE())</f>
        <v>Activities of households as employers; undifferentiated goods- and services-producing activities of households for own use</v>
      </c>
      <c r="O223" s="27" t="n">
        <v>3</v>
      </c>
      <c r="P223" s="28" t="str">
        <f aca="false">+VLOOKUP(O223,bio!$A$2:$B$4,2,FALSE())</f>
        <v>No bioeconomía</v>
      </c>
    </row>
    <row r="224" customFormat="false" ht="14.25" hidden="false" customHeight="false" outlineLevel="0" collapsed="false">
      <c r="A224" s="42" t="s">
        <v>1359</v>
      </c>
      <c r="B224" s="43" t="s">
        <v>1405</v>
      </c>
      <c r="C224" s="44" t="str">
        <f aca="false">+VLOOKUP(B224,'transacciones '!$A$2:$I$39,2,FALSE())</f>
        <v>ATC01</v>
      </c>
      <c r="D224" s="44" t="str">
        <f aca="false">+VLOOKUP(B224,'transacciones '!$A$2:$I$39,3,FALSE())</f>
        <v>Producción / Consumo intermedio</v>
      </c>
      <c r="E224" s="44" t="str">
        <f aca="false">+VLOOKUP(B224,'transacciones '!$A$2:$I$39,4,FALSE())</f>
        <v>Producción</v>
      </c>
      <c r="F224" s="44" t="n">
        <f aca="false">+VLOOKUP(B224,'transacciones '!$A$2:$I$39,5,FALSE())</f>
        <v>1</v>
      </c>
      <c r="G224" s="44" t="str">
        <f aca="false">+VLOOKUP(B224,'transacciones '!$A$2:$I$39,6,FALSE())</f>
        <v>P1</v>
      </c>
      <c r="H224" s="44" t="str">
        <f aca="false">+VLOOKUP(B224,'transacciones '!$A$2:$I$39,7,FALSE())</f>
        <v>Producción</v>
      </c>
      <c r="I224" s="45" t="s">
        <v>1565</v>
      </c>
      <c r="J224" s="44" t="s">
        <v>1562</v>
      </c>
      <c r="K224" s="46"/>
      <c r="L224" s="46"/>
      <c r="M224" s="46"/>
      <c r="N224" s="46"/>
      <c r="O224" s="46"/>
      <c r="P224" s="47"/>
    </row>
    <row r="225" s="9" customFormat="true" ht="14.25" hidden="false" customHeight="false" outlineLevel="0" collapsed="false">
      <c r="B225" s="25"/>
      <c r="I225" s="41"/>
      <c r="K225" s="27"/>
      <c r="L225" s="27"/>
      <c r="M225" s="27"/>
      <c r="N225" s="27"/>
      <c r="O225" s="27"/>
      <c r="P225" s="27"/>
    </row>
    <row r="226" customFormat="false" ht="14.25" hidden="false" customHeight="false" outlineLevel="0" collapsed="false">
      <c r="B226" s="25"/>
      <c r="C226" s="26"/>
      <c r="D226" s="26"/>
      <c r="E226" s="26"/>
      <c r="F226" s="26"/>
      <c r="G226" s="26"/>
      <c r="H226" s="26"/>
      <c r="I226" s="41"/>
      <c r="K226" s="27"/>
      <c r="L226" s="27"/>
      <c r="M226" s="27"/>
      <c r="N226" s="27"/>
      <c r="O226" s="27"/>
      <c r="P226" s="27"/>
    </row>
    <row r="227" s="9" customFormat="true" ht="14.25" hidden="false" customHeight="false" outlineLevel="0" collapsed="false">
      <c r="B227" s="25"/>
      <c r="I227" s="41"/>
      <c r="K227" s="27"/>
      <c r="L227" s="27"/>
      <c r="M227" s="27"/>
      <c r="N227" s="27"/>
      <c r="O227" s="27"/>
      <c r="P227" s="27"/>
    </row>
    <row r="228" customFormat="false" ht="14.25" hidden="false" customHeight="false" outlineLevel="0" collapsed="false">
      <c r="B228" s="25"/>
      <c r="C228" s="26"/>
      <c r="D228" s="26"/>
      <c r="E228" s="26"/>
      <c r="F228" s="26"/>
      <c r="G228" s="26"/>
      <c r="H228" s="26"/>
      <c r="I228" s="41"/>
      <c r="K228" s="27"/>
      <c r="L228" s="27"/>
      <c r="M228" s="27"/>
      <c r="N228" s="27"/>
      <c r="O228" s="27"/>
      <c r="P228" s="27"/>
    </row>
    <row r="229" s="9" customFormat="true" ht="14.25" hidden="false" customHeight="false" outlineLevel="0" collapsed="false">
      <c r="B229" s="25"/>
      <c r="I229" s="41"/>
      <c r="K229" s="27"/>
      <c r="L229" s="27"/>
      <c r="M229" s="27"/>
      <c r="N229" s="27"/>
      <c r="O229" s="27"/>
      <c r="P229" s="27"/>
    </row>
    <row r="230" customFormat="false" ht="14.25" hidden="false" customHeight="false" outlineLevel="0" collapsed="false">
      <c r="B230" s="25"/>
      <c r="C230" s="26"/>
      <c r="D230" s="26"/>
      <c r="E230" s="26"/>
      <c r="F230" s="26"/>
      <c r="G230" s="26"/>
      <c r="H230" s="26"/>
      <c r="I230" s="41"/>
      <c r="K230" s="27"/>
      <c r="L230" s="27"/>
      <c r="M230" s="27"/>
      <c r="N230" s="27"/>
      <c r="O230" s="27"/>
      <c r="P230" s="27"/>
    </row>
    <row r="231" s="9" customFormat="true" ht="14.25" hidden="false" customHeight="false" outlineLevel="0" collapsed="false">
      <c r="B231" s="25"/>
      <c r="I231" s="41"/>
      <c r="K231" s="27"/>
      <c r="L231" s="27"/>
      <c r="M231" s="27"/>
      <c r="N231" s="27"/>
      <c r="O231" s="27"/>
      <c r="P231" s="27"/>
    </row>
    <row r="232" customFormat="false" ht="14.25" hidden="false" customHeight="false" outlineLevel="0" collapsed="false">
      <c r="B232" s="25"/>
      <c r="C232" s="26"/>
      <c r="D232" s="26"/>
      <c r="E232" s="26"/>
      <c r="F232" s="26"/>
      <c r="G232" s="26"/>
      <c r="H232" s="26"/>
      <c r="I232" s="41"/>
      <c r="K232" s="27"/>
      <c r="L232" s="27"/>
      <c r="M232" s="27"/>
      <c r="N232" s="27"/>
      <c r="O232" s="27"/>
      <c r="P232" s="27"/>
    </row>
    <row r="233" s="9" customFormat="true" ht="14.25" hidden="false" customHeight="false" outlineLevel="0" collapsed="false">
      <c r="B233" s="25"/>
      <c r="I233" s="41"/>
      <c r="K233" s="27"/>
      <c r="L233" s="27"/>
      <c r="M233" s="27"/>
      <c r="N233" s="27"/>
      <c r="O233" s="27"/>
      <c r="P233" s="27"/>
    </row>
    <row r="234" customFormat="false" ht="14.25" hidden="false" customHeight="false" outlineLevel="0" collapsed="false">
      <c r="B234" s="25"/>
      <c r="C234" s="26"/>
      <c r="D234" s="26"/>
      <c r="E234" s="26"/>
      <c r="F234" s="26"/>
      <c r="G234" s="26"/>
      <c r="H234" s="26"/>
      <c r="I234" s="41"/>
      <c r="K234" s="27"/>
      <c r="L234" s="27"/>
      <c r="M234" s="27"/>
      <c r="N234" s="27"/>
      <c r="O234" s="27"/>
      <c r="P234" s="27"/>
    </row>
    <row r="235" s="9" customFormat="true" ht="14.25" hidden="false" customHeight="false" outlineLevel="0" collapsed="false">
      <c r="B235" s="25"/>
      <c r="I235" s="41"/>
      <c r="K235" s="27"/>
      <c r="L235" s="27"/>
      <c r="M235" s="27"/>
      <c r="N235" s="27"/>
      <c r="O235" s="27"/>
      <c r="P235" s="27"/>
    </row>
    <row r="236" customFormat="false" ht="14.25" hidden="false" customHeight="false" outlineLevel="0" collapsed="false">
      <c r="B236" s="25"/>
      <c r="C236" s="26"/>
      <c r="D236" s="26"/>
      <c r="E236" s="26"/>
      <c r="F236" s="26"/>
      <c r="G236" s="26"/>
      <c r="H236" s="26"/>
      <c r="I236" s="41"/>
      <c r="K236" s="27"/>
      <c r="L236" s="27"/>
      <c r="M236" s="27"/>
      <c r="N236" s="27"/>
      <c r="O236" s="27"/>
      <c r="P236" s="27"/>
    </row>
    <row r="237" s="9" customFormat="true" ht="14.25" hidden="false" customHeight="false" outlineLevel="0" collapsed="false">
      <c r="B237" s="25"/>
      <c r="I237" s="41"/>
      <c r="K237" s="27"/>
      <c r="L237" s="27"/>
      <c r="M237" s="27"/>
      <c r="N237" s="27"/>
      <c r="O237" s="27"/>
      <c r="P237" s="27"/>
    </row>
    <row r="238" customFormat="false" ht="14.25" hidden="false" customHeight="false" outlineLevel="0" collapsed="false">
      <c r="B238" s="25"/>
      <c r="C238" s="26"/>
      <c r="D238" s="26"/>
      <c r="E238" s="26"/>
      <c r="F238" s="26"/>
      <c r="G238" s="26"/>
      <c r="H238" s="26"/>
      <c r="I238" s="41"/>
      <c r="K238" s="27"/>
      <c r="L238" s="27"/>
      <c r="M238" s="27"/>
      <c r="N238" s="27"/>
      <c r="O238" s="27"/>
      <c r="P238" s="27"/>
    </row>
    <row r="239" s="9" customFormat="true" ht="14.25" hidden="false" customHeight="false" outlineLevel="0" collapsed="false">
      <c r="B239" s="25"/>
      <c r="I239" s="41"/>
      <c r="K239" s="27"/>
      <c r="L239" s="27"/>
      <c r="M239" s="27"/>
      <c r="N239" s="27"/>
      <c r="O239" s="27"/>
      <c r="P239" s="27"/>
    </row>
    <row r="240" customFormat="false" ht="14.25" hidden="false" customHeight="false" outlineLevel="0" collapsed="false">
      <c r="B240" s="25"/>
      <c r="C240" s="26"/>
      <c r="D240" s="26"/>
      <c r="E240" s="26"/>
      <c r="F240" s="26"/>
      <c r="G240" s="26"/>
      <c r="H240" s="26"/>
      <c r="I240" s="41"/>
      <c r="K240" s="27"/>
      <c r="L240" s="27"/>
      <c r="M240" s="27"/>
      <c r="N240" s="27"/>
      <c r="O240" s="27"/>
      <c r="P240" s="27"/>
    </row>
    <row r="241" s="9" customFormat="true" ht="14.25" hidden="false" customHeight="false" outlineLevel="0" collapsed="false">
      <c r="B241" s="25"/>
      <c r="I241" s="41"/>
      <c r="K241" s="27"/>
      <c r="L241" s="27"/>
      <c r="M241" s="27"/>
      <c r="N241" s="27"/>
      <c r="O241" s="27"/>
      <c r="P241" s="27"/>
    </row>
    <row r="242" customFormat="false" ht="14.25" hidden="false" customHeight="false" outlineLevel="0" collapsed="false">
      <c r="B242" s="25"/>
      <c r="C242" s="26"/>
      <c r="D242" s="26"/>
      <c r="E242" s="26"/>
      <c r="F242" s="26"/>
      <c r="G242" s="26"/>
      <c r="H242" s="26"/>
      <c r="I242" s="41"/>
      <c r="K242" s="27"/>
      <c r="L242" s="27"/>
      <c r="M242" s="27"/>
      <c r="N242" s="27"/>
      <c r="O242" s="27"/>
      <c r="P242" s="27"/>
    </row>
    <row r="243" s="9" customFormat="true" ht="14.25" hidden="false" customHeight="false" outlineLevel="0" collapsed="false">
      <c r="B243" s="25"/>
      <c r="I243" s="41"/>
      <c r="K243" s="27"/>
      <c r="L243" s="27"/>
      <c r="M243" s="27"/>
      <c r="N243" s="27"/>
      <c r="O243" s="27"/>
      <c r="P243" s="27"/>
    </row>
    <row r="244" customFormat="false" ht="14.25" hidden="false" customHeight="false" outlineLevel="0" collapsed="false">
      <c r="B244" s="25"/>
      <c r="C244" s="26"/>
      <c r="D244" s="26"/>
      <c r="E244" s="26"/>
      <c r="F244" s="26"/>
      <c r="G244" s="26"/>
      <c r="H244" s="26"/>
      <c r="I244" s="41"/>
      <c r="K244" s="27"/>
      <c r="L244" s="27"/>
      <c r="M244" s="27"/>
      <c r="N244" s="27"/>
      <c r="O244" s="27"/>
      <c r="P244" s="27"/>
    </row>
    <row r="245" customFormat="false" ht="14.25" hidden="false" customHeight="false" outlineLevel="0" collapsed="false">
      <c r="B245" s="25"/>
      <c r="C245" s="26"/>
      <c r="D245" s="26"/>
      <c r="E245" s="26"/>
      <c r="F245" s="26"/>
      <c r="G245" s="26"/>
      <c r="H245" s="26"/>
      <c r="I245" s="41"/>
      <c r="K245" s="27"/>
      <c r="L245" s="27"/>
      <c r="M245" s="27"/>
      <c r="N245" s="27"/>
      <c r="O245" s="27"/>
      <c r="P245" s="27"/>
    </row>
    <row r="246" customFormat="false" ht="14.25" hidden="false" customHeight="false" outlineLevel="0" collapsed="false">
      <c r="I246" s="9"/>
      <c r="L246" s="27"/>
      <c r="M246" s="27"/>
      <c r="N246" s="27"/>
      <c r="O246" s="30"/>
      <c r="P246" s="27"/>
    </row>
    <row r="247" customFormat="false" ht="14.25" hidden="false" customHeight="false" outlineLevel="0" collapsed="false">
      <c r="I247" s="9"/>
      <c r="L247" s="27"/>
      <c r="M247" s="27"/>
      <c r="N247" s="27"/>
      <c r="O247" s="30"/>
      <c r="P247" s="27"/>
    </row>
    <row r="248" customFormat="false" ht="14.25" hidden="false" customHeight="false" outlineLevel="0" collapsed="false">
      <c r="I248" s="9"/>
      <c r="L248" s="27"/>
      <c r="M248" s="27"/>
      <c r="N248" s="27"/>
      <c r="O248" s="30"/>
      <c r="P248" s="27"/>
    </row>
    <row r="249" customFormat="false" ht="14.25" hidden="false" customHeight="false" outlineLevel="0" collapsed="false">
      <c r="C249" s="48"/>
      <c r="D249" s="48"/>
      <c r="E249" s="48"/>
      <c r="F249" s="48"/>
      <c r="G249" s="48"/>
      <c r="H249" s="48"/>
      <c r="I249" s="41"/>
      <c r="L249" s="27"/>
      <c r="M249" s="27"/>
      <c r="N249" s="27"/>
      <c r="O249" s="27"/>
      <c r="P249" s="27"/>
    </row>
    <row r="250" customFormat="false" ht="14.25" hidden="false" customHeight="false" outlineLevel="0" collapsed="false">
      <c r="C250" s="26"/>
      <c r="D250" s="26"/>
      <c r="E250" s="26"/>
      <c r="F250" s="26"/>
      <c r="G250" s="26"/>
      <c r="H250" s="26"/>
      <c r="I250" s="41"/>
      <c r="L250" s="27"/>
      <c r="M250" s="27"/>
      <c r="N250" s="27"/>
      <c r="O250" s="27"/>
      <c r="P250" s="27"/>
    </row>
    <row r="251" customFormat="false" ht="14.25" hidden="false" customHeight="false" outlineLevel="0" collapsed="false">
      <c r="C251" s="26"/>
      <c r="D251" s="26"/>
      <c r="E251" s="26"/>
      <c r="F251" s="26"/>
      <c r="G251" s="26"/>
      <c r="H251" s="26"/>
      <c r="I251" s="41"/>
      <c r="L251" s="27"/>
      <c r="M251" s="27"/>
      <c r="N251" s="27"/>
      <c r="O251" s="27"/>
      <c r="P251" s="27"/>
    </row>
    <row r="252" customFormat="false" ht="14.25" hidden="false" customHeight="false" outlineLevel="0" collapsed="false">
      <c r="I252" s="41"/>
      <c r="L252" s="27"/>
      <c r="M252" s="27"/>
      <c r="N252" s="27"/>
      <c r="O252" s="25"/>
      <c r="P252" s="27"/>
    </row>
    <row r="253" customFormat="false" ht="14.25" hidden="false" customHeight="false" outlineLevel="0" collapsed="false">
      <c r="C253" s="26"/>
      <c r="D253" s="26"/>
      <c r="E253" s="26"/>
      <c r="F253" s="26"/>
      <c r="G253" s="26"/>
      <c r="H253" s="26"/>
      <c r="I253" s="49"/>
      <c r="L253" s="27"/>
      <c r="M253" s="27"/>
      <c r="N253" s="27"/>
      <c r="O253" s="27"/>
      <c r="P253" s="27"/>
    </row>
    <row r="254" customFormat="false" ht="14.25" hidden="false" customHeight="false" outlineLevel="0" collapsed="false">
      <c r="C254" s="26"/>
      <c r="D254" s="26"/>
      <c r="E254" s="26"/>
      <c r="F254" s="26"/>
      <c r="G254" s="26"/>
      <c r="H254" s="26"/>
      <c r="I254" s="41"/>
      <c r="L254" s="27"/>
      <c r="M254" s="27"/>
      <c r="N254" s="27"/>
      <c r="O254" s="27"/>
      <c r="P254" s="27"/>
    </row>
    <row r="255" customFormat="false" ht="14.25" hidden="false" customHeight="false" outlineLevel="0" collapsed="false">
      <c r="C255" s="26"/>
      <c r="D255" s="26"/>
      <c r="E255" s="26"/>
      <c r="F255" s="26"/>
      <c r="G255" s="26"/>
      <c r="H255" s="26"/>
      <c r="I255" s="41"/>
      <c r="L255" s="27"/>
      <c r="M255" s="27"/>
      <c r="N255" s="27"/>
      <c r="O255" s="27"/>
      <c r="P255" s="27"/>
    </row>
    <row r="256" customFormat="false" ht="14.25" hidden="false" customHeight="false" outlineLevel="0" collapsed="false">
      <c r="C256" s="26"/>
      <c r="D256" s="26"/>
      <c r="E256" s="26"/>
      <c r="F256" s="26"/>
      <c r="G256" s="26"/>
      <c r="H256" s="26"/>
      <c r="I256" s="41"/>
      <c r="L256" s="27"/>
      <c r="M256" s="27"/>
      <c r="N256" s="27"/>
      <c r="O256" s="27"/>
      <c r="P256" s="27"/>
    </row>
    <row r="257" customFormat="false" ht="14.25" hidden="false" customHeight="false" outlineLevel="0" collapsed="false">
      <c r="I257" s="41"/>
      <c r="L257" s="27"/>
      <c r="M257" s="27"/>
      <c r="N257" s="27"/>
      <c r="P257" s="27"/>
    </row>
    <row r="258" customFormat="false" ht="14.25" hidden="false" customHeight="false" outlineLevel="0" collapsed="false">
      <c r="I258" s="50"/>
      <c r="L258" s="27"/>
      <c r="M258" s="27"/>
      <c r="N258" s="27"/>
      <c r="P258" s="27"/>
    </row>
    <row r="259" customFormat="false" ht="14.25" hidden="false" customHeight="false" outlineLevel="0" collapsed="false">
      <c r="I259" s="50"/>
      <c r="L259" s="27"/>
      <c r="M259" s="27"/>
      <c r="N259" s="27"/>
      <c r="P259" s="27"/>
    </row>
    <row r="260" customFormat="false" ht="14.25" hidden="false" customHeight="false" outlineLevel="0" collapsed="false">
      <c r="L260" s="27"/>
      <c r="M260" s="27"/>
      <c r="N260" s="27"/>
      <c r="P260" s="27"/>
    </row>
    <row r="261" s="9" customFormat="true" ht="14.25" hidden="false" customHeight="false" outlineLevel="0" collapsed="false">
      <c r="K261" s="27"/>
      <c r="L261" s="27"/>
      <c r="M261" s="27"/>
      <c r="N261" s="27"/>
      <c r="O261" s="27"/>
      <c r="P261" s="27"/>
    </row>
    <row r="262" s="9" customFormat="true" ht="14.25" hidden="false" customHeight="false" outlineLevel="0" collapsed="false">
      <c r="K262" s="27"/>
      <c r="L262" s="27"/>
      <c r="M262" s="27"/>
      <c r="N262" s="27"/>
      <c r="O262" s="27"/>
      <c r="P262" s="27"/>
    </row>
    <row r="263" customFormat="false" ht="14.25" hidden="false" customHeight="false" outlineLevel="0" collapsed="false">
      <c r="I263" s="51"/>
      <c r="L263" s="27"/>
      <c r="M263" s="27"/>
      <c r="N263" s="27"/>
      <c r="P263" s="27"/>
    </row>
    <row r="264" s="9" customFormat="true" ht="14.25" hidden="false" customHeight="false" outlineLevel="0" collapsed="false">
      <c r="K264" s="27"/>
      <c r="L264" s="27"/>
      <c r="M264" s="27"/>
      <c r="N264" s="27"/>
      <c r="O264" s="27"/>
      <c r="P264" s="27"/>
    </row>
    <row r="265" s="9" customFormat="true" ht="14.25" hidden="false" customHeight="false" outlineLevel="0" collapsed="false">
      <c r="K265" s="27"/>
      <c r="L265" s="27"/>
      <c r="M265" s="27"/>
      <c r="N265" s="27"/>
      <c r="O265" s="27"/>
      <c r="P265" s="27"/>
    </row>
    <row r="266" s="9" customFormat="true" ht="14.25" hidden="false" customHeight="false" outlineLevel="0" collapsed="false">
      <c r="K266" s="27"/>
      <c r="L266" s="27"/>
      <c r="M266" s="27"/>
      <c r="N266" s="27"/>
      <c r="O266" s="27"/>
      <c r="P266" s="27"/>
    </row>
    <row r="267" s="9" customFormat="true" ht="14.25" hidden="false" customHeight="false" outlineLevel="0" collapsed="false">
      <c r="K267" s="27"/>
      <c r="L267" s="27"/>
      <c r="M267" s="27"/>
      <c r="N267" s="27"/>
      <c r="O267" s="27"/>
      <c r="P267" s="27"/>
    </row>
    <row r="268" customFormat="false" ht="14.25" hidden="false" customHeight="false" outlineLevel="0" collapsed="false">
      <c r="I268" s="50"/>
      <c r="L268" s="27"/>
      <c r="M268" s="27"/>
      <c r="N268" s="27"/>
      <c r="P268" s="27"/>
    </row>
    <row r="269" customFormat="false" ht="14.25" hidden="false" customHeight="false" outlineLevel="0" collapsed="false">
      <c r="I269" s="50"/>
      <c r="L269" s="27"/>
      <c r="M269" s="27"/>
      <c r="N269" s="27"/>
      <c r="P269" s="27"/>
    </row>
    <row r="270" s="9" customFormat="true" ht="14.25" hidden="false" customHeight="false" outlineLevel="0" collapsed="false">
      <c r="K270" s="27"/>
      <c r="L270" s="27"/>
      <c r="M270" s="27"/>
      <c r="N270" s="27"/>
      <c r="O270" s="27"/>
      <c r="P270" s="27"/>
    </row>
    <row r="271" s="9" customFormat="true" ht="14.25" hidden="false" customHeight="false" outlineLevel="0" collapsed="false">
      <c r="K271" s="27"/>
      <c r="L271" s="27"/>
      <c r="M271" s="27"/>
      <c r="N271" s="27"/>
      <c r="O271" s="27"/>
      <c r="P271" s="27"/>
    </row>
    <row r="272" customFormat="false" ht="14.25" hidden="false" customHeight="false" outlineLevel="0" collapsed="false">
      <c r="I272" s="51"/>
      <c r="L272" s="27"/>
      <c r="M272" s="27"/>
      <c r="N272" s="27"/>
      <c r="P272" s="27"/>
    </row>
    <row r="273" customFormat="false" ht="14.25" hidden="false" customHeight="false" outlineLevel="0" collapsed="false">
      <c r="I273" s="52"/>
      <c r="L273" s="27"/>
      <c r="M273" s="27"/>
      <c r="N273" s="27"/>
      <c r="P273" s="27"/>
    </row>
  </sheetData>
  <autoFilter ref="A1:P22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2" style="1" width="68.82"/>
  </cols>
  <sheetData>
    <row r="1" customFormat="false" ht="14.25" hidden="false" customHeight="false" outlineLevel="0" collapsed="false">
      <c r="A1" s="53" t="s">
        <v>1399</v>
      </c>
      <c r="B1" s="53" t="s">
        <v>1400</v>
      </c>
      <c r="C1" s="53" t="s">
        <v>1401</v>
      </c>
      <c r="D1" s="53" t="s">
        <v>1402</v>
      </c>
      <c r="E1" s="53"/>
      <c r="F1" s="53"/>
    </row>
    <row r="2" customFormat="false" ht="14.25" hidden="false" customHeight="false" outlineLevel="0" collapsed="false">
      <c r="A2" s="54" t="s">
        <v>1408</v>
      </c>
      <c r="B2" s="54" t="s">
        <v>1593</v>
      </c>
      <c r="C2" s="54" t="s">
        <v>1594</v>
      </c>
      <c r="D2" s="54" t="s">
        <v>1595</v>
      </c>
      <c r="E2" s="54"/>
      <c r="F2" s="54"/>
    </row>
    <row r="3" customFormat="false" ht="14.25" hidden="false" customHeight="false" outlineLevel="0" collapsed="false">
      <c r="A3" s="54" t="s">
        <v>1415</v>
      </c>
      <c r="B3" s="54" t="s">
        <v>1596</v>
      </c>
      <c r="C3" s="54" t="s">
        <v>1597</v>
      </c>
      <c r="D3" s="54" t="s">
        <v>1598</v>
      </c>
      <c r="E3" s="54"/>
      <c r="F3" s="54"/>
    </row>
    <row r="4" customFormat="false" ht="14.25" hidden="false" customHeight="false" outlineLevel="0" collapsed="false">
      <c r="A4" s="54" t="s">
        <v>1424</v>
      </c>
      <c r="B4" s="54" t="s">
        <v>1599</v>
      </c>
      <c r="C4" s="54" t="s">
        <v>1600</v>
      </c>
      <c r="D4" s="54" t="s">
        <v>1601</v>
      </c>
      <c r="E4" s="54"/>
      <c r="F4" s="54"/>
    </row>
    <row r="5" customFormat="false" ht="14.25" hidden="false" customHeight="false" outlineLevel="0" collapsed="false">
      <c r="A5" s="54" t="s">
        <v>1424</v>
      </c>
      <c r="B5" s="54" t="s">
        <v>1599</v>
      </c>
      <c r="C5" s="54" t="s">
        <v>1600</v>
      </c>
      <c r="D5" s="54" t="s">
        <v>1601</v>
      </c>
      <c r="E5" s="54"/>
      <c r="F5" s="54"/>
    </row>
    <row r="6" customFormat="false" ht="14.25" hidden="false" customHeight="false" outlineLevel="0" collapsed="false">
      <c r="A6" s="54" t="s">
        <v>1424</v>
      </c>
      <c r="B6" s="54" t="s">
        <v>1599</v>
      </c>
      <c r="C6" s="54" t="s">
        <v>1600</v>
      </c>
      <c r="D6" s="54" t="s">
        <v>1601</v>
      </c>
      <c r="E6" s="54"/>
      <c r="F6" s="54"/>
    </row>
    <row r="7" customFormat="false" ht="14.25" hidden="false" customHeight="false" outlineLevel="0" collapsed="false">
      <c r="A7" s="54" t="s">
        <v>1485</v>
      </c>
      <c r="B7" s="54" t="s">
        <v>1602</v>
      </c>
      <c r="C7" s="54" t="s">
        <v>1603</v>
      </c>
      <c r="D7" s="54" t="s">
        <v>1604</v>
      </c>
      <c r="E7" s="54"/>
      <c r="F7" s="54"/>
    </row>
    <row r="8" customFormat="false" ht="14.25" hidden="false" customHeight="false" outlineLevel="0" collapsed="false">
      <c r="A8" s="54" t="s">
        <v>1488</v>
      </c>
      <c r="B8" s="54" t="s">
        <v>1605</v>
      </c>
      <c r="C8" s="54" t="s">
        <v>1606</v>
      </c>
      <c r="D8" s="54" t="s">
        <v>1607</v>
      </c>
      <c r="E8" s="54"/>
      <c r="F8" s="54"/>
    </row>
    <row r="9" customFormat="false" ht="14.25" hidden="false" customHeight="false" outlineLevel="0" collapsed="false">
      <c r="A9" s="54" t="s">
        <v>1491</v>
      </c>
      <c r="B9" s="54" t="s">
        <v>1608</v>
      </c>
      <c r="C9" s="54" t="s">
        <v>1608</v>
      </c>
      <c r="D9" s="54" t="s">
        <v>1609</v>
      </c>
      <c r="E9" s="54"/>
      <c r="F9" s="54"/>
    </row>
    <row r="10" customFormat="false" ht="14.25" hidden="false" customHeight="false" outlineLevel="0" collapsed="false">
      <c r="A10" s="54" t="s">
        <v>1494</v>
      </c>
      <c r="B10" s="54" t="s">
        <v>1610</v>
      </c>
      <c r="C10" s="54" t="s">
        <v>1611</v>
      </c>
      <c r="D10" s="54" t="s">
        <v>1612</v>
      </c>
      <c r="E10" s="54"/>
      <c r="F10" s="54"/>
    </row>
    <row r="11" customFormat="false" ht="14.25" hidden="false" customHeight="false" outlineLevel="0" collapsed="false">
      <c r="A11" s="54" t="s">
        <v>1499</v>
      </c>
      <c r="B11" s="54" t="s">
        <v>1613</v>
      </c>
      <c r="C11" s="54" t="s">
        <v>1613</v>
      </c>
      <c r="D11" s="54" t="s">
        <v>1614</v>
      </c>
      <c r="E11" s="54"/>
      <c r="F11" s="54"/>
    </row>
    <row r="12" customFormat="false" ht="14.25" hidden="false" customHeight="false" outlineLevel="0" collapsed="false">
      <c r="A12" s="54" t="s">
        <v>1513</v>
      </c>
      <c r="B12" s="54" t="s">
        <v>1615</v>
      </c>
      <c r="C12" s="54" t="s">
        <v>1615</v>
      </c>
      <c r="D12" s="54" t="s">
        <v>1616</v>
      </c>
      <c r="E12" s="54"/>
      <c r="F12" s="54"/>
    </row>
    <row r="13" customFormat="false" ht="14.25" hidden="false" customHeight="false" outlineLevel="0" collapsed="false">
      <c r="A13" s="54" t="s">
        <v>1508</v>
      </c>
      <c r="B13" s="54" t="s">
        <v>1617</v>
      </c>
      <c r="C13" s="54" t="s">
        <v>1618</v>
      </c>
      <c r="D13" s="54" t="s">
        <v>1619</v>
      </c>
      <c r="E13" s="54"/>
      <c r="F13" s="54"/>
    </row>
    <row r="14" customFormat="false" ht="14.25" hidden="false" customHeight="false" outlineLevel="0" collapsed="false">
      <c r="A14" s="54" t="s">
        <v>1522</v>
      </c>
      <c r="B14" s="54" t="s">
        <v>1620</v>
      </c>
      <c r="C14" s="54" t="s">
        <v>1621</v>
      </c>
      <c r="D14" s="54" t="s">
        <v>1622</v>
      </c>
      <c r="E14" s="54"/>
      <c r="F14" s="54"/>
    </row>
    <row r="15" customFormat="false" ht="14.25" hidden="false" customHeight="false" outlineLevel="0" collapsed="false">
      <c r="A15" s="54" t="s">
        <v>1525</v>
      </c>
      <c r="B15" s="54" t="s">
        <v>1623</v>
      </c>
      <c r="C15" s="54" t="s">
        <v>1624</v>
      </c>
      <c r="D15" s="54" t="s">
        <v>1625</v>
      </c>
      <c r="E15" s="54"/>
      <c r="F15" s="54"/>
    </row>
    <row r="16" customFormat="false" ht="14.25" hidden="false" customHeight="false" outlineLevel="0" collapsed="false">
      <c r="A16" s="54" t="s">
        <v>1531</v>
      </c>
      <c r="B16" s="54" t="s">
        <v>1626</v>
      </c>
      <c r="C16" s="54" t="s">
        <v>1627</v>
      </c>
      <c r="D16" s="54" t="s">
        <v>1628</v>
      </c>
      <c r="E16" s="54"/>
      <c r="F16" s="54"/>
    </row>
    <row r="17" customFormat="false" ht="14.25" hidden="false" customHeight="false" outlineLevel="0" collapsed="false">
      <c r="A17" s="54" t="s">
        <v>1528</v>
      </c>
      <c r="B17" s="54" t="s">
        <v>1629</v>
      </c>
      <c r="C17" s="54" t="s">
        <v>1630</v>
      </c>
      <c r="D17" s="54" t="s">
        <v>1631</v>
      </c>
      <c r="E17" s="54"/>
      <c r="F17" s="54"/>
    </row>
    <row r="18" customFormat="false" ht="14.25" hidden="false" customHeight="false" outlineLevel="0" collapsed="false">
      <c r="A18" s="54" t="s">
        <v>1546</v>
      </c>
      <c r="B18" s="54" t="s">
        <v>1632</v>
      </c>
      <c r="C18" s="54" t="s">
        <v>1632</v>
      </c>
      <c r="D18" s="54" t="s">
        <v>1633</v>
      </c>
      <c r="E18" s="54"/>
      <c r="F18" s="54"/>
    </row>
    <row r="19" customFormat="false" ht="14.25" hidden="false" customHeight="false" outlineLevel="0" collapsed="false">
      <c r="A19" s="54" t="s">
        <v>1551</v>
      </c>
      <c r="B19" s="54" t="s">
        <v>1634</v>
      </c>
      <c r="C19" s="54" t="s">
        <v>1635</v>
      </c>
      <c r="D19" s="54" t="s">
        <v>1636</v>
      </c>
      <c r="E19" s="54"/>
      <c r="F19" s="54"/>
    </row>
    <row r="20" customFormat="false" ht="14.25" hidden="false" customHeight="false" outlineLevel="0" collapsed="false">
      <c r="A20" s="54" t="s">
        <v>1556</v>
      </c>
      <c r="B20" s="54" t="s">
        <v>1637</v>
      </c>
      <c r="C20" s="54" t="s">
        <v>1638</v>
      </c>
      <c r="D20" s="54" t="s">
        <v>1639</v>
      </c>
      <c r="E20" s="54"/>
      <c r="F20" s="54"/>
    </row>
    <row r="21" customFormat="false" ht="14.25" hidden="false" customHeight="false" outlineLevel="0" collapsed="false">
      <c r="A21" s="54" t="s">
        <v>1540</v>
      </c>
      <c r="B21" s="54" t="s">
        <v>1640</v>
      </c>
      <c r="C21" s="54" t="s">
        <v>1641</v>
      </c>
      <c r="D21" s="54" t="s">
        <v>1642</v>
      </c>
      <c r="E21" s="54"/>
      <c r="F21" s="54"/>
    </row>
    <row r="22" customFormat="false" ht="14.25" hidden="false" customHeight="false" outlineLevel="0" collapsed="false">
      <c r="A22" s="54" t="s">
        <v>1643</v>
      </c>
      <c r="B22" s="54" t="s">
        <v>1643</v>
      </c>
      <c r="C22" s="54" t="s">
        <v>1643</v>
      </c>
      <c r="D22" s="54" t="s">
        <v>1643</v>
      </c>
      <c r="E22" s="54"/>
      <c r="F22" s="54"/>
    </row>
    <row r="23" customFormat="false" ht="14.25" hidden="false" customHeight="false" outlineLevel="0" collapsed="false">
      <c r="A23" s="54" t="s">
        <v>1561</v>
      </c>
      <c r="B23" s="54" t="s">
        <v>1644</v>
      </c>
      <c r="C23" s="54" t="s">
        <v>1645</v>
      </c>
      <c r="D23" s="54" t="s">
        <v>1646</v>
      </c>
      <c r="E23" s="54"/>
      <c r="F23" s="54"/>
    </row>
    <row r="24" customFormat="false" ht="14.25" hidden="false" customHeight="false" outlineLevel="0" collapsed="false">
      <c r="A24" s="54" t="s">
        <v>1531</v>
      </c>
      <c r="B24" s="54" t="s">
        <v>1626</v>
      </c>
      <c r="C24" s="54" t="s">
        <v>1627</v>
      </c>
      <c r="D24" s="54" t="s">
        <v>1628</v>
      </c>
      <c r="E24" s="54"/>
      <c r="F24" s="54"/>
    </row>
    <row r="25" customFormat="false" ht="14.25" hidden="false" customHeight="false" outlineLevel="0" collapsed="false">
      <c r="A25" s="54" t="s">
        <v>1543</v>
      </c>
      <c r="B25" s="54" t="s">
        <v>1647</v>
      </c>
      <c r="C25" s="54" t="s">
        <v>1648</v>
      </c>
      <c r="D25" s="54" t="s">
        <v>1649</v>
      </c>
      <c r="E25" s="54"/>
      <c r="F25" s="54"/>
    </row>
    <row r="26" customFormat="false" ht="14.25" hidden="false" customHeight="false" outlineLevel="0" collapsed="false">
      <c r="A26" s="54" t="s">
        <v>1643</v>
      </c>
      <c r="B26" s="54" t="s">
        <v>1643</v>
      </c>
      <c r="C26" s="54" t="s">
        <v>1643</v>
      </c>
      <c r="D26" s="54" t="s">
        <v>1643</v>
      </c>
      <c r="E26" s="54"/>
      <c r="F26" s="5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41" activeCellId="0" sqref="B4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43.45"/>
    <col collapsed="false" customWidth="true" hidden="false" outlineLevel="0" max="3" min="3" style="1" width="37.82"/>
    <col collapsed="false" customWidth="true" hidden="false" outlineLevel="0" max="4" min="4" style="1" width="36.54"/>
    <col collapsed="false" customWidth="true" hidden="false" outlineLevel="0" max="7" min="7" style="1" width="49.27"/>
  </cols>
  <sheetData>
    <row r="1" customFormat="false" ht="14.25" hidden="false" customHeight="false" outlineLevel="0" collapsed="false">
      <c r="A1" s="55" t="s">
        <v>1390</v>
      </c>
      <c r="B1" s="55" t="s">
        <v>1391</v>
      </c>
      <c r="C1" s="56" t="s">
        <v>1392</v>
      </c>
      <c r="D1" s="55" t="s">
        <v>1393</v>
      </c>
      <c r="E1" s="55" t="s">
        <v>1394</v>
      </c>
      <c r="F1" s="55" t="s">
        <v>1395</v>
      </c>
      <c r="G1" s="55" t="s">
        <v>1396</v>
      </c>
      <c r="H1" s="55" t="s">
        <v>1650</v>
      </c>
      <c r="I1" s="55" t="s">
        <v>1651</v>
      </c>
      <c r="J1" s="57"/>
      <c r="K1" s="55"/>
      <c r="L1" s="55"/>
      <c r="M1" s="55"/>
      <c r="N1" s="55"/>
      <c r="O1" s="55"/>
      <c r="P1" s="55"/>
    </row>
    <row r="2" customFormat="false" ht="14.25" hidden="false" customHeight="false" outlineLevel="0" collapsed="false">
      <c r="A2" s="1" t="s">
        <v>1405</v>
      </c>
      <c r="B2" s="1" t="s">
        <v>1652</v>
      </c>
      <c r="C2" s="1" t="s">
        <v>1653</v>
      </c>
      <c r="D2" s="1" t="s">
        <v>1654</v>
      </c>
      <c r="E2" s="1" t="n">
        <v>1</v>
      </c>
      <c r="F2" s="1" t="s">
        <v>1655</v>
      </c>
      <c r="G2" s="1" t="s">
        <v>1654</v>
      </c>
      <c r="H2" s="1" t="n">
        <v>1</v>
      </c>
      <c r="I2" s="1" t="n">
        <v>0</v>
      </c>
    </row>
    <row r="3" customFormat="false" ht="14.25" hidden="false" customHeight="false" outlineLevel="0" collapsed="false">
      <c r="A3" s="1" t="s">
        <v>1656</v>
      </c>
      <c r="B3" s="1" t="s">
        <v>1652</v>
      </c>
      <c r="C3" s="1" t="s">
        <v>1653</v>
      </c>
      <c r="D3" s="1" t="s">
        <v>1657</v>
      </c>
      <c r="E3" s="1" t="n">
        <v>1</v>
      </c>
      <c r="F3" s="1" t="s">
        <v>1655</v>
      </c>
      <c r="G3" s="1" t="s">
        <v>1654</v>
      </c>
      <c r="H3" s="1" t="n">
        <v>2</v>
      </c>
      <c r="I3" s="1" t="n">
        <v>1</v>
      </c>
    </row>
    <row r="4" customFormat="false" ht="14.25" hidden="false" customHeight="false" outlineLevel="0" collapsed="false">
      <c r="A4" s="1" t="s">
        <v>1658</v>
      </c>
      <c r="B4" s="1" t="s">
        <v>1652</v>
      </c>
      <c r="C4" s="1" t="s">
        <v>1653</v>
      </c>
      <c r="D4" s="1" t="s">
        <v>1659</v>
      </c>
      <c r="E4" s="1" t="n">
        <v>1</v>
      </c>
      <c r="F4" s="1" t="s">
        <v>1655</v>
      </c>
      <c r="G4" s="1" t="s">
        <v>1654</v>
      </c>
      <c r="H4" s="1" t="n">
        <v>3</v>
      </c>
      <c r="I4" s="1" t="n">
        <v>2</v>
      </c>
    </row>
    <row r="5" customFormat="false" ht="14.25" hidden="false" customHeight="false" outlineLevel="0" collapsed="false">
      <c r="A5" s="1" t="s">
        <v>1660</v>
      </c>
      <c r="B5" s="1" t="s">
        <v>1652</v>
      </c>
      <c r="C5" s="1" t="s">
        <v>1653</v>
      </c>
      <c r="D5" s="1" t="s">
        <v>1661</v>
      </c>
      <c r="E5" s="1" t="n">
        <v>1</v>
      </c>
      <c r="F5" s="1" t="s">
        <v>1655</v>
      </c>
      <c r="G5" s="1" t="s">
        <v>1654</v>
      </c>
      <c r="H5" s="1" t="n">
        <v>4</v>
      </c>
      <c r="I5" s="1" t="n">
        <v>3</v>
      </c>
    </row>
    <row r="6" customFormat="false" ht="14.25" hidden="false" customHeight="false" outlineLevel="0" collapsed="false">
      <c r="A6" s="1" t="s">
        <v>1578</v>
      </c>
      <c r="B6" s="1" t="s">
        <v>1652</v>
      </c>
      <c r="C6" s="1" t="s">
        <v>1653</v>
      </c>
      <c r="D6" s="1" t="s">
        <v>1662</v>
      </c>
      <c r="E6" s="1" t="n">
        <v>2</v>
      </c>
      <c r="F6" s="1" t="s">
        <v>1663</v>
      </c>
      <c r="G6" s="1" t="s">
        <v>1664</v>
      </c>
      <c r="H6" s="1" t="n">
        <v>5</v>
      </c>
      <c r="I6" s="1" t="n">
        <v>0</v>
      </c>
    </row>
    <row r="7" customFormat="false" ht="14.25" hidden="false" customHeight="false" outlineLevel="0" collapsed="false">
      <c r="A7" s="1" t="s">
        <v>1665</v>
      </c>
      <c r="B7" s="1" t="s">
        <v>1652</v>
      </c>
      <c r="C7" s="1" t="s">
        <v>1653</v>
      </c>
      <c r="D7" s="1" t="s">
        <v>1666</v>
      </c>
      <c r="E7" s="1" t="n">
        <v>2</v>
      </c>
      <c r="F7" s="1" t="s">
        <v>1663</v>
      </c>
      <c r="G7" s="1" t="s">
        <v>1664</v>
      </c>
      <c r="H7" s="1" t="n">
        <v>6</v>
      </c>
      <c r="I7" s="1" t="n">
        <v>1</v>
      </c>
    </row>
    <row r="8" customFormat="false" ht="14.25" hidden="false" customHeight="false" outlineLevel="0" collapsed="false">
      <c r="A8" s="1" t="s">
        <v>1667</v>
      </c>
      <c r="B8" s="1" t="s">
        <v>1652</v>
      </c>
      <c r="C8" s="1" t="s">
        <v>1653</v>
      </c>
      <c r="D8" s="1" t="s">
        <v>1668</v>
      </c>
      <c r="E8" s="1" t="n">
        <v>2</v>
      </c>
      <c r="F8" s="1" t="s">
        <v>1663</v>
      </c>
      <c r="G8" s="1" t="s">
        <v>1664</v>
      </c>
      <c r="H8" s="1" t="n">
        <v>7</v>
      </c>
      <c r="I8" s="1" t="n">
        <v>2</v>
      </c>
    </row>
    <row r="9" customFormat="false" ht="14.25" hidden="false" customHeight="false" outlineLevel="0" collapsed="false">
      <c r="A9" s="1" t="s">
        <v>1669</v>
      </c>
      <c r="B9" s="1" t="s">
        <v>1652</v>
      </c>
      <c r="C9" s="1" t="s">
        <v>1653</v>
      </c>
      <c r="D9" s="1" t="s">
        <v>1670</v>
      </c>
      <c r="E9" s="1" t="n">
        <v>2</v>
      </c>
      <c r="F9" s="1" t="s">
        <v>1663</v>
      </c>
      <c r="G9" s="1" t="s">
        <v>1664</v>
      </c>
      <c r="H9" s="1" t="n">
        <v>8</v>
      </c>
      <c r="I9" s="1" t="n">
        <v>3</v>
      </c>
    </row>
    <row r="10" customFormat="false" ht="14.25" hidden="false" customHeight="false" outlineLevel="0" collapsed="false">
      <c r="A10" s="1" t="s">
        <v>1585</v>
      </c>
      <c r="B10" s="1" t="s">
        <v>1671</v>
      </c>
      <c r="C10" s="1" t="s">
        <v>1672</v>
      </c>
      <c r="D10" s="1" t="s">
        <v>1673</v>
      </c>
      <c r="E10" s="1" t="n">
        <v>3</v>
      </c>
      <c r="F10" s="1" t="s">
        <v>1674</v>
      </c>
      <c r="G10" s="1" t="s">
        <v>1672</v>
      </c>
      <c r="H10" s="1" t="n">
        <v>9</v>
      </c>
      <c r="I10" s="1" t="n">
        <v>9</v>
      </c>
    </row>
    <row r="11" customFormat="false" ht="14.25" hidden="false" customHeight="false" outlineLevel="0" collapsed="false">
      <c r="A11" s="1" t="s">
        <v>1583</v>
      </c>
      <c r="B11" s="1" t="s">
        <v>1671</v>
      </c>
      <c r="C11" s="1" t="s">
        <v>1675</v>
      </c>
      <c r="D11" s="1" t="s">
        <v>1676</v>
      </c>
      <c r="E11" s="1" t="n">
        <v>3</v>
      </c>
      <c r="F11" s="1" t="s">
        <v>1674</v>
      </c>
      <c r="G11" s="1" t="s">
        <v>1672</v>
      </c>
      <c r="H11" s="1" t="n">
        <v>10</v>
      </c>
      <c r="I11" s="1" t="n">
        <v>9</v>
      </c>
    </row>
    <row r="12" customFormat="false" ht="14.25" hidden="false" customHeight="false" outlineLevel="0" collapsed="false">
      <c r="A12" s="1" t="s">
        <v>1677</v>
      </c>
      <c r="B12" s="1" t="s">
        <v>1671</v>
      </c>
      <c r="C12" s="1" t="s">
        <v>1675</v>
      </c>
      <c r="D12" s="1" t="s">
        <v>1678</v>
      </c>
      <c r="E12" s="1" t="n">
        <v>3</v>
      </c>
      <c r="F12" s="1" t="s">
        <v>1674</v>
      </c>
      <c r="G12" s="1" t="s">
        <v>1672</v>
      </c>
      <c r="H12" s="1" t="n">
        <v>11</v>
      </c>
      <c r="I12" s="1" t="n">
        <v>9</v>
      </c>
    </row>
    <row r="13" customFormat="false" ht="14.25" hidden="false" customHeight="false" outlineLevel="0" collapsed="false">
      <c r="A13" s="1" t="s">
        <v>1679</v>
      </c>
      <c r="B13" s="1" t="s">
        <v>1671</v>
      </c>
      <c r="C13" s="1" t="s">
        <v>1675</v>
      </c>
      <c r="D13" s="1" t="s">
        <v>1680</v>
      </c>
      <c r="E13" s="1" t="n">
        <v>3</v>
      </c>
      <c r="F13" s="1" t="s">
        <v>1674</v>
      </c>
      <c r="G13" s="1" t="s">
        <v>1672</v>
      </c>
      <c r="H13" s="1" t="n">
        <v>12</v>
      </c>
      <c r="I13" s="1" t="n">
        <v>9</v>
      </c>
    </row>
    <row r="14" customFormat="false" ht="14.25" hidden="false" customHeight="false" outlineLevel="0" collapsed="false">
      <c r="A14" s="1" t="s">
        <v>1581</v>
      </c>
      <c r="B14" s="1" t="s">
        <v>1671</v>
      </c>
      <c r="C14" s="1" t="s">
        <v>1675</v>
      </c>
      <c r="D14" s="1" t="s">
        <v>1681</v>
      </c>
      <c r="E14" s="1" t="n">
        <v>3</v>
      </c>
      <c r="F14" s="1" t="s">
        <v>1674</v>
      </c>
      <c r="G14" s="1" t="s">
        <v>1672</v>
      </c>
    </row>
    <row r="15" customFormat="false" ht="14.25" hidden="false" customHeight="false" outlineLevel="0" collapsed="false">
      <c r="A15" s="1" t="s">
        <v>1682</v>
      </c>
      <c r="B15" s="1" t="s">
        <v>1671</v>
      </c>
      <c r="C15" s="1" t="s">
        <v>1675</v>
      </c>
      <c r="D15" s="1" t="s">
        <v>1683</v>
      </c>
      <c r="E15" s="1" t="n">
        <v>3</v>
      </c>
      <c r="F15" s="1" t="s">
        <v>1674</v>
      </c>
      <c r="G15" s="1" t="s">
        <v>1672</v>
      </c>
      <c r="H15" s="1" t="n">
        <v>13</v>
      </c>
      <c r="I15" s="1" t="n">
        <v>9</v>
      </c>
    </row>
    <row r="16" customFormat="false" ht="14.25" hidden="false" customHeight="false" outlineLevel="0" collapsed="false">
      <c r="A16" s="1" t="s">
        <v>1684</v>
      </c>
      <c r="B16" s="1" t="s">
        <v>1671</v>
      </c>
      <c r="C16" s="1" t="s">
        <v>1675</v>
      </c>
      <c r="D16" s="1" t="s">
        <v>1685</v>
      </c>
      <c r="E16" s="1" t="n">
        <v>3</v>
      </c>
      <c r="F16" s="1" t="s">
        <v>1674</v>
      </c>
      <c r="G16" s="1" t="s">
        <v>1672</v>
      </c>
      <c r="H16" s="1" t="n">
        <v>14</v>
      </c>
      <c r="I16" s="1" t="n">
        <v>9</v>
      </c>
    </row>
    <row r="17" customFormat="false" ht="14.25" hidden="false" customHeight="false" outlineLevel="0" collapsed="false">
      <c r="A17" s="1" t="s">
        <v>1686</v>
      </c>
      <c r="B17" s="1" t="s">
        <v>1671</v>
      </c>
      <c r="C17" s="1" t="s">
        <v>1675</v>
      </c>
      <c r="D17" s="1" t="s">
        <v>1687</v>
      </c>
      <c r="E17" s="1" t="n">
        <v>4</v>
      </c>
      <c r="F17" s="1" t="s">
        <v>1688</v>
      </c>
      <c r="G17" s="1" t="s">
        <v>1689</v>
      </c>
      <c r="H17" s="1" t="n">
        <v>15</v>
      </c>
      <c r="I17" s="1" t="n">
        <v>9</v>
      </c>
    </row>
    <row r="18" customFormat="false" ht="14.25" hidden="false" customHeight="false" outlineLevel="0" collapsed="false">
      <c r="A18" s="1" t="s">
        <v>1690</v>
      </c>
      <c r="B18" s="1" t="s">
        <v>1671</v>
      </c>
      <c r="C18" s="1" t="s">
        <v>1675</v>
      </c>
      <c r="D18" s="1" t="s">
        <v>1691</v>
      </c>
      <c r="E18" s="1" t="n">
        <v>4</v>
      </c>
      <c r="F18" s="1" t="s">
        <v>1688</v>
      </c>
      <c r="G18" s="1" t="s">
        <v>1689</v>
      </c>
      <c r="H18" s="1" t="n">
        <v>16</v>
      </c>
      <c r="I18" s="1" t="n">
        <v>9</v>
      </c>
    </row>
    <row r="19" customFormat="false" ht="14.25" hidden="false" customHeight="false" outlineLevel="0" collapsed="false">
      <c r="A19" s="1" t="s">
        <v>1587</v>
      </c>
      <c r="B19" s="1" t="s">
        <v>1692</v>
      </c>
      <c r="C19" s="1" t="s">
        <v>1675</v>
      </c>
      <c r="D19" s="1" t="s">
        <v>1693</v>
      </c>
      <c r="E19" s="1" t="n">
        <v>5</v>
      </c>
      <c r="F19" s="1" t="s">
        <v>1694</v>
      </c>
      <c r="G19" s="1" t="s">
        <v>1695</v>
      </c>
      <c r="H19" s="1" t="n">
        <v>17</v>
      </c>
      <c r="I19" s="1" t="n">
        <v>10</v>
      </c>
    </row>
    <row r="20" customFormat="false" ht="14.25" hidden="false" customHeight="false" outlineLevel="0" collapsed="false">
      <c r="A20" s="1" t="s">
        <v>1696</v>
      </c>
      <c r="B20" s="1" t="s">
        <v>1692</v>
      </c>
      <c r="C20" s="1" t="s">
        <v>1675</v>
      </c>
      <c r="D20" s="1" t="s">
        <v>1697</v>
      </c>
      <c r="E20" s="1" t="n">
        <v>5</v>
      </c>
      <c r="F20" s="1" t="s">
        <v>1694</v>
      </c>
      <c r="G20" s="1" t="s">
        <v>1695</v>
      </c>
      <c r="H20" s="1" t="n">
        <v>18</v>
      </c>
      <c r="I20" s="1" t="n">
        <v>10</v>
      </c>
    </row>
    <row r="21" customFormat="false" ht="14.25" hidden="false" customHeight="false" outlineLevel="0" collapsed="false">
      <c r="A21" s="1" t="s">
        <v>1589</v>
      </c>
      <c r="B21" s="1" t="s">
        <v>1692</v>
      </c>
      <c r="C21" s="1" t="s">
        <v>1675</v>
      </c>
      <c r="D21" s="1" t="s">
        <v>1698</v>
      </c>
      <c r="E21" s="1" t="n">
        <v>5</v>
      </c>
      <c r="F21" s="1" t="s">
        <v>1694</v>
      </c>
      <c r="G21" s="1" t="s">
        <v>1695</v>
      </c>
      <c r="H21" s="1" t="n">
        <v>19</v>
      </c>
      <c r="I21" s="1" t="n">
        <v>10</v>
      </c>
    </row>
    <row r="22" customFormat="false" ht="14.25" hidden="false" customHeight="false" outlineLevel="0" collapsed="false">
      <c r="A22" s="1" t="s">
        <v>1699</v>
      </c>
      <c r="B22" s="1" t="s">
        <v>1692</v>
      </c>
      <c r="C22" s="1" t="s">
        <v>1675</v>
      </c>
      <c r="D22" s="1" t="s">
        <v>1700</v>
      </c>
      <c r="E22" s="1" t="n">
        <v>5</v>
      </c>
      <c r="F22" s="1" t="s">
        <v>1694</v>
      </c>
      <c r="G22" s="1" t="s">
        <v>1695</v>
      </c>
      <c r="H22" s="1" t="n">
        <v>20</v>
      </c>
      <c r="I22" s="1" t="n">
        <v>10</v>
      </c>
    </row>
    <row r="23" customFormat="false" ht="14.25" hidden="false" customHeight="false" outlineLevel="0" collapsed="false">
      <c r="A23" s="1" t="s">
        <v>1579</v>
      </c>
      <c r="B23" s="1" t="s">
        <v>1701</v>
      </c>
      <c r="C23" s="1" t="s">
        <v>1702</v>
      </c>
      <c r="D23" s="1" t="s">
        <v>1703</v>
      </c>
      <c r="E23" s="1" t="n">
        <v>6</v>
      </c>
      <c r="F23" s="1" t="s">
        <v>1704</v>
      </c>
      <c r="G23" s="1" t="s">
        <v>1703</v>
      </c>
      <c r="H23" s="1" t="n">
        <v>21</v>
      </c>
      <c r="I23" s="1" t="n">
        <v>4</v>
      </c>
    </row>
    <row r="24" customFormat="false" ht="14.25" hidden="false" customHeight="false" outlineLevel="0" collapsed="false">
      <c r="A24" s="1" t="s">
        <v>1705</v>
      </c>
      <c r="B24" s="1" t="s">
        <v>1701</v>
      </c>
      <c r="C24" s="1" t="s">
        <v>1702</v>
      </c>
      <c r="D24" s="1" t="s">
        <v>1706</v>
      </c>
      <c r="E24" s="1" t="n">
        <v>6</v>
      </c>
      <c r="F24" s="1" t="s">
        <v>1704</v>
      </c>
      <c r="G24" s="1" t="s">
        <v>1703</v>
      </c>
      <c r="H24" s="1" t="n">
        <v>22</v>
      </c>
      <c r="I24" s="1" t="n">
        <v>4</v>
      </c>
    </row>
    <row r="25" customFormat="false" ht="14.25" hidden="false" customHeight="false" outlineLevel="0" collapsed="false">
      <c r="A25" s="1" t="s">
        <v>1707</v>
      </c>
      <c r="B25" s="1" t="s">
        <v>1701</v>
      </c>
      <c r="C25" s="1" t="s">
        <v>1702</v>
      </c>
      <c r="D25" s="1" t="s">
        <v>1708</v>
      </c>
      <c r="E25" s="1" t="n">
        <v>6</v>
      </c>
      <c r="F25" s="1" t="s">
        <v>1704</v>
      </c>
      <c r="G25" s="1" t="s">
        <v>1703</v>
      </c>
      <c r="H25" s="1" t="n">
        <v>23</v>
      </c>
      <c r="I25" s="1" t="n">
        <v>4</v>
      </c>
    </row>
    <row r="26" customFormat="false" ht="14.25" hidden="false" customHeight="false" outlineLevel="0" collapsed="false">
      <c r="A26" s="1" t="s">
        <v>1563</v>
      </c>
      <c r="B26" s="1" t="s">
        <v>1701</v>
      </c>
      <c r="C26" s="1" t="s">
        <v>1702</v>
      </c>
      <c r="D26" s="1" t="s">
        <v>1709</v>
      </c>
      <c r="F26" s="1" t="s">
        <v>1710</v>
      </c>
      <c r="G26" s="1" t="s">
        <v>1711</v>
      </c>
      <c r="H26" s="1" t="n">
        <v>24</v>
      </c>
      <c r="I26" s="1" t="n">
        <v>4</v>
      </c>
    </row>
    <row r="27" customFormat="false" ht="14.25" hidden="false" customHeight="false" outlineLevel="0" collapsed="false">
      <c r="A27" s="1" t="s">
        <v>1712</v>
      </c>
      <c r="B27" s="1" t="s">
        <v>1701</v>
      </c>
      <c r="C27" s="1" t="s">
        <v>1702</v>
      </c>
      <c r="D27" s="1" t="s">
        <v>1713</v>
      </c>
      <c r="E27" s="1" t="n">
        <v>7</v>
      </c>
      <c r="F27" s="1" t="s">
        <v>1710</v>
      </c>
      <c r="G27" s="1" t="s">
        <v>1711</v>
      </c>
      <c r="H27" s="1" t="n">
        <v>25</v>
      </c>
      <c r="I27" s="1" t="n">
        <v>4</v>
      </c>
    </row>
    <row r="28" customFormat="false" ht="14.25" hidden="false" customHeight="false" outlineLevel="0" collapsed="false">
      <c r="A28" s="1" t="s">
        <v>1714</v>
      </c>
      <c r="B28" s="1" t="s">
        <v>1701</v>
      </c>
      <c r="C28" s="1" t="s">
        <v>1702</v>
      </c>
      <c r="D28" s="1" t="s">
        <v>1715</v>
      </c>
      <c r="E28" s="1" t="n">
        <v>7</v>
      </c>
      <c r="F28" s="1" t="s">
        <v>1710</v>
      </c>
      <c r="G28" s="1" t="s">
        <v>1711</v>
      </c>
      <c r="H28" s="1" t="n">
        <v>26</v>
      </c>
      <c r="I28" s="1" t="n">
        <v>4</v>
      </c>
    </row>
    <row r="29" customFormat="false" ht="14.25" hidden="false" customHeight="false" outlineLevel="0" collapsed="false">
      <c r="A29" s="1" t="s">
        <v>1716</v>
      </c>
      <c r="B29" s="1" t="s">
        <v>1717</v>
      </c>
      <c r="C29" s="1" t="s">
        <v>1718</v>
      </c>
      <c r="D29" s="1" t="s">
        <v>1719</v>
      </c>
      <c r="E29" s="1" t="n">
        <v>8</v>
      </c>
      <c r="F29" s="1" t="s">
        <v>1716</v>
      </c>
      <c r="G29" s="1" t="s">
        <v>1719</v>
      </c>
      <c r="H29" s="1" t="n">
        <v>27</v>
      </c>
      <c r="I29" s="1" t="n">
        <v>5</v>
      </c>
    </row>
    <row r="30" customFormat="false" ht="14.25" hidden="false" customHeight="false" outlineLevel="0" collapsed="false">
      <c r="A30" s="1" t="s">
        <v>1572</v>
      </c>
      <c r="B30" s="1" t="s">
        <v>1720</v>
      </c>
      <c r="C30" s="1" t="s">
        <v>1721</v>
      </c>
      <c r="D30" s="1" t="s">
        <v>1722</v>
      </c>
      <c r="E30" s="1" t="n">
        <v>9</v>
      </c>
      <c r="F30" s="1" t="s">
        <v>1723</v>
      </c>
      <c r="G30" s="1" t="s">
        <v>1724</v>
      </c>
      <c r="H30" s="1" t="n">
        <v>28</v>
      </c>
      <c r="I30" s="1" t="n">
        <v>6</v>
      </c>
    </row>
    <row r="31" customFormat="false" ht="14.25" hidden="false" customHeight="false" outlineLevel="0" collapsed="false">
      <c r="A31" s="1" t="s">
        <v>1570</v>
      </c>
      <c r="B31" s="1" t="s">
        <v>1720</v>
      </c>
      <c r="C31" s="1" t="s">
        <v>1721</v>
      </c>
      <c r="D31" s="1" t="s">
        <v>1725</v>
      </c>
      <c r="E31" s="1" t="n">
        <v>9</v>
      </c>
      <c r="F31" s="1" t="s">
        <v>1723</v>
      </c>
      <c r="G31" s="1" t="s">
        <v>1724</v>
      </c>
      <c r="H31" s="1" t="n">
        <v>29</v>
      </c>
      <c r="I31" s="1" t="n">
        <v>6</v>
      </c>
    </row>
    <row r="32" customFormat="false" ht="14.25" hidden="false" customHeight="false" outlineLevel="0" collapsed="false">
      <c r="A32" s="1" t="s">
        <v>1726</v>
      </c>
      <c r="B32" s="1" t="s">
        <v>1720</v>
      </c>
      <c r="C32" s="1" t="s">
        <v>1721</v>
      </c>
      <c r="D32" s="1" t="s">
        <v>1727</v>
      </c>
      <c r="E32" s="1" t="n">
        <v>9</v>
      </c>
      <c r="F32" s="1" t="s">
        <v>1723</v>
      </c>
      <c r="G32" s="1" t="s">
        <v>1724</v>
      </c>
      <c r="H32" s="1" t="n">
        <v>30</v>
      </c>
      <c r="I32" s="1" t="n">
        <v>6</v>
      </c>
    </row>
    <row r="33" customFormat="false" ht="14.25" hidden="false" customHeight="false" outlineLevel="0" collapsed="false">
      <c r="A33" s="1" t="s">
        <v>1574</v>
      </c>
      <c r="B33" s="1" t="s">
        <v>1720</v>
      </c>
      <c r="C33" s="1" t="s">
        <v>1721</v>
      </c>
      <c r="D33" s="1" t="s">
        <v>1728</v>
      </c>
      <c r="E33" s="1" t="n">
        <v>9</v>
      </c>
      <c r="F33" s="1" t="s">
        <v>1723</v>
      </c>
      <c r="G33" s="1" t="s">
        <v>1724</v>
      </c>
      <c r="H33" s="1" t="n">
        <v>31</v>
      </c>
      <c r="I33" s="1" t="n">
        <v>6</v>
      </c>
    </row>
    <row r="34" customFormat="false" ht="14.25" hidden="false" customHeight="false" outlineLevel="0" collapsed="false">
      <c r="A34" s="1" t="s">
        <v>1729</v>
      </c>
      <c r="B34" s="1" t="s">
        <v>1720</v>
      </c>
      <c r="C34" s="1" t="s">
        <v>1721</v>
      </c>
      <c r="D34" s="1" t="s">
        <v>1730</v>
      </c>
      <c r="E34" s="1" t="n">
        <v>10</v>
      </c>
      <c r="F34" s="1" t="s">
        <v>1731</v>
      </c>
      <c r="G34" s="1" t="s">
        <v>1730</v>
      </c>
      <c r="H34" s="1" t="n">
        <v>32</v>
      </c>
      <c r="I34" s="1" t="n">
        <v>6</v>
      </c>
    </row>
    <row r="35" customFormat="false" ht="14.25" hidden="false" customHeight="false" outlineLevel="0" collapsed="false">
      <c r="A35" s="1" t="s">
        <v>1732</v>
      </c>
      <c r="B35" s="1" t="s">
        <v>1720</v>
      </c>
      <c r="C35" s="1" t="s">
        <v>1721</v>
      </c>
      <c r="D35" s="1" t="s">
        <v>1733</v>
      </c>
      <c r="E35" s="1" t="n">
        <v>11</v>
      </c>
      <c r="F35" s="1" t="s">
        <v>1734</v>
      </c>
      <c r="G35" s="1" t="s">
        <v>1735</v>
      </c>
      <c r="H35" s="1" t="n">
        <v>33</v>
      </c>
      <c r="I35" s="1" t="n">
        <v>7</v>
      </c>
    </row>
    <row r="36" customFormat="false" ht="14.25" hidden="false" customHeight="false" outlineLevel="0" collapsed="false">
      <c r="A36" s="1" t="s">
        <v>1736</v>
      </c>
      <c r="B36" s="1" t="s">
        <v>1737</v>
      </c>
      <c r="C36" s="1" t="s">
        <v>1721</v>
      </c>
      <c r="D36" s="1" t="s">
        <v>1738</v>
      </c>
      <c r="E36" s="1" t="n">
        <v>11</v>
      </c>
      <c r="F36" s="1" t="s">
        <v>1734</v>
      </c>
      <c r="G36" s="1" t="s">
        <v>1735</v>
      </c>
      <c r="H36" s="1" t="n">
        <v>34</v>
      </c>
      <c r="I36" s="1" t="n">
        <v>7</v>
      </c>
    </row>
    <row r="37" customFormat="false" ht="14.25" hidden="false" customHeight="false" outlineLevel="0" collapsed="false">
      <c r="A37" s="1" t="s">
        <v>1566</v>
      </c>
      <c r="B37" s="1" t="s">
        <v>1739</v>
      </c>
      <c r="C37" s="1" t="s">
        <v>1740</v>
      </c>
      <c r="D37" s="1" t="s">
        <v>1741</v>
      </c>
      <c r="E37" s="1" t="n">
        <v>12</v>
      </c>
      <c r="F37" s="1" t="s">
        <v>1742</v>
      </c>
      <c r="G37" s="1" t="s">
        <v>1740</v>
      </c>
      <c r="H37" s="1" t="n">
        <v>35</v>
      </c>
      <c r="I37" s="1" t="n">
        <v>8</v>
      </c>
    </row>
    <row r="38" customFormat="false" ht="14.25" hidden="false" customHeight="false" outlineLevel="0" collapsed="false">
      <c r="A38" s="1" t="s">
        <v>1568</v>
      </c>
      <c r="B38" s="1" t="s">
        <v>1739</v>
      </c>
      <c r="C38" s="1" t="s">
        <v>1740</v>
      </c>
      <c r="D38" s="1" t="s">
        <v>1743</v>
      </c>
      <c r="E38" s="1" t="n">
        <v>12</v>
      </c>
      <c r="F38" s="1" t="s">
        <v>1742</v>
      </c>
      <c r="G38" s="1" t="s">
        <v>1740</v>
      </c>
      <c r="H38" s="1" t="n">
        <v>36</v>
      </c>
      <c r="I38" s="1" t="n">
        <v>8</v>
      </c>
    </row>
    <row r="39" customFormat="false" ht="14.25" hidden="false" customHeight="false" outlineLevel="0" collapsed="false">
      <c r="A39" s="1" t="s">
        <v>1744</v>
      </c>
      <c r="B39" s="1" t="s">
        <v>1739</v>
      </c>
      <c r="C39" s="1" t="s">
        <v>1740</v>
      </c>
      <c r="D39" s="1" t="s">
        <v>1745</v>
      </c>
      <c r="E39" s="1" t="n">
        <v>12</v>
      </c>
      <c r="F39" s="1" t="s">
        <v>1742</v>
      </c>
      <c r="G39" s="1" t="s">
        <v>1740</v>
      </c>
      <c r="H39" s="1" t="n">
        <v>37</v>
      </c>
      <c r="I39" s="1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2" style="1" width="19.54"/>
  </cols>
  <sheetData>
    <row r="1" customFormat="false" ht="14.25" hidden="false" customHeight="false" outlineLevel="0" collapsed="false">
      <c r="A1" s="1" t="s">
        <v>1746</v>
      </c>
      <c r="B1" s="1" t="s">
        <v>1747</v>
      </c>
      <c r="D1" s="1" t="s">
        <v>1403</v>
      </c>
      <c r="E1" s="1" t="s">
        <v>1404</v>
      </c>
    </row>
    <row r="2" customFormat="false" ht="14.25" hidden="false" customHeight="false" outlineLevel="0" collapsed="false">
      <c r="A2" s="1" t="n">
        <v>1</v>
      </c>
      <c r="B2" s="1" t="s">
        <v>1748</v>
      </c>
      <c r="D2" s="1" t="n">
        <v>1</v>
      </c>
      <c r="E2" s="1" t="s">
        <v>1748</v>
      </c>
    </row>
    <row r="3" customFormat="false" ht="14.25" hidden="false" customHeight="false" outlineLevel="0" collapsed="false">
      <c r="A3" s="1" t="n">
        <v>2</v>
      </c>
      <c r="B3" s="1" t="s">
        <v>1749</v>
      </c>
      <c r="D3" s="1" t="n">
        <v>2</v>
      </c>
      <c r="E3" s="1" t="s">
        <v>1749</v>
      </c>
    </row>
    <row r="4" customFormat="false" ht="14.25" hidden="false" customHeight="false" outlineLevel="0" collapsed="false">
      <c r="A4" s="1" t="n">
        <v>3</v>
      </c>
      <c r="B4" s="1" t="s">
        <v>1750</v>
      </c>
      <c r="D4" s="1" t="n">
        <v>3</v>
      </c>
      <c r="E4" s="1" t="s">
        <v>1750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27" activeCellId="0" sqref="B27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28.82"/>
    <col collapsed="false" customWidth="true" hidden="false" outlineLevel="0" max="2" min="2" style="1" width="42.18"/>
    <col collapsed="false" customWidth="true" hidden="false" outlineLevel="0" max="3" min="3" style="1" width="18.54"/>
    <col collapsed="false" customWidth="true" hidden="false" outlineLevel="0" max="4" min="4" style="1" width="57"/>
  </cols>
  <sheetData>
    <row r="1" customFormat="false" ht="14.25" hidden="false" customHeight="false" outlineLevel="0" collapsed="false">
      <c r="A1" s="58" t="s">
        <v>1391</v>
      </c>
      <c r="B1" s="58" t="s">
        <v>1392</v>
      </c>
      <c r="C1" s="58" t="s">
        <v>1390</v>
      </c>
      <c r="D1" s="58" t="s">
        <v>1751</v>
      </c>
    </row>
    <row r="2" customFormat="false" ht="14.25" hidden="false" customHeight="false" outlineLevel="0" collapsed="false">
      <c r="A2" s="1" t="s">
        <v>1652</v>
      </c>
      <c r="B2" s="1" t="s">
        <v>1653</v>
      </c>
      <c r="C2" s="1" t="s">
        <v>1656</v>
      </c>
      <c r="D2" s="1" t="s">
        <v>1657</v>
      </c>
    </row>
    <row r="3" customFormat="false" ht="14.25" hidden="false" customHeight="false" outlineLevel="0" collapsed="false">
      <c r="A3" s="1" t="s">
        <v>1652</v>
      </c>
      <c r="B3" s="1" t="s">
        <v>1653</v>
      </c>
      <c r="C3" s="1" t="s">
        <v>1658</v>
      </c>
      <c r="D3" s="1" t="s">
        <v>1659</v>
      </c>
    </row>
    <row r="4" customFormat="false" ht="14.25" hidden="false" customHeight="false" outlineLevel="0" collapsed="false">
      <c r="A4" s="1" t="s">
        <v>1652</v>
      </c>
      <c r="B4" s="1" t="s">
        <v>1653</v>
      </c>
      <c r="C4" s="1" t="s">
        <v>1660</v>
      </c>
      <c r="D4" s="1" t="s">
        <v>1752</v>
      </c>
    </row>
    <row r="5" customFormat="false" ht="14.25" hidden="false" customHeight="false" outlineLevel="0" collapsed="false">
      <c r="A5" s="1" t="s">
        <v>1652</v>
      </c>
      <c r="B5" s="1" t="s">
        <v>1653</v>
      </c>
      <c r="C5" s="1" t="s">
        <v>1665</v>
      </c>
      <c r="D5" s="1" t="s">
        <v>1666</v>
      </c>
    </row>
    <row r="6" customFormat="false" ht="14.25" hidden="false" customHeight="false" outlineLevel="0" collapsed="false">
      <c r="A6" s="1" t="s">
        <v>1652</v>
      </c>
      <c r="B6" s="1" t="s">
        <v>1653</v>
      </c>
      <c r="C6" s="1" t="s">
        <v>1667</v>
      </c>
      <c r="D6" s="1" t="s">
        <v>1668</v>
      </c>
    </row>
    <row r="7" customFormat="false" ht="14.25" hidden="false" customHeight="false" outlineLevel="0" collapsed="false">
      <c r="A7" s="1" t="s">
        <v>1652</v>
      </c>
      <c r="B7" s="1" t="s">
        <v>1653</v>
      </c>
      <c r="C7" s="1" t="s">
        <v>1669</v>
      </c>
      <c r="D7" s="1" t="s">
        <v>1670</v>
      </c>
    </row>
    <row r="8" customFormat="false" ht="14.25" hidden="false" customHeight="false" outlineLevel="0" collapsed="false">
      <c r="A8" s="1" t="s">
        <v>1701</v>
      </c>
      <c r="B8" s="1" t="s">
        <v>1702</v>
      </c>
      <c r="C8" s="1" t="s">
        <v>1704</v>
      </c>
      <c r="D8" s="1" t="s">
        <v>1753</v>
      </c>
    </row>
    <row r="9" customFormat="false" ht="14.25" hidden="false" customHeight="false" outlineLevel="0" collapsed="false">
      <c r="A9" s="1" t="s">
        <v>1701</v>
      </c>
      <c r="B9" s="1" t="s">
        <v>1702</v>
      </c>
      <c r="C9" s="1" t="s">
        <v>1705</v>
      </c>
      <c r="D9" s="1" t="s">
        <v>1754</v>
      </c>
    </row>
    <row r="10" customFormat="false" ht="14.25" hidden="false" customHeight="false" outlineLevel="0" collapsed="false">
      <c r="A10" s="1" t="s">
        <v>1701</v>
      </c>
      <c r="B10" s="1" t="s">
        <v>1702</v>
      </c>
      <c r="C10" s="1" t="s">
        <v>1707</v>
      </c>
      <c r="D10" s="1" t="s">
        <v>1755</v>
      </c>
    </row>
    <row r="11" customFormat="false" ht="14.25" hidden="false" customHeight="false" outlineLevel="0" collapsed="false">
      <c r="A11" s="1" t="s">
        <v>1701</v>
      </c>
      <c r="B11" s="1" t="s">
        <v>1702</v>
      </c>
      <c r="C11" s="1" t="s">
        <v>1710</v>
      </c>
      <c r="D11" s="1" t="s">
        <v>1756</v>
      </c>
    </row>
    <row r="12" customFormat="false" ht="14.25" hidden="false" customHeight="false" outlineLevel="0" collapsed="false">
      <c r="A12" s="1" t="s">
        <v>1701</v>
      </c>
      <c r="B12" s="1" t="s">
        <v>1702</v>
      </c>
      <c r="C12" s="1" t="s">
        <v>1710</v>
      </c>
      <c r="D12" s="1" t="s">
        <v>1757</v>
      </c>
    </row>
    <row r="13" customFormat="false" ht="14.25" hidden="false" customHeight="false" outlineLevel="0" collapsed="false">
      <c r="A13" s="1" t="s">
        <v>1717</v>
      </c>
      <c r="B13" s="1" t="s">
        <v>1718</v>
      </c>
      <c r="C13" s="1" t="s">
        <v>1565</v>
      </c>
      <c r="D13" s="1" t="s">
        <v>1718</v>
      </c>
    </row>
    <row r="14" customFormat="false" ht="14.25" hidden="false" customHeight="false" outlineLevel="0" collapsed="false">
      <c r="A14" s="1" t="s">
        <v>1720</v>
      </c>
      <c r="B14" s="1" t="s">
        <v>1721</v>
      </c>
      <c r="C14" s="1" t="s">
        <v>1572</v>
      </c>
      <c r="D14" s="1" t="s">
        <v>1758</v>
      </c>
    </row>
    <row r="15" customFormat="false" ht="14.25" hidden="false" customHeight="false" outlineLevel="0" collapsed="false">
      <c r="A15" s="1" t="s">
        <v>1720</v>
      </c>
      <c r="B15" s="1" t="s">
        <v>1721</v>
      </c>
      <c r="C15" s="1" t="s">
        <v>1570</v>
      </c>
      <c r="D15" s="1" t="s">
        <v>1759</v>
      </c>
    </row>
    <row r="16" customFormat="false" ht="14.25" hidden="false" customHeight="false" outlineLevel="0" collapsed="false">
      <c r="A16" s="1" t="s">
        <v>1720</v>
      </c>
      <c r="B16" s="1" t="s">
        <v>1721</v>
      </c>
      <c r="C16" s="1" t="s">
        <v>1726</v>
      </c>
      <c r="D16" s="1" t="s">
        <v>1760</v>
      </c>
    </row>
    <row r="17" customFormat="false" ht="14.25" hidden="false" customHeight="false" outlineLevel="0" collapsed="false">
      <c r="A17" s="1" t="s">
        <v>1720</v>
      </c>
      <c r="B17" s="1" t="s">
        <v>1721</v>
      </c>
      <c r="C17" s="1" t="s">
        <v>1574</v>
      </c>
      <c r="D17" s="1" t="s">
        <v>1761</v>
      </c>
    </row>
    <row r="18" customFormat="false" ht="14.25" hidden="false" customHeight="false" outlineLevel="0" collapsed="false">
      <c r="A18" s="1" t="s">
        <v>1720</v>
      </c>
      <c r="B18" s="1" t="s">
        <v>1721</v>
      </c>
      <c r="C18" s="1" t="s">
        <v>1732</v>
      </c>
      <c r="D18" s="1" t="s">
        <v>1733</v>
      </c>
    </row>
    <row r="19" customFormat="false" ht="14.25" hidden="false" customHeight="false" outlineLevel="0" collapsed="false">
      <c r="A19" s="1" t="s">
        <v>1739</v>
      </c>
      <c r="B19" s="1" t="s">
        <v>1740</v>
      </c>
      <c r="C19" s="1" t="s">
        <v>1565</v>
      </c>
      <c r="D19" s="1" t="s">
        <v>1740</v>
      </c>
    </row>
    <row r="20" customFormat="false" ht="14.25" hidden="false" customHeight="false" outlineLevel="0" collapsed="false">
      <c r="A20" s="1" t="s">
        <v>1671</v>
      </c>
      <c r="B20" s="1" t="s">
        <v>1675</v>
      </c>
      <c r="C20" s="1" t="s">
        <v>1762</v>
      </c>
      <c r="D20" s="1" t="s">
        <v>1763</v>
      </c>
    </row>
    <row r="21" customFormat="false" ht="14.25" hidden="false" customHeight="false" outlineLevel="0" collapsed="false">
      <c r="A21" s="1" t="s">
        <v>1671</v>
      </c>
      <c r="B21" s="1" t="s">
        <v>1675</v>
      </c>
      <c r="C21" s="1" t="s">
        <v>1764</v>
      </c>
      <c r="D21" s="1" t="s">
        <v>1765</v>
      </c>
    </row>
    <row r="22" customFormat="false" ht="14.25" hidden="false" customHeight="false" outlineLevel="0" collapsed="false">
      <c r="A22" s="1" t="s">
        <v>1692</v>
      </c>
      <c r="B22" s="1" t="s">
        <v>1766</v>
      </c>
      <c r="C22" s="1" t="s">
        <v>1587</v>
      </c>
      <c r="D22" s="1" t="s">
        <v>1693</v>
      </c>
    </row>
    <row r="23" customFormat="false" ht="14.25" hidden="false" customHeight="false" outlineLevel="0" collapsed="false">
      <c r="A23" s="1" t="s">
        <v>1692</v>
      </c>
      <c r="B23" s="1" t="s">
        <v>1766</v>
      </c>
      <c r="C23" s="1" t="s">
        <v>1589</v>
      </c>
      <c r="D23" s="1" t="s">
        <v>1698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9" width="28.18"/>
    <col collapsed="false" customWidth="false" hidden="false" outlineLevel="0" max="4" min="2" style="9" width="8.73"/>
    <col collapsed="false" customWidth="true" hidden="false" outlineLevel="0" max="5" min="5" style="9" width="14.82"/>
    <col collapsed="false" customWidth="true" hidden="false" outlineLevel="0" max="6" min="6" style="9" width="59.45"/>
    <col collapsed="false" customWidth="true" hidden="false" outlineLevel="0" max="7" min="7" style="9" width="28.73"/>
    <col collapsed="false" customWidth="true" hidden="false" outlineLevel="0" max="8" min="8" style="9" width="21.36"/>
    <col collapsed="false" customWidth="true" hidden="false" outlineLevel="0" max="9" min="9" style="9" width="32.18"/>
    <col collapsed="false" customWidth="true" hidden="false" outlineLevel="0" max="10" min="10" style="9" width="24.27"/>
    <col collapsed="false" customWidth="true" hidden="false" outlineLevel="0" max="12" min="12" style="1" width="26.09"/>
    <col collapsed="false" customWidth="true" hidden="false" outlineLevel="0" max="15" min="15" style="1" width="32.36"/>
    <col collapsed="false" customWidth="true" hidden="false" outlineLevel="0" max="18" min="18" style="1" width="32.36"/>
    <col collapsed="false" customWidth="true" hidden="false" outlineLevel="0" max="19" min="19" style="1" width="27.27"/>
    <col collapsed="false" customWidth="true" hidden="false" outlineLevel="0" max="20" min="20" style="1" width="12.73"/>
  </cols>
  <sheetData>
    <row r="1" customFormat="false" ht="14.25" hidden="false" customHeight="false" outlineLevel="0" collapsed="false">
      <c r="A1" s="17" t="s">
        <v>1</v>
      </c>
      <c r="B1" s="20" t="s">
        <v>1767</v>
      </c>
      <c r="C1" s="20" t="s">
        <v>1768</v>
      </c>
      <c r="D1" s="20" t="s">
        <v>1769</v>
      </c>
      <c r="E1" s="20" t="s">
        <v>1770</v>
      </c>
      <c r="F1" s="20" t="s">
        <v>1771</v>
      </c>
      <c r="G1" s="59" t="s">
        <v>1772</v>
      </c>
      <c r="H1" s="59" t="s">
        <v>1773</v>
      </c>
      <c r="I1" s="9" t="s">
        <v>1774</v>
      </c>
      <c r="J1" s="9" t="s">
        <v>1775</v>
      </c>
      <c r="K1" s="21" t="s">
        <v>1776</v>
      </c>
      <c r="L1" s="21" t="s">
        <v>1777</v>
      </c>
      <c r="M1" s="21" t="s">
        <v>1778</v>
      </c>
      <c r="N1" s="21" t="s">
        <v>1779</v>
      </c>
      <c r="O1" s="21" t="s">
        <v>1780</v>
      </c>
      <c r="P1" s="21" t="s">
        <v>1781</v>
      </c>
      <c r="Q1" s="21" t="s">
        <v>1782</v>
      </c>
      <c r="R1" s="21" t="s">
        <v>1783</v>
      </c>
      <c r="S1" s="21" t="s">
        <v>1784</v>
      </c>
      <c r="T1" s="21" t="s">
        <v>1785</v>
      </c>
      <c r="U1" s="60"/>
    </row>
    <row r="2" customFormat="false" ht="14.25" hidden="false" customHeight="false" outlineLevel="0" collapsed="false">
      <c r="A2" s="24" t="s">
        <v>3</v>
      </c>
      <c r="B2" s="9" t="s">
        <v>1786</v>
      </c>
      <c r="C2" s="9" t="str">
        <f aca="false">VLOOKUP(B2, AT_FILAS!$A$2:$C$8,2,FALSE())</f>
        <v>Producción</v>
      </c>
      <c r="D2" s="9" t="str">
        <f aca="false">VLOOKUP(B2, AT_FILAS!$A$2:$C$8,3,FALSE())</f>
        <v>P1</v>
      </c>
      <c r="E2" s="9" t="s">
        <v>1787</v>
      </c>
      <c r="F2" s="9" t="s">
        <v>1788</v>
      </c>
      <c r="G2" s="9" t="s">
        <v>1789</v>
      </c>
      <c r="H2" s="9" t="n">
        <v>1</v>
      </c>
      <c r="I2" s="9" t="s">
        <v>1790</v>
      </c>
      <c r="J2" s="9" t="s">
        <v>1791</v>
      </c>
      <c r="K2" s="1" t="n">
        <v>1</v>
      </c>
      <c r="L2" s="1" t="str">
        <f aca="false">VLOOKUP(K2,clasif_filas!$A$1:$J$39,2,FALSE())</f>
        <v>Productos de la agricultura, la horticultura y la jardinería comercial</v>
      </c>
      <c r="M2" s="1" t="n">
        <f aca="false">VLOOKUP(K2,clasif_filas!$A$1:$J$39,3,FALSE())</f>
        <v>1</v>
      </c>
      <c r="N2" s="1" t="str">
        <f aca="false">VLOOKUP(K2,clasif_filas!$A$1:$J$39,4,FALSE())</f>
        <v>Productos de la agricultura, la horticultura y la jardinería comercial</v>
      </c>
      <c r="O2" s="1" t="n">
        <f aca="false">VLOOKUP(K2,clasif_filas!$A$1:$J$39,5,FALSE())</f>
        <v>1</v>
      </c>
      <c r="P2" s="1" t="str">
        <f aca="false">VLOOKUP(K2,clasif_filas!$A$1:$J$39,6,FALSE())</f>
        <v>Biomasa que se cultiva para producir alimentos, forrajes, fibras y energía</v>
      </c>
      <c r="Q2" s="1" t="n">
        <f aca="false">VLOOKUP(K2,clasif_filas!$A$1:$J$39,7,FALSE())</f>
        <v>0</v>
      </c>
      <c r="R2" s="1" t="str">
        <f aca="false">VLOOKUP(K2,clasif_filas!$A$1:$J$39,8,FALSE())</f>
        <v>Productos de la agricultura, la silvicultura yla pesca</v>
      </c>
      <c r="S2" s="1" t="n">
        <f aca="false">VLOOKUP(K2,clasif_filas!$A$1:$J$39,9,FALSE())</f>
        <v>1</v>
      </c>
      <c r="T2" s="1" t="str">
        <f aca="false">VLOOKUP(K2,clasif_filas!$A$1:$J$39,10,FALSE())</f>
        <v>Bioeconomía</v>
      </c>
      <c r="U2" s="61"/>
    </row>
    <row r="3" customFormat="false" ht="14.25" hidden="false" customHeight="false" outlineLevel="0" collapsed="false">
      <c r="A3" s="24" t="s">
        <v>5</v>
      </c>
      <c r="B3" s="9" t="s">
        <v>1786</v>
      </c>
      <c r="C3" s="9" t="str">
        <f aca="false">VLOOKUP(B3, AT_FILAS!$A$2:$C$8,2,FALSE())</f>
        <v>Producción</v>
      </c>
      <c r="D3" s="9" t="str">
        <f aca="false">VLOOKUP(B3, AT_FILAS!$A$2:$C$8,3,FALSE())</f>
        <v>P1</v>
      </c>
      <c r="E3" s="9" t="s">
        <v>1792</v>
      </c>
      <c r="F3" s="9" t="s">
        <v>1793</v>
      </c>
      <c r="G3" s="9" t="s">
        <v>1789</v>
      </c>
      <c r="H3" s="9" t="n">
        <v>1</v>
      </c>
      <c r="I3" s="9" t="s">
        <v>1790</v>
      </c>
      <c r="J3" s="9" t="s">
        <v>1791</v>
      </c>
      <c r="K3" s="1" t="n">
        <v>1</v>
      </c>
      <c r="L3" s="1" t="str">
        <f aca="false">VLOOKUP(K3,clasif_filas!$A$1:$J$39,2,FALSE())</f>
        <v>Productos de la agricultura, la horticultura y la jardinería comercial</v>
      </c>
      <c r="M3" s="1" t="n">
        <f aca="false">VLOOKUP(K3,clasif_filas!$A$1:$J$39,3,FALSE())</f>
        <v>1</v>
      </c>
      <c r="N3" s="1" t="str">
        <f aca="false">VLOOKUP(K3,clasif_filas!$A$1:$J$39,4,FALSE())</f>
        <v>Productos de la agricultura, la horticultura y la jardinería comercial</v>
      </c>
      <c r="O3" s="1" t="n">
        <f aca="false">VLOOKUP(K3,clasif_filas!$A$1:$J$39,5,FALSE())</f>
        <v>1</v>
      </c>
      <c r="P3" s="1" t="str">
        <f aca="false">VLOOKUP(K3,clasif_filas!$A$1:$J$39,6,FALSE())</f>
        <v>Biomasa que se cultiva para producir alimentos, forrajes, fibras y energía</v>
      </c>
      <c r="Q3" s="1" t="n">
        <f aca="false">VLOOKUP(K3,clasif_filas!$A$1:$J$39,7,FALSE())</f>
        <v>0</v>
      </c>
      <c r="R3" s="1" t="str">
        <f aca="false">VLOOKUP(K3,clasif_filas!$A$1:$J$39,8,FALSE())</f>
        <v>Productos de la agricultura, la silvicultura yla pesca</v>
      </c>
      <c r="S3" s="1" t="n">
        <f aca="false">VLOOKUP(K3,clasif_filas!$A$1:$J$39,9,FALSE())</f>
        <v>1</v>
      </c>
      <c r="T3" s="1" t="str">
        <f aca="false">VLOOKUP(K3,clasif_filas!$A$1:$J$39,10,FALSE())</f>
        <v>Bioeconomía</v>
      </c>
      <c r="U3" s="61"/>
    </row>
    <row r="4" customFormat="false" ht="14.25" hidden="false" customHeight="false" outlineLevel="0" collapsed="false">
      <c r="A4" s="24" t="s">
        <v>7</v>
      </c>
      <c r="B4" s="9" t="s">
        <v>1786</v>
      </c>
      <c r="C4" s="9" t="str">
        <f aca="false">VLOOKUP(B4, AT_FILAS!$A$2:$C$8,2,FALSE())</f>
        <v>Producción</v>
      </c>
      <c r="D4" s="9" t="str">
        <f aca="false">VLOOKUP(B4, AT_FILAS!$A$2:$C$8,3,FALSE())</f>
        <v>P1</v>
      </c>
      <c r="E4" s="9" t="s">
        <v>1794</v>
      </c>
      <c r="F4" s="9" t="s">
        <v>1795</v>
      </c>
      <c r="G4" s="9" t="s">
        <v>1796</v>
      </c>
      <c r="H4" s="9" t="n">
        <v>1</v>
      </c>
      <c r="I4" s="9" t="s">
        <v>1790</v>
      </c>
      <c r="J4" s="9" t="s">
        <v>1791</v>
      </c>
      <c r="K4" s="1" t="n">
        <v>1</v>
      </c>
      <c r="L4" s="1" t="str">
        <f aca="false">VLOOKUP(K4,clasif_filas!$A$1:$J$39,2,FALSE())</f>
        <v>Productos de la agricultura, la horticultura y la jardinería comercial</v>
      </c>
      <c r="M4" s="1" t="n">
        <f aca="false">VLOOKUP(K4,clasif_filas!$A$1:$J$39,3,FALSE())</f>
        <v>1</v>
      </c>
      <c r="N4" s="1" t="str">
        <f aca="false">VLOOKUP(K4,clasif_filas!$A$1:$J$39,4,FALSE())</f>
        <v>Productos de la agricultura, la horticultura y la jardinería comercial</v>
      </c>
      <c r="O4" s="1" t="n">
        <f aca="false">VLOOKUP(K4,clasif_filas!$A$1:$J$39,5,FALSE())</f>
        <v>1</v>
      </c>
      <c r="P4" s="1" t="str">
        <f aca="false">VLOOKUP(K4,clasif_filas!$A$1:$J$39,6,FALSE())</f>
        <v>Biomasa que se cultiva para producir alimentos, forrajes, fibras y energía</v>
      </c>
      <c r="Q4" s="1" t="n">
        <f aca="false">VLOOKUP(K4,clasif_filas!$A$1:$J$39,7,FALSE())</f>
        <v>0</v>
      </c>
      <c r="R4" s="1" t="str">
        <f aca="false">VLOOKUP(K4,clasif_filas!$A$1:$J$39,8,FALSE())</f>
        <v>Productos de la agricultura, la silvicultura yla pesca</v>
      </c>
      <c r="S4" s="1" t="n">
        <f aca="false">VLOOKUP(K4,clasif_filas!$A$1:$J$39,9,FALSE())</f>
        <v>1</v>
      </c>
      <c r="T4" s="1" t="str">
        <f aca="false">VLOOKUP(K4,clasif_filas!$A$1:$J$39,10,FALSE())</f>
        <v>Bioeconomía</v>
      </c>
      <c r="U4" s="61"/>
    </row>
    <row r="5" customFormat="false" ht="14.25" hidden="false" customHeight="false" outlineLevel="0" collapsed="false">
      <c r="A5" s="24" t="s">
        <v>9</v>
      </c>
      <c r="B5" s="9" t="s">
        <v>1786</v>
      </c>
      <c r="C5" s="9" t="str">
        <f aca="false">VLOOKUP(B5, AT_FILAS!$A$2:$C$8,2,FALSE())</f>
        <v>Producción</v>
      </c>
      <c r="D5" s="9" t="str">
        <f aca="false">VLOOKUP(B5, AT_FILAS!$A$2:$C$8,3,FALSE())</f>
        <v>P1</v>
      </c>
      <c r="E5" s="9" t="s">
        <v>1797</v>
      </c>
      <c r="F5" s="9" t="s">
        <v>1798</v>
      </c>
      <c r="G5" s="9" t="s">
        <v>1799</v>
      </c>
      <c r="H5" s="9" t="n">
        <v>1</v>
      </c>
      <c r="I5" s="9" t="s">
        <v>1790</v>
      </c>
      <c r="J5" s="9" t="s">
        <v>1791</v>
      </c>
      <c r="K5" s="1" t="n">
        <v>1</v>
      </c>
      <c r="L5" s="1" t="str">
        <f aca="false">VLOOKUP(K5,clasif_filas!$A$1:$J$39,2,FALSE())</f>
        <v>Productos de la agricultura, la horticultura y la jardinería comercial</v>
      </c>
      <c r="M5" s="1" t="n">
        <f aca="false">VLOOKUP(K5,clasif_filas!$A$1:$J$39,3,FALSE())</f>
        <v>1</v>
      </c>
      <c r="N5" s="1" t="str">
        <f aca="false">VLOOKUP(K5,clasif_filas!$A$1:$J$39,4,FALSE())</f>
        <v>Productos de la agricultura, la horticultura y la jardinería comercial</v>
      </c>
      <c r="O5" s="1" t="n">
        <f aca="false">VLOOKUP(K5,clasif_filas!$A$1:$J$39,5,FALSE())</f>
        <v>1</v>
      </c>
      <c r="P5" s="1" t="str">
        <f aca="false">VLOOKUP(K5,clasif_filas!$A$1:$J$39,6,FALSE())</f>
        <v>Biomasa que se cultiva para producir alimentos, forrajes, fibras y energía</v>
      </c>
      <c r="Q5" s="1" t="n">
        <f aca="false">VLOOKUP(K5,clasif_filas!$A$1:$J$39,7,FALSE())</f>
        <v>0</v>
      </c>
      <c r="R5" s="1" t="str">
        <f aca="false">VLOOKUP(K5,clasif_filas!$A$1:$J$39,8,FALSE())</f>
        <v>Productos de la agricultura, la silvicultura yla pesca</v>
      </c>
      <c r="S5" s="1" t="n">
        <f aca="false">VLOOKUP(K5,clasif_filas!$A$1:$J$39,9,FALSE())</f>
        <v>1</v>
      </c>
      <c r="T5" s="1" t="str">
        <f aca="false">VLOOKUP(K5,clasif_filas!$A$1:$J$39,10,FALSE())</f>
        <v>Bioeconomía</v>
      </c>
      <c r="U5" s="61"/>
    </row>
    <row r="6" customFormat="false" ht="14.25" hidden="false" customHeight="false" outlineLevel="0" collapsed="false">
      <c r="A6" s="24" t="s">
        <v>11</v>
      </c>
      <c r="B6" s="9" t="s">
        <v>1786</v>
      </c>
      <c r="C6" s="9" t="str">
        <f aca="false">VLOOKUP(B6, AT_FILAS!$A$2:$C$8,2,FALSE())</f>
        <v>Producción</v>
      </c>
      <c r="D6" s="9" t="str">
        <f aca="false">VLOOKUP(B6, AT_FILAS!$A$2:$C$8,3,FALSE())</f>
        <v>P1</v>
      </c>
      <c r="E6" s="9" t="s">
        <v>1800</v>
      </c>
      <c r="F6" s="9" t="s">
        <v>1801</v>
      </c>
      <c r="G6" s="9" t="s">
        <v>1796</v>
      </c>
      <c r="H6" s="9" t="n">
        <v>1</v>
      </c>
      <c r="I6" s="9" t="s">
        <v>1790</v>
      </c>
      <c r="J6" s="9" t="s">
        <v>1791</v>
      </c>
      <c r="K6" s="1" t="n">
        <v>1</v>
      </c>
      <c r="L6" s="1" t="str">
        <f aca="false">VLOOKUP(K6,clasif_filas!$A$1:$J$39,2,FALSE())</f>
        <v>Productos de la agricultura, la horticultura y la jardinería comercial</v>
      </c>
      <c r="M6" s="1" t="n">
        <f aca="false">VLOOKUP(K6,clasif_filas!$A$1:$J$39,3,FALSE())</f>
        <v>1</v>
      </c>
      <c r="N6" s="1" t="str">
        <f aca="false">VLOOKUP(K6,clasif_filas!$A$1:$J$39,4,FALSE())</f>
        <v>Productos de la agricultura, la horticultura y la jardinería comercial</v>
      </c>
      <c r="O6" s="1" t="n">
        <f aca="false">VLOOKUP(K6,clasif_filas!$A$1:$J$39,5,FALSE())</f>
        <v>1</v>
      </c>
      <c r="P6" s="1" t="str">
        <f aca="false">VLOOKUP(K6,clasif_filas!$A$1:$J$39,6,FALSE())</f>
        <v>Biomasa que se cultiva para producir alimentos, forrajes, fibras y energía</v>
      </c>
      <c r="Q6" s="1" t="n">
        <f aca="false">VLOOKUP(K6,clasif_filas!$A$1:$J$39,7,FALSE())</f>
        <v>0</v>
      </c>
      <c r="R6" s="1" t="str">
        <f aca="false">VLOOKUP(K6,clasif_filas!$A$1:$J$39,8,FALSE())</f>
        <v>Productos de la agricultura, la silvicultura yla pesca</v>
      </c>
      <c r="S6" s="1" t="n">
        <f aca="false">VLOOKUP(K6,clasif_filas!$A$1:$J$39,9,FALSE())</f>
        <v>1</v>
      </c>
      <c r="T6" s="1" t="str">
        <f aca="false">VLOOKUP(K6,clasif_filas!$A$1:$J$39,10,FALSE())</f>
        <v>Bioeconomía</v>
      </c>
      <c r="U6" s="61"/>
    </row>
    <row r="7" customFormat="false" ht="14.25" hidden="false" customHeight="false" outlineLevel="0" collapsed="false">
      <c r="A7" s="24" t="s">
        <v>13</v>
      </c>
      <c r="B7" s="9" t="s">
        <v>1786</v>
      </c>
      <c r="C7" s="9" t="str">
        <f aca="false">VLOOKUP(B7, AT_FILAS!$A$2:$C$8,2,FALSE())</f>
        <v>Producción</v>
      </c>
      <c r="D7" s="9" t="str">
        <f aca="false">VLOOKUP(B7, AT_FILAS!$A$2:$C$8,3,FALSE())</f>
        <v>P1</v>
      </c>
      <c r="E7" s="9" t="s">
        <v>1802</v>
      </c>
      <c r="F7" s="9" t="s">
        <v>1803</v>
      </c>
      <c r="G7" s="9" t="s">
        <v>1804</v>
      </c>
      <c r="H7" s="9" t="n">
        <v>1</v>
      </c>
      <c r="I7" s="9" t="s">
        <v>1790</v>
      </c>
      <c r="J7" s="9" t="s">
        <v>1791</v>
      </c>
      <c r="K7" s="1" t="n">
        <v>1</v>
      </c>
      <c r="L7" s="1" t="str">
        <f aca="false">VLOOKUP(K7,clasif_filas!$A$1:$J$39,2,FALSE())</f>
        <v>Productos de la agricultura, la horticultura y la jardinería comercial</v>
      </c>
      <c r="M7" s="1" t="n">
        <f aca="false">VLOOKUP(K7,clasif_filas!$A$1:$J$39,3,FALSE())</f>
        <v>1</v>
      </c>
      <c r="N7" s="1" t="str">
        <f aca="false">VLOOKUP(K7,clasif_filas!$A$1:$J$39,4,FALSE())</f>
        <v>Productos de la agricultura, la horticultura y la jardinería comercial</v>
      </c>
      <c r="O7" s="1" t="n">
        <f aca="false">VLOOKUP(K7,clasif_filas!$A$1:$J$39,5,FALSE())</f>
        <v>1</v>
      </c>
      <c r="P7" s="1" t="str">
        <f aca="false">VLOOKUP(K7,clasif_filas!$A$1:$J$39,6,FALSE())</f>
        <v>Biomasa que se cultiva para producir alimentos, forrajes, fibras y energía</v>
      </c>
      <c r="Q7" s="1" t="n">
        <f aca="false">VLOOKUP(K7,clasif_filas!$A$1:$J$39,7,FALSE())</f>
        <v>0</v>
      </c>
      <c r="R7" s="1" t="str">
        <f aca="false">VLOOKUP(K7,clasif_filas!$A$1:$J$39,8,FALSE())</f>
        <v>Productos de la agricultura, la silvicultura yla pesca</v>
      </c>
      <c r="S7" s="1" t="n">
        <f aca="false">VLOOKUP(K7,clasif_filas!$A$1:$J$39,9,FALSE())</f>
        <v>1</v>
      </c>
      <c r="T7" s="1" t="str">
        <f aca="false">VLOOKUP(K7,clasif_filas!$A$1:$J$39,10,FALSE())</f>
        <v>Bioeconomía</v>
      </c>
      <c r="U7" s="61"/>
    </row>
    <row r="8" customFormat="false" ht="14.25" hidden="false" customHeight="false" outlineLevel="0" collapsed="false">
      <c r="A8" s="24" t="s">
        <v>15</v>
      </c>
      <c r="B8" s="9" t="s">
        <v>1786</v>
      </c>
      <c r="C8" s="9" t="str">
        <f aca="false">VLOOKUP(B8, AT_FILAS!$A$2:$C$8,2,FALSE())</f>
        <v>Producción</v>
      </c>
      <c r="D8" s="9" t="str">
        <f aca="false">VLOOKUP(B8, AT_FILAS!$A$2:$C$8,3,FALSE())</f>
        <v>P1</v>
      </c>
      <c r="E8" s="9" t="s">
        <v>1805</v>
      </c>
      <c r="F8" s="9" t="s">
        <v>1806</v>
      </c>
      <c r="G8" s="9" t="s">
        <v>1807</v>
      </c>
      <c r="H8" s="9" t="n">
        <v>1</v>
      </c>
      <c r="I8" s="9" t="s">
        <v>1790</v>
      </c>
      <c r="J8" s="9" t="s">
        <v>1791</v>
      </c>
      <c r="K8" s="1" t="n">
        <v>1</v>
      </c>
      <c r="L8" s="1" t="str">
        <f aca="false">VLOOKUP(K8,clasif_filas!$A$1:$J$39,2,FALSE())</f>
        <v>Productos de la agricultura, la horticultura y la jardinería comercial</v>
      </c>
      <c r="M8" s="1" t="n">
        <f aca="false">VLOOKUP(K8,clasif_filas!$A$1:$J$39,3,FALSE())</f>
        <v>1</v>
      </c>
      <c r="N8" s="1" t="str">
        <f aca="false">VLOOKUP(K8,clasif_filas!$A$1:$J$39,4,FALSE())</f>
        <v>Productos de la agricultura, la horticultura y la jardinería comercial</v>
      </c>
      <c r="O8" s="1" t="n">
        <f aca="false">VLOOKUP(K8,clasif_filas!$A$1:$J$39,5,FALSE())</f>
        <v>1</v>
      </c>
      <c r="P8" s="1" t="str">
        <f aca="false">VLOOKUP(K8,clasif_filas!$A$1:$J$39,6,FALSE())</f>
        <v>Biomasa que se cultiva para producir alimentos, forrajes, fibras y energía</v>
      </c>
      <c r="Q8" s="1" t="n">
        <f aca="false">VLOOKUP(K8,clasif_filas!$A$1:$J$39,7,FALSE())</f>
        <v>0</v>
      </c>
      <c r="R8" s="1" t="str">
        <f aca="false">VLOOKUP(K8,clasif_filas!$A$1:$J$39,8,FALSE())</f>
        <v>Productos de la agricultura, la silvicultura yla pesca</v>
      </c>
      <c r="S8" s="1" t="n">
        <f aca="false">VLOOKUP(K8,clasif_filas!$A$1:$J$39,9,FALSE())</f>
        <v>1</v>
      </c>
      <c r="T8" s="1" t="str">
        <f aca="false">VLOOKUP(K8,clasif_filas!$A$1:$J$39,10,FALSE())</f>
        <v>Bioeconomía</v>
      </c>
      <c r="U8" s="61"/>
    </row>
    <row r="9" customFormat="false" ht="14.25" hidden="false" customHeight="false" outlineLevel="0" collapsed="false">
      <c r="A9" s="24" t="s">
        <v>17</v>
      </c>
      <c r="B9" s="9" t="s">
        <v>1786</v>
      </c>
      <c r="C9" s="9" t="str">
        <f aca="false">VLOOKUP(B9, AT_FILAS!$A$2:$C$8,2,FALSE())</f>
        <v>Producción</v>
      </c>
      <c r="D9" s="9" t="str">
        <f aca="false">VLOOKUP(B9, AT_FILAS!$A$2:$C$8,3,FALSE())</f>
        <v>P1</v>
      </c>
      <c r="E9" s="9" t="s">
        <v>1808</v>
      </c>
      <c r="F9" s="9" t="s">
        <v>1809</v>
      </c>
      <c r="G9" s="9" t="s">
        <v>1810</v>
      </c>
      <c r="H9" s="9" t="n">
        <v>1</v>
      </c>
      <c r="I9" s="9" t="s">
        <v>1790</v>
      </c>
      <c r="J9" s="9" t="s">
        <v>1791</v>
      </c>
      <c r="K9" s="1" t="n">
        <v>1</v>
      </c>
      <c r="L9" s="1" t="str">
        <f aca="false">VLOOKUP(K9,clasif_filas!$A$1:$J$39,2,FALSE())</f>
        <v>Productos de la agricultura, la horticultura y la jardinería comercial</v>
      </c>
      <c r="M9" s="1" t="n">
        <f aca="false">VLOOKUP(K9,clasif_filas!$A$1:$J$39,3,FALSE())</f>
        <v>1</v>
      </c>
      <c r="N9" s="1" t="str">
        <f aca="false">VLOOKUP(K9,clasif_filas!$A$1:$J$39,4,FALSE())</f>
        <v>Productos de la agricultura, la horticultura y la jardinería comercial</v>
      </c>
      <c r="O9" s="1" t="n">
        <f aca="false">VLOOKUP(K9,clasif_filas!$A$1:$J$39,5,FALSE())</f>
        <v>1</v>
      </c>
      <c r="P9" s="1" t="str">
        <f aca="false">VLOOKUP(K9,clasif_filas!$A$1:$J$39,6,FALSE())</f>
        <v>Biomasa que se cultiva para producir alimentos, forrajes, fibras y energía</v>
      </c>
      <c r="Q9" s="1" t="n">
        <f aca="false">VLOOKUP(K9,clasif_filas!$A$1:$J$39,7,FALSE())</f>
        <v>0</v>
      </c>
      <c r="R9" s="1" t="str">
        <f aca="false">VLOOKUP(K9,clasif_filas!$A$1:$J$39,8,FALSE())</f>
        <v>Productos de la agricultura, la silvicultura yla pesca</v>
      </c>
      <c r="S9" s="1" t="n">
        <f aca="false">VLOOKUP(K9,clasif_filas!$A$1:$J$39,9,FALSE())</f>
        <v>1</v>
      </c>
      <c r="T9" s="1" t="str">
        <f aca="false">VLOOKUP(K9,clasif_filas!$A$1:$J$39,10,FALSE())</f>
        <v>Bioeconomía</v>
      </c>
      <c r="U9" s="61"/>
    </row>
    <row r="10" customFormat="false" ht="14.25" hidden="false" customHeight="false" outlineLevel="0" collapsed="false">
      <c r="A10" s="24" t="s">
        <v>19</v>
      </c>
      <c r="B10" s="9" t="s">
        <v>1786</v>
      </c>
      <c r="C10" s="9" t="str">
        <f aca="false">VLOOKUP(B10, AT_FILAS!$A$2:$C$8,2,FALSE())</f>
        <v>Producción</v>
      </c>
      <c r="D10" s="9" t="str">
        <f aca="false">VLOOKUP(B10, AT_FILAS!$A$2:$C$8,3,FALSE())</f>
        <v>P1</v>
      </c>
      <c r="E10" s="9" t="s">
        <v>1811</v>
      </c>
      <c r="F10" s="9" t="s">
        <v>1812</v>
      </c>
      <c r="G10" s="9" t="s">
        <v>1813</v>
      </c>
      <c r="H10" s="9" t="n">
        <v>1</v>
      </c>
      <c r="I10" s="9" t="s">
        <v>1790</v>
      </c>
      <c r="J10" s="9" t="s">
        <v>1814</v>
      </c>
      <c r="K10" s="1" t="n">
        <v>1</v>
      </c>
      <c r="L10" s="1" t="str">
        <f aca="false">VLOOKUP(K10,clasif_filas!$A$1:$J$39,2,FALSE())</f>
        <v>Productos de la agricultura, la horticultura y la jardinería comercial</v>
      </c>
      <c r="M10" s="1" t="n">
        <f aca="false">VLOOKUP(K10,clasif_filas!$A$1:$J$39,3,FALSE())</f>
        <v>1</v>
      </c>
      <c r="N10" s="1" t="str">
        <f aca="false">VLOOKUP(K10,clasif_filas!$A$1:$J$39,4,FALSE())</f>
        <v>Productos de la agricultura, la horticultura y la jardinería comercial</v>
      </c>
      <c r="O10" s="1" t="n">
        <f aca="false">VLOOKUP(K10,clasif_filas!$A$1:$J$39,5,FALSE())</f>
        <v>1</v>
      </c>
      <c r="P10" s="1" t="str">
        <f aca="false">VLOOKUP(K10,clasif_filas!$A$1:$J$39,6,FALSE())</f>
        <v>Biomasa que se cultiva para producir alimentos, forrajes, fibras y energía</v>
      </c>
      <c r="Q10" s="1" t="n">
        <f aca="false">VLOOKUP(K10,clasif_filas!$A$1:$J$39,7,FALSE())</f>
        <v>0</v>
      </c>
      <c r="R10" s="1" t="str">
        <f aca="false">VLOOKUP(K10,clasif_filas!$A$1:$J$39,8,FALSE())</f>
        <v>Productos de la agricultura, la silvicultura yla pesca</v>
      </c>
      <c r="S10" s="1" t="n">
        <f aca="false">VLOOKUP(K10,clasif_filas!$A$1:$J$39,9,FALSE())</f>
        <v>1</v>
      </c>
      <c r="T10" s="1" t="str">
        <f aca="false">VLOOKUP(K10,clasif_filas!$A$1:$J$39,10,FALSE())</f>
        <v>Bioeconomía</v>
      </c>
      <c r="U10" s="61"/>
    </row>
    <row r="11" customFormat="false" ht="14.25" hidden="false" customHeight="false" outlineLevel="0" collapsed="false">
      <c r="A11" s="24" t="s">
        <v>21</v>
      </c>
      <c r="B11" s="9" t="s">
        <v>1786</v>
      </c>
      <c r="C11" s="9" t="str">
        <f aca="false">VLOOKUP(B11, AT_FILAS!$A$2:$C$8,2,FALSE())</f>
        <v>Producción</v>
      </c>
      <c r="D11" s="9" t="str">
        <f aca="false">VLOOKUP(B11, AT_FILAS!$A$2:$C$8,3,FALSE())</f>
        <v>P1</v>
      </c>
      <c r="E11" s="9" t="s">
        <v>1815</v>
      </c>
      <c r="F11" s="9" t="s">
        <v>1816</v>
      </c>
      <c r="G11" s="9" t="s">
        <v>1817</v>
      </c>
      <c r="H11" s="9" t="n">
        <v>1</v>
      </c>
      <c r="I11" s="9" t="s">
        <v>1790</v>
      </c>
      <c r="J11" s="9" t="s">
        <v>1791</v>
      </c>
      <c r="K11" s="1" t="n">
        <v>2</v>
      </c>
      <c r="L11" s="1" t="str">
        <f aca="false">VLOOKUP(K11,clasif_filas!$A$1:$J$39,2,FALSE())</f>
        <v>Animales vivos y productos animales (excepto la carne)</v>
      </c>
      <c r="M11" s="1" t="n">
        <f aca="false">VLOOKUP(K11,clasif_filas!$A$1:$J$39,3,FALSE())</f>
        <v>2</v>
      </c>
      <c r="N11" s="1" t="str">
        <f aca="false">VLOOKUP(K11,clasif_filas!$A$1:$J$39,4,FALSE())</f>
        <v>Animales vivos y productos animales (excepto la carne)</v>
      </c>
      <c r="O11" s="1" t="n">
        <f aca="false">VLOOKUP(K11,clasif_filas!$A$1:$J$39,5,FALSE())</f>
        <v>1</v>
      </c>
      <c r="P11" s="1" t="str">
        <f aca="false">VLOOKUP(K11,clasif_filas!$A$1:$J$39,6,FALSE())</f>
        <v>Biomasa que se cultiva para producir alimentos, forrajes, fibras y energía</v>
      </c>
      <c r="Q11" s="1" t="n">
        <f aca="false">VLOOKUP(K11,clasif_filas!$A$1:$J$39,7,FALSE())</f>
        <v>0</v>
      </c>
      <c r="R11" s="1" t="str">
        <f aca="false">VLOOKUP(K11,clasif_filas!$A$1:$J$39,8,FALSE())</f>
        <v>Productos de la agricultura, la silvicultura yla pesca</v>
      </c>
      <c r="S11" s="1" t="n">
        <f aca="false">VLOOKUP(K11,clasif_filas!$A$1:$J$39,9,FALSE())</f>
        <v>1</v>
      </c>
      <c r="T11" s="1" t="str">
        <f aca="false">VLOOKUP(K11,clasif_filas!$A$1:$J$39,10,FALSE())</f>
        <v>Bioeconomía</v>
      </c>
      <c r="U11" s="61"/>
    </row>
    <row r="12" customFormat="false" ht="14.25" hidden="false" customHeight="false" outlineLevel="0" collapsed="false">
      <c r="A12" s="24" t="s">
        <v>23</v>
      </c>
      <c r="B12" s="9" t="s">
        <v>1786</v>
      </c>
      <c r="C12" s="9" t="str">
        <f aca="false">VLOOKUP(B12, AT_FILAS!$A$2:$C$8,2,FALSE())</f>
        <v>Producción</v>
      </c>
      <c r="D12" s="9" t="str">
        <f aca="false">VLOOKUP(B12, AT_FILAS!$A$2:$C$8,3,FALSE())</f>
        <v>P1</v>
      </c>
      <c r="E12" s="9" t="s">
        <v>1818</v>
      </c>
      <c r="F12" s="9" t="s">
        <v>1819</v>
      </c>
      <c r="G12" s="9" t="s">
        <v>1820</v>
      </c>
      <c r="H12" s="9" t="n">
        <v>1</v>
      </c>
      <c r="I12" s="9" t="s">
        <v>1790</v>
      </c>
      <c r="J12" s="9" t="s">
        <v>1791</v>
      </c>
      <c r="K12" s="1" t="n">
        <v>2</v>
      </c>
      <c r="L12" s="1" t="str">
        <f aca="false">VLOOKUP(K12,clasif_filas!$A$1:$J$39,2,FALSE())</f>
        <v>Animales vivos y productos animales (excepto la carne)</v>
      </c>
      <c r="M12" s="1" t="n">
        <f aca="false">VLOOKUP(K12,clasif_filas!$A$1:$J$39,3,FALSE())</f>
        <v>2</v>
      </c>
      <c r="N12" s="1" t="str">
        <f aca="false">VLOOKUP(K12,clasif_filas!$A$1:$J$39,4,FALSE())</f>
        <v>Animales vivos y productos animales (excepto la carne)</v>
      </c>
      <c r="O12" s="1" t="n">
        <f aca="false">VLOOKUP(K12,clasif_filas!$A$1:$J$39,5,FALSE())</f>
        <v>1</v>
      </c>
      <c r="P12" s="1" t="str">
        <f aca="false">VLOOKUP(K12,clasif_filas!$A$1:$J$39,6,FALSE())</f>
        <v>Biomasa que se cultiva para producir alimentos, forrajes, fibras y energía</v>
      </c>
      <c r="Q12" s="1" t="n">
        <f aca="false">VLOOKUP(K12,clasif_filas!$A$1:$J$39,7,FALSE())</f>
        <v>0</v>
      </c>
      <c r="R12" s="1" t="str">
        <f aca="false">VLOOKUP(K12,clasif_filas!$A$1:$J$39,8,FALSE())</f>
        <v>Productos de la agricultura, la silvicultura yla pesca</v>
      </c>
      <c r="S12" s="1" t="n">
        <f aca="false">VLOOKUP(K12,clasif_filas!$A$1:$J$39,9,FALSE())</f>
        <v>1</v>
      </c>
      <c r="T12" s="1" t="str">
        <f aca="false">VLOOKUP(K12,clasif_filas!$A$1:$J$39,10,FALSE())</f>
        <v>Bioeconomía</v>
      </c>
      <c r="U12" s="61"/>
    </row>
    <row r="13" customFormat="false" ht="14.25" hidden="false" customHeight="false" outlineLevel="0" collapsed="false">
      <c r="A13" s="24" t="s">
        <v>25</v>
      </c>
      <c r="B13" s="9" t="s">
        <v>1786</v>
      </c>
      <c r="C13" s="9" t="str">
        <f aca="false">VLOOKUP(B13, AT_FILAS!$A$2:$C$8,2,FALSE())</f>
        <v>Producción</v>
      </c>
      <c r="D13" s="9" t="str">
        <f aca="false">VLOOKUP(B13, AT_FILAS!$A$2:$C$8,3,FALSE())</f>
        <v>P1</v>
      </c>
      <c r="E13" s="9" t="s">
        <v>1821</v>
      </c>
      <c r="F13" s="9" t="s">
        <v>1822</v>
      </c>
      <c r="G13" s="9" t="s">
        <v>1817</v>
      </c>
      <c r="H13" s="9" t="n">
        <v>1</v>
      </c>
      <c r="I13" s="9" t="s">
        <v>1790</v>
      </c>
      <c r="J13" s="9" t="s">
        <v>1791</v>
      </c>
      <c r="K13" s="1" t="n">
        <v>2</v>
      </c>
      <c r="L13" s="1" t="str">
        <f aca="false">VLOOKUP(K13,clasif_filas!$A$1:$J$39,2,FALSE())</f>
        <v>Animales vivos y productos animales (excepto la carne)</v>
      </c>
      <c r="M13" s="1" t="n">
        <f aca="false">VLOOKUP(K13,clasif_filas!$A$1:$J$39,3,FALSE())</f>
        <v>2</v>
      </c>
      <c r="N13" s="1" t="str">
        <f aca="false">VLOOKUP(K13,clasif_filas!$A$1:$J$39,4,FALSE())</f>
        <v>Animales vivos y productos animales (excepto la carne)</v>
      </c>
      <c r="O13" s="1" t="n">
        <f aca="false">VLOOKUP(K13,clasif_filas!$A$1:$J$39,5,FALSE())</f>
        <v>1</v>
      </c>
      <c r="P13" s="1" t="str">
        <f aca="false">VLOOKUP(K13,clasif_filas!$A$1:$J$39,6,FALSE())</f>
        <v>Biomasa que se cultiva para producir alimentos, forrajes, fibras y energía</v>
      </c>
      <c r="Q13" s="1" t="n">
        <f aca="false">VLOOKUP(K13,clasif_filas!$A$1:$J$39,7,FALSE())</f>
        <v>0</v>
      </c>
      <c r="R13" s="1" t="str">
        <f aca="false">VLOOKUP(K13,clasif_filas!$A$1:$J$39,8,FALSE())</f>
        <v>Productos de la agricultura, la silvicultura yla pesca</v>
      </c>
      <c r="S13" s="1" t="n">
        <f aca="false">VLOOKUP(K13,clasif_filas!$A$1:$J$39,9,FALSE())</f>
        <v>1</v>
      </c>
      <c r="T13" s="1" t="str">
        <f aca="false">VLOOKUP(K13,clasif_filas!$A$1:$J$39,10,FALSE())</f>
        <v>Bioeconomía</v>
      </c>
      <c r="U13" s="61"/>
    </row>
    <row r="14" customFormat="false" ht="14.25" hidden="false" customHeight="false" outlineLevel="0" collapsed="false">
      <c r="A14" s="24" t="s">
        <v>27</v>
      </c>
      <c r="B14" s="9" t="s">
        <v>1786</v>
      </c>
      <c r="C14" s="9" t="str">
        <f aca="false">VLOOKUP(B14, AT_FILAS!$A$2:$C$8,2,FALSE())</f>
        <v>Producción</v>
      </c>
      <c r="D14" s="9" t="str">
        <f aca="false">VLOOKUP(B14, AT_FILAS!$A$2:$C$8,3,FALSE())</f>
        <v>P1</v>
      </c>
      <c r="E14" s="9" t="s">
        <v>1823</v>
      </c>
      <c r="F14" s="9" t="s">
        <v>1824</v>
      </c>
      <c r="G14" s="9" t="s">
        <v>1817</v>
      </c>
      <c r="H14" s="9" t="n">
        <v>1</v>
      </c>
      <c r="I14" s="9" t="s">
        <v>1790</v>
      </c>
      <c r="J14" s="9" t="s">
        <v>1791</v>
      </c>
      <c r="K14" s="1" t="n">
        <v>2</v>
      </c>
      <c r="L14" s="1" t="str">
        <f aca="false">VLOOKUP(K14,clasif_filas!$A$1:$J$39,2,FALSE())</f>
        <v>Animales vivos y productos animales (excepto la carne)</v>
      </c>
      <c r="M14" s="1" t="n">
        <f aca="false">VLOOKUP(K14,clasif_filas!$A$1:$J$39,3,FALSE())</f>
        <v>2</v>
      </c>
      <c r="N14" s="1" t="str">
        <f aca="false">VLOOKUP(K14,clasif_filas!$A$1:$J$39,4,FALSE())</f>
        <v>Animales vivos y productos animales (excepto la carne)</v>
      </c>
      <c r="O14" s="1" t="n">
        <f aca="false">VLOOKUP(K14,clasif_filas!$A$1:$J$39,5,FALSE())</f>
        <v>1</v>
      </c>
      <c r="P14" s="1" t="str">
        <f aca="false">VLOOKUP(K14,clasif_filas!$A$1:$J$39,6,FALSE())</f>
        <v>Biomasa que se cultiva para producir alimentos, forrajes, fibras y energía</v>
      </c>
      <c r="Q14" s="1" t="n">
        <f aca="false">VLOOKUP(K14,clasif_filas!$A$1:$J$39,7,FALSE())</f>
        <v>0</v>
      </c>
      <c r="R14" s="1" t="str">
        <f aca="false">VLOOKUP(K14,clasif_filas!$A$1:$J$39,8,FALSE())</f>
        <v>Productos de la agricultura, la silvicultura yla pesca</v>
      </c>
      <c r="S14" s="1" t="n">
        <f aca="false">VLOOKUP(K14,clasif_filas!$A$1:$J$39,9,FALSE())</f>
        <v>1</v>
      </c>
      <c r="T14" s="1" t="str">
        <f aca="false">VLOOKUP(K14,clasif_filas!$A$1:$J$39,10,FALSE())</f>
        <v>Bioeconomía</v>
      </c>
      <c r="U14" s="61"/>
    </row>
    <row r="15" customFormat="false" ht="14.25" hidden="false" customHeight="false" outlineLevel="0" collapsed="false">
      <c r="A15" s="24" t="s">
        <v>29</v>
      </c>
      <c r="B15" s="9" t="s">
        <v>1786</v>
      </c>
      <c r="C15" s="9" t="str">
        <f aca="false">VLOOKUP(B15, AT_FILAS!$A$2:$C$8,2,FALSE())</f>
        <v>Producción</v>
      </c>
      <c r="D15" s="9" t="str">
        <f aca="false">VLOOKUP(B15, AT_FILAS!$A$2:$C$8,3,FALSE())</f>
        <v>P1</v>
      </c>
      <c r="E15" s="9" t="s">
        <v>1825</v>
      </c>
      <c r="F15" s="9" t="s">
        <v>1826</v>
      </c>
      <c r="G15" s="9" t="s">
        <v>1827</v>
      </c>
      <c r="H15" s="9" t="n">
        <v>1</v>
      </c>
      <c r="I15" s="9" t="s">
        <v>1790</v>
      </c>
      <c r="J15" s="9" t="s">
        <v>1827</v>
      </c>
      <c r="K15" s="1" t="n">
        <v>3</v>
      </c>
      <c r="L15" s="1" t="str">
        <f aca="false">VLOOKUP(K15,clasif_filas!$A$1:$J$39,2,FALSE())</f>
        <v>Productos forestales y de la tala</v>
      </c>
      <c r="M15" s="1" t="n">
        <f aca="false">VLOOKUP(K15,clasif_filas!$A$1:$J$39,3,FALSE())</f>
        <v>3</v>
      </c>
      <c r="N15" s="1" t="str">
        <f aca="false">VLOOKUP(K15,clasif_filas!$A$1:$J$39,4,FALSE())</f>
        <v>Productos forestales y de la tala</v>
      </c>
      <c r="O15" s="1" t="n">
        <f aca="false">VLOOKUP(K15,clasif_filas!$A$1:$J$39,5,FALSE())</f>
        <v>3</v>
      </c>
      <c r="P15" s="1" t="str">
        <f aca="false">VLOOKUP(K15,clasif_filas!$A$1:$J$39,6,FALSE())</f>
        <v>Biomasa forestal, sobre todo la que se cultiva para su aprovechamiento en las industrias forestal y del papel, y aquella extraída legalmente de ecosistemas naturales</v>
      </c>
      <c r="Q15" s="1" t="n">
        <f aca="false">VLOOKUP(K15,clasif_filas!$A$1:$J$39,7,FALSE())</f>
        <v>0</v>
      </c>
      <c r="R15" s="1" t="str">
        <f aca="false">VLOOKUP(K15,clasif_filas!$A$1:$J$39,8,FALSE())</f>
        <v>Productos de la agricultura, la silvicultura yla pesca</v>
      </c>
      <c r="S15" s="1" t="n">
        <f aca="false">VLOOKUP(K15,clasif_filas!$A$1:$J$39,9,FALSE())</f>
        <v>1</v>
      </c>
      <c r="T15" s="1" t="str">
        <f aca="false">VLOOKUP(K15,clasif_filas!$A$1:$J$39,10,FALSE())</f>
        <v>Bioeconomía</v>
      </c>
      <c r="U15" s="61"/>
    </row>
    <row r="16" customFormat="false" ht="14.25" hidden="false" customHeight="false" outlineLevel="0" collapsed="false">
      <c r="A16" s="24" t="s">
        <v>31</v>
      </c>
      <c r="B16" s="9" t="s">
        <v>1786</v>
      </c>
      <c r="C16" s="9" t="str">
        <f aca="false">VLOOKUP(B16, AT_FILAS!$A$2:$C$8,2,FALSE())</f>
        <v>Producción</v>
      </c>
      <c r="D16" s="9" t="str">
        <f aca="false">VLOOKUP(B16, AT_FILAS!$A$2:$C$8,3,FALSE())</f>
        <v>P1</v>
      </c>
      <c r="E16" s="9" t="s">
        <v>1828</v>
      </c>
      <c r="F16" s="9" t="s">
        <v>1829</v>
      </c>
      <c r="G16" s="9" t="s">
        <v>1830</v>
      </c>
      <c r="H16" s="9" t="n">
        <v>1</v>
      </c>
      <c r="I16" s="9" t="s">
        <v>1790</v>
      </c>
      <c r="J16" s="9" t="s">
        <v>1791</v>
      </c>
      <c r="K16" s="1" t="n">
        <v>4</v>
      </c>
      <c r="L16" s="1" t="str">
        <f aca="false">VLOOKUP(K16,clasif_filas!$A$1:$J$39,2,FALSE())</f>
        <v>Pescado y otros productos de la pesca</v>
      </c>
      <c r="M16" s="1" t="n">
        <f aca="false">VLOOKUP(K16,clasif_filas!$A$1:$J$39,3,FALSE())</f>
        <v>4</v>
      </c>
      <c r="N16" s="1" t="str">
        <f aca="false">VLOOKUP(K16,clasif_filas!$A$1:$J$39,4,FALSE())</f>
        <v>Pescado y otros productos de la pesca</v>
      </c>
      <c r="O16" s="1" t="n">
        <f aca="false">VLOOKUP(K16,clasif_filas!$A$1:$J$39,5,FALSE())</f>
        <v>2</v>
      </c>
      <c r="P16" s="1" t="str">
        <f aca="false">VLOOKUP(K16,clasif_filas!$A$1:$J$39,6,FALSE())</f>
        <v>Biomasa de los recursos marinos y la producida mediante la acuicultura</v>
      </c>
      <c r="Q16" s="1" t="n">
        <f aca="false">VLOOKUP(K16,clasif_filas!$A$1:$J$39,7,FALSE())</f>
        <v>0</v>
      </c>
      <c r="R16" s="1" t="str">
        <f aca="false">VLOOKUP(K16,clasif_filas!$A$1:$J$39,8,FALSE())</f>
        <v>Productos de la agricultura, la silvicultura yla pesca</v>
      </c>
      <c r="S16" s="1" t="n">
        <f aca="false">VLOOKUP(K16,clasif_filas!$A$1:$J$39,9,FALSE())</f>
        <v>1</v>
      </c>
      <c r="T16" s="1" t="str">
        <f aca="false">VLOOKUP(K16,clasif_filas!$A$1:$J$39,10,FALSE())</f>
        <v>Bioeconomía</v>
      </c>
      <c r="U16" s="61"/>
    </row>
    <row r="17" customFormat="false" ht="14.25" hidden="false" customHeight="false" outlineLevel="0" collapsed="false">
      <c r="A17" s="24" t="s">
        <v>33</v>
      </c>
      <c r="B17" s="9" t="s">
        <v>1786</v>
      </c>
      <c r="C17" s="9" t="str">
        <f aca="false">VLOOKUP(B17, AT_FILAS!$A$2:$C$8,2,FALSE())</f>
        <v>Producción</v>
      </c>
      <c r="D17" s="9" t="str">
        <f aca="false">VLOOKUP(B17, AT_FILAS!$A$2:$C$8,3,FALSE())</f>
        <v>P1</v>
      </c>
      <c r="E17" s="9" t="s">
        <v>1831</v>
      </c>
      <c r="F17" s="9" t="s">
        <v>1832</v>
      </c>
      <c r="G17" s="9" t="s">
        <v>1750</v>
      </c>
      <c r="H17" s="9" t="n">
        <v>4</v>
      </c>
      <c r="I17" s="9" t="s">
        <v>1750</v>
      </c>
      <c r="J17" s="9" t="s">
        <v>1750</v>
      </c>
      <c r="K17" s="1" t="n">
        <v>11</v>
      </c>
      <c r="L17" s="1" t="str">
        <f aca="false">VLOOKUP(K17,clasif_filas!$A$1:$J$39,2,FALSE())</f>
        <v>Minerales, combustibles y derivados</v>
      </c>
      <c r="M17" s="1" t="n">
        <f aca="false">VLOOKUP(K17,clasif_filas!$A$1:$J$39,3,FALSE())</f>
        <v>11</v>
      </c>
      <c r="N17" s="1" t="str">
        <f aca="false">VLOOKUP(K17,clasif_filas!$A$1:$J$39,4,FALSE())</f>
        <v>Minerales, combustibles y derivados</v>
      </c>
      <c r="O17" s="1" t="n">
        <f aca="false">VLOOKUP(K17,clasif_filas!$A$1:$J$39,5,FALSE())</f>
        <v>99</v>
      </c>
      <c r="P17" s="1" t="str">
        <f aca="false">VLOOKUP(K17,clasif_filas!$A$1:$J$39,6,FALSE())</f>
        <v>No Bioeconomía</v>
      </c>
      <c r="Q17" s="1" t="n">
        <f aca="false">VLOOKUP(K17,clasif_filas!$A$1:$J$39,7,FALSE())</f>
        <v>1</v>
      </c>
      <c r="R17" s="1" t="str">
        <f aca="false">VLOOKUP(K17,clasif_filas!$A$1:$J$39,8,FALSE())</f>
        <v>Minerales; electricidad, gas y agua</v>
      </c>
      <c r="S17" s="1" t="n">
        <f aca="false">VLOOKUP(K17,clasif_filas!$A$1:$J$39,9,FALSE())</f>
        <v>3</v>
      </c>
      <c r="T17" s="1" t="str">
        <f aca="false">VLOOKUP(K17,clasif_filas!$A$1:$J$39,10,FALSE())</f>
        <v>No bioeconomía</v>
      </c>
      <c r="U17" s="61"/>
    </row>
    <row r="18" customFormat="false" ht="14.25" hidden="false" customHeight="false" outlineLevel="0" collapsed="false">
      <c r="A18" s="24" t="s">
        <v>35</v>
      </c>
      <c r="B18" s="9" t="s">
        <v>1786</v>
      </c>
      <c r="C18" s="9" t="str">
        <f aca="false">VLOOKUP(B18, AT_FILAS!$A$2:$C$8,2,FALSE())</f>
        <v>Producción</v>
      </c>
      <c r="D18" s="9" t="str">
        <f aca="false">VLOOKUP(B18, AT_FILAS!$A$2:$C$8,3,FALSE())</f>
        <v>P1</v>
      </c>
      <c r="E18" s="9" t="s">
        <v>1833</v>
      </c>
      <c r="F18" s="9" t="s">
        <v>1834</v>
      </c>
      <c r="G18" s="9" t="s">
        <v>1750</v>
      </c>
      <c r="H18" s="9" t="n">
        <v>4</v>
      </c>
      <c r="I18" s="9" t="s">
        <v>1750</v>
      </c>
      <c r="J18" s="9" t="s">
        <v>1750</v>
      </c>
      <c r="K18" s="1" t="n">
        <v>11</v>
      </c>
      <c r="L18" s="1" t="str">
        <f aca="false">VLOOKUP(K18,clasif_filas!$A$1:$J$39,2,FALSE())</f>
        <v>Minerales, combustibles y derivados</v>
      </c>
      <c r="M18" s="1" t="n">
        <f aca="false">VLOOKUP(K18,clasif_filas!$A$1:$J$39,3,FALSE())</f>
        <v>11</v>
      </c>
      <c r="N18" s="1" t="str">
        <f aca="false">VLOOKUP(K18,clasif_filas!$A$1:$J$39,4,FALSE())</f>
        <v>Minerales, combustibles y derivados</v>
      </c>
      <c r="O18" s="1" t="n">
        <f aca="false">VLOOKUP(K18,clasif_filas!$A$1:$J$39,5,FALSE())</f>
        <v>99</v>
      </c>
      <c r="P18" s="1" t="str">
        <f aca="false">VLOOKUP(K18,clasif_filas!$A$1:$J$39,6,FALSE())</f>
        <v>No Bioeconomía</v>
      </c>
      <c r="Q18" s="1" t="n">
        <f aca="false">VLOOKUP(K18,clasif_filas!$A$1:$J$39,7,FALSE())</f>
        <v>1</v>
      </c>
      <c r="R18" s="1" t="str">
        <f aca="false">VLOOKUP(K18,clasif_filas!$A$1:$J$39,8,FALSE())</f>
        <v>Minerales; electricidad, gas y agua</v>
      </c>
      <c r="S18" s="1" t="n">
        <f aca="false">VLOOKUP(K18,clasif_filas!$A$1:$J$39,9,FALSE())</f>
        <v>3</v>
      </c>
      <c r="T18" s="1" t="str">
        <f aca="false">VLOOKUP(K18,clasif_filas!$A$1:$J$39,10,FALSE())</f>
        <v>No bioeconomía</v>
      </c>
      <c r="U18" s="61"/>
    </row>
    <row r="19" customFormat="false" ht="14.25" hidden="false" customHeight="false" outlineLevel="0" collapsed="false">
      <c r="A19" s="24" t="s">
        <v>37</v>
      </c>
      <c r="B19" s="9" t="s">
        <v>1786</v>
      </c>
      <c r="C19" s="9" t="str">
        <f aca="false">VLOOKUP(B19, AT_FILAS!$A$2:$C$8,2,FALSE())</f>
        <v>Producción</v>
      </c>
      <c r="D19" s="9" t="str">
        <f aca="false">VLOOKUP(B19, AT_FILAS!$A$2:$C$8,3,FALSE())</f>
        <v>P1</v>
      </c>
      <c r="E19" s="9" t="s">
        <v>1835</v>
      </c>
      <c r="F19" s="9" t="s">
        <v>1836</v>
      </c>
      <c r="G19" s="9" t="s">
        <v>1750</v>
      </c>
      <c r="H19" s="9" t="n">
        <v>4</v>
      </c>
      <c r="I19" s="9" t="s">
        <v>1750</v>
      </c>
      <c r="J19" s="9" t="s">
        <v>1750</v>
      </c>
      <c r="K19" s="1" t="n">
        <v>11</v>
      </c>
      <c r="L19" s="1" t="str">
        <f aca="false">VLOOKUP(K19,clasif_filas!$A$1:$J$39,2,FALSE())</f>
        <v>Minerales, combustibles y derivados</v>
      </c>
      <c r="M19" s="1" t="n">
        <f aca="false">VLOOKUP(K19,clasif_filas!$A$1:$J$39,3,FALSE())</f>
        <v>11</v>
      </c>
      <c r="N19" s="1" t="str">
        <f aca="false">VLOOKUP(K19,clasif_filas!$A$1:$J$39,4,FALSE())</f>
        <v>Minerales, combustibles y derivados</v>
      </c>
      <c r="O19" s="1" t="n">
        <f aca="false">VLOOKUP(K19,clasif_filas!$A$1:$J$39,5,FALSE())</f>
        <v>99</v>
      </c>
      <c r="P19" s="1" t="str">
        <f aca="false">VLOOKUP(K19,clasif_filas!$A$1:$J$39,6,FALSE())</f>
        <v>No Bioeconomía</v>
      </c>
      <c r="Q19" s="1" t="n">
        <f aca="false">VLOOKUP(K19,clasif_filas!$A$1:$J$39,7,FALSE())</f>
        <v>1</v>
      </c>
      <c r="R19" s="1" t="str">
        <f aca="false">VLOOKUP(K19,clasif_filas!$A$1:$J$39,8,FALSE())</f>
        <v>Minerales; electricidad, gas y agua</v>
      </c>
      <c r="S19" s="1" t="n">
        <f aca="false">VLOOKUP(K19,clasif_filas!$A$1:$J$39,9,FALSE())</f>
        <v>3</v>
      </c>
      <c r="T19" s="1" t="str">
        <f aca="false">VLOOKUP(K19,clasif_filas!$A$1:$J$39,10,FALSE())</f>
        <v>No bioeconomía</v>
      </c>
      <c r="U19" s="61"/>
    </row>
    <row r="20" customFormat="false" ht="14.25" hidden="false" customHeight="false" outlineLevel="0" collapsed="false">
      <c r="A20" s="24" t="s">
        <v>39</v>
      </c>
      <c r="B20" s="9" t="s">
        <v>1786</v>
      </c>
      <c r="C20" s="9" t="str">
        <f aca="false">VLOOKUP(B20, AT_FILAS!$A$2:$C$8,2,FALSE())</f>
        <v>Producción</v>
      </c>
      <c r="D20" s="9" t="str">
        <f aca="false">VLOOKUP(B20, AT_FILAS!$A$2:$C$8,3,FALSE())</f>
        <v>P1</v>
      </c>
      <c r="E20" s="9" t="s">
        <v>1837</v>
      </c>
      <c r="F20" s="9" t="s">
        <v>1838</v>
      </c>
      <c r="G20" s="9" t="s">
        <v>1750</v>
      </c>
      <c r="H20" s="9" t="n">
        <v>4</v>
      </c>
      <c r="I20" s="9" t="s">
        <v>1750</v>
      </c>
      <c r="J20" s="9" t="s">
        <v>1750</v>
      </c>
      <c r="K20" s="1" t="n">
        <v>11</v>
      </c>
      <c r="L20" s="1" t="str">
        <f aca="false">VLOOKUP(K20,clasif_filas!$A$1:$J$39,2,FALSE())</f>
        <v>Minerales, combustibles y derivados</v>
      </c>
      <c r="M20" s="1" t="n">
        <f aca="false">VLOOKUP(K20,clasif_filas!$A$1:$J$39,3,FALSE())</f>
        <v>11</v>
      </c>
      <c r="N20" s="1" t="str">
        <f aca="false">VLOOKUP(K20,clasif_filas!$A$1:$J$39,4,FALSE())</f>
        <v>Minerales, combustibles y derivados</v>
      </c>
      <c r="O20" s="1" t="n">
        <f aca="false">VLOOKUP(K20,clasif_filas!$A$1:$J$39,5,FALSE())</f>
        <v>99</v>
      </c>
      <c r="P20" s="1" t="str">
        <f aca="false">VLOOKUP(K20,clasif_filas!$A$1:$J$39,6,FALSE())</f>
        <v>No Bioeconomía</v>
      </c>
      <c r="Q20" s="1" t="n">
        <f aca="false">VLOOKUP(K20,clasif_filas!$A$1:$J$39,7,FALSE())</f>
        <v>1</v>
      </c>
      <c r="R20" s="1" t="str">
        <f aca="false">VLOOKUP(K20,clasif_filas!$A$1:$J$39,8,FALSE())</f>
        <v>Minerales; electricidad, gas y agua</v>
      </c>
      <c r="S20" s="1" t="n">
        <f aca="false">VLOOKUP(K20,clasif_filas!$A$1:$J$39,9,FALSE())</f>
        <v>3</v>
      </c>
      <c r="T20" s="1" t="str">
        <f aca="false">VLOOKUP(K20,clasif_filas!$A$1:$J$39,10,FALSE())</f>
        <v>No bioeconomía</v>
      </c>
      <c r="U20" s="61"/>
    </row>
    <row r="21" customFormat="false" ht="14.25" hidden="false" customHeight="false" outlineLevel="0" collapsed="false">
      <c r="A21" s="24" t="s">
        <v>41</v>
      </c>
      <c r="B21" s="9" t="s">
        <v>1786</v>
      </c>
      <c r="C21" s="9" t="str">
        <f aca="false">VLOOKUP(B21, AT_FILAS!$A$2:$C$8,2,FALSE())</f>
        <v>Producción</v>
      </c>
      <c r="D21" s="9" t="str">
        <f aca="false">VLOOKUP(B21, AT_FILAS!$A$2:$C$8,3,FALSE())</f>
        <v>P1</v>
      </c>
      <c r="E21" s="9" t="s">
        <v>1839</v>
      </c>
      <c r="F21" s="9" t="s">
        <v>1840</v>
      </c>
      <c r="G21" s="9" t="s">
        <v>1750</v>
      </c>
      <c r="H21" s="9" t="n">
        <v>4</v>
      </c>
      <c r="I21" s="9" t="s">
        <v>1750</v>
      </c>
      <c r="J21" s="9" t="s">
        <v>1750</v>
      </c>
      <c r="K21" s="1" t="n">
        <v>11</v>
      </c>
      <c r="L21" s="1" t="str">
        <f aca="false">VLOOKUP(K21,clasif_filas!$A$1:$J$39,2,FALSE())</f>
        <v>Minerales, combustibles y derivados</v>
      </c>
      <c r="M21" s="1" t="n">
        <f aca="false">VLOOKUP(K21,clasif_filas!$A$1:$J$39,3,FALSE())</f>
        <v>11</v>
      </c>
      <c r="N21" s="1" t="str">
        <f aca="false">VLOOKUP(K21,clasif_filas!$A$1:$J$39,4,FALSE())</f>
        <v>Minerales, combustibles y derivados</v>
      </c>
      <c r="O21" s="1" t="n">
        <f aca="false">VLOOKUP(K21,clasif_filas!$A$1:$J$39,5,FALSE())</f>
        <v>99</v>
      </c>
      <c r="P21" s="1" t="str">
        <f aca="false">VLOOKUP(K21,clasif_filas!$A$1:$J$39,6,FALSE())</f>
        <v>No Bioeconomía</v>
      </c>
      <c r="Q21" s="1" t="n">
        <f aca="false">VLOOKUP(K21,clasif_filas!$A$1:$J$39,7,FALSE())</f>
        <v>1</v>
      </c>
      <c r="R21" s="1" t="str">
        <f aca="false">VLOOKUP(K21,clasif_filas!$A$1:$J$39,8,FALSE())</f>
        <v>Minerales; electricidad, gas y agua</v>
      </c>
      <c r="S21" s="1" t="n">
        <f aca="false">VLOOKUP(K21,clasif_filas!$A$1:$J$39,9,FALSE())</f>
        <v>3</v>
      </c>
      <c r="T21" s="1" t="str">
        <f aca="false">VLOOKUP(K21,clasif_filas!$A$1:$J$39,10,FALSE())</f>
        <v>No bioeconomía</v>
      </c>
      <c r="U21" s="61"/>
    </row>
    <row r="22" customFormat="false" ht="14.25" hidden="false" customHeight="false" outlineLevel="0" collapsed="false">
      <c r="A22" s="24" t="s">
        <v>43</v>
      </c>
      <c r="B22" s="9" t="s">
        <v>1786</v>
      </c>
      <c r="C22" s="9" t="str">
        <f aca="false">VLOOKUP(B22, AT_FILAS!$A$2:$C$8,2,FALSE())</f>
        <v>Producción</v>
      </c>
      <c r="D22" s="9" t="str">
        <f aca="false">VLOOKUP(B22, AT_FILAS!$A$2:$C$8,3,FALSE())</f>
        <v>P1</v>
      </c>
      <c r="E22" s="9" t="s">
        <v>1841</v>
      </c>
      <c r="F22" s="9" t="s">
        <v>1842</v>
      </c>
      <c r="G22" s="9" t="s">
        <v>1843</v>
      </c>
      <c r="H22" s="9" t="n">
        <v>2</v>
      </c>
      <c r="I22" s="9" t="s">
        <v>1844</v>
      </c>
      <c r="J22" s="9" t="s">
        <v>1814</v>
      </c>
      <c r="K22" s="1" t="n">
        <v>21</v>
      </c>
      <c r="L22" s="1" t="str">
        <f aca="false">VLOOKUP(K22,clasif_filas!$A$1:$J$39,2,FALSE())</f>
        <v>Carne, pescado, frutas, vegetales, aceites y grasas</v>
      </c>
      <c r="M22" s="1" t="n">
        <f aca="false">VLOOKUP(K22,clasif_filas!$A$1:$J$39,3,FALSE())</f>
        <v>21</v>
      </c>
      <c r="N22" s="1" t="str">
        <f aca="false">VLOOKUP(K22,clasif_filas!$A$1:$J$39,4,FALSE())</f>
        <v>Carne, pescado, frutas, vegetales, aceites y grasas</v>
      </c>
      <c r="O22" s="1" t="n">
        <f aca="false">VLOOKUP(K22,clasif_filas!$A$1:$J$39,5,FALSE())</f>
        <v>6</v>
      </c>
      <c r="P22" s="1" t="str">
        <f aca="false">VLOOKUP(K22,clasif_filas!$A$1:$J$39,6,FALSE())</f>
        <v>Conocimiento, procesos y servicios relacionados</v>
      </c>
      <c r="Q22" s="1" t="n">
        <f aca="false">VLOOKUP(K22,clasif_filas!$A$1:$J$39,7,FALSE())</f>
        <v>2</v>
      </c>
      <c r="R22" s="1" t="str">
        <f aca="false">VLOOKUP(K22,clasif_filas!$A$1:$J$39,8,FALSE())</f>
        <v>Productos alimenticios, bebidas y tabaco; textiles, prendas de vestir y productos de cuero</v>
      </c>
      <c r="S22" s="1" t="n">
        <f aca="false">VLOOKUP(K22,clasif_filas!$A$1:$J$39,9,FALSE())</f>
        <v>1</v>
      </c>
      <c r="T22" s="1" t="str">
        <f aca="false">VLOOKUP(K22,clasif_filas!$A$1:$J$39,10,FALSE())</f>
        <v>Bioeconomía</v>
      </c>
      <c r="U22" s="61"/>
    </row>
    <row r="23" customFormat="false" ht="14.25" hidden="false" customHeight="false" outlineLevel="0" collapsed="false">
      <c r="A23" s="24" t="s">
        <v>45</v>
      </c>
      <c r="B23" s="9" t="s">
        <v>1786</v>
      </c>
      <c r="C23" s="9" t="str">
        <f aca="false">VLOOKUP(B23, AT_FILAS!$A$2:$C$8,2,FALSE())</f>
        <v>Producción</v>
      </c>
      <c r="D23" s="9" t="str">
        <f aca="false">VLOOKUP(B23, AT_FILAS!$A$2:$C$8,3,FALSE())</f>
        <v>P1</v>
      </c>
      <c r="E23" s="9" t="s">
        <v>1845</v>
      </c>
      <c r="F23" s="9" t="s">
        <v>1846</v>
      </c>
      <c r="G23" s="9" t="s">
        <v>1843</v>
      </c>
      <c r="H23" s="9" t="n">
        <v>2</v>
      </c>
      <c r="I23" s="9" t="s">
        <v>1844</v>
      </c>
      <c r="J23" s="9" t="s">
        <v>1814</v>
      </c>
      <c r="K23" s="1" t="n">
        <v>21</v>
      </c>
      <c r="L23" s="1" t="str">
        <f aca="false">VLOOKUP(K23,clasif_filas!$A$1:$J$39,2,FALSE())</f>
        <v>Carne, pescado, frutas, vegetales, aceites y grasas</v>
      </c>
      <c r="M23" s="1" t="n">
        <f aca="false">VLOOKUP(K23,clasif_filas!$A$1:$J$39,3,FALSE())</f>
        <v>21</v>
      </c>
      <c r="N23" s="1" t="str">
        <f aca="false">VLOOKUP(K23,clasif_filas!$A$1:$J$39,4,FALSE())</f>
        <v>Carne, pescado, frutas, vegetales, aceites y grasas</v>
      </c>
      <c r="O23" s="1" t="n">
        <f aca="false">VLOOKUP(K23,clasif_filas!$A$1:$J$39,5,FALSE())</f>
        <v>6</v>
      </c>
      <c r="P23" s="1" t="str">
        <f aca="false">VLOOKUP(K23,clasif_filas!$A$1:$J$39,6,FALSE())</f>
        <v>Conocimiento, procesos y servicios relacionados</v>
      </c>
      <c r="Q23" s="1" t="n">
        <f aca="false">VLOOKUP(K23,clasif_filas!$A$1:$J$39,7,FALSE())</f>
        <v>2</v>
      </c>
      <c r="R23" s="1" t="str">
        <f aca="false">VLOOKUP(K23,clasif_filas!$A$1:$J$39,8,FALSE())</f>
        <v>Productos alimenticios, bebidas y tabaco; textiles, prendas de vestir y productos de cuero</v>
      </c>
      <c r="S23" s="1" t="n">
        <f aca="false">VLOOKUP(K23,clasif_filas!$A$1:$J$39,9,FALSE())</f>
        <v>1</v>
      </c>
      <c r="T23" s="1" t="str">
        <f aca="false">VLOOKUP(K23,clasif_filas!$A$1:$J$39,10,FALSE())</f>
        <v>Bioeconomía</v>
      </c>
      <c r="U23" s="61"/>
    </row>
    <row r="24" customFormat="false" ht="14.25" hidden="false" customHeight="false" outlineLevel="0" collapsed="false">
      <c r="A24" s="24" t="s">
        <v>47</v>
      </c>
      <c r="B24" s="9" t="s">
        <v>1786</v>
      </c>
      <c r="C24" s="9" t="str">
        <f aca="false">VLOOKUP(B24, AT_FILAS!$A$2:$C$8,2,FALSE())</f>
        <v>Producción</v>
      </c>
      <c r="D24" s="9" t="str">
        <f aca="false">VLOOKUP(B24, AT_FILAS!$A$2:$C$8,3,FALSE())</f>
        <v>P1</v>
      </c>
      <c r="E24" s="9" t="s">
        <v>1847</v>
      </c>
      <c r="F24" s="9" t="s">
        <v>1848</v>
      </c>
      <c r="G24" s="9" t="s">
        <v>1843</v>
      </c>
      <c r="H24" s="9" t="n">
        <v>2</v>
      </c>
      <c r="I24" s="9" t="s">
        <v>1844</v>
      </c>
      <c r="J24" s="9" t="s">
        <v>1814</v>
      </c>
      <c r="K24" s="1" t="n">
        <v>21</v>
      </c>
      <c r="L24" s="1" t="str">
        <f aca="false">VLOOKUP(K24,clasif_filas!$A$1:$J$39,2,FALSE())</f>
        <v>Carne, pescado, frutas, vegetales, aceites y grasas</v>
      </c>
      <c r="M24" s="1" t="n">
        <f aca="false">VLOOKUP(K24,clasif_filas!$A$1:$J$39,3,FALSE())</f>
        <v>21</v>
      </c>
      <c r="N24" s="1" t="str">
        <f aca="false">VLOOKUP(K24,clasif_filas!$A$1:$J$39,4,FALSE())</f>
        <v>Carne, pescado, frutas, vegetales, aceites y grasas</v>
      </c>
      <c r="O24" s="1" t="n">
        <f aca="false">VLOOKUP(K24,clasif_filas!$A$1:$J$39,5,FALSE())</f>
        <v>6</v>
      </c>
      <c r="P24" s="1" t="str">
        <f aca="false">VLOOKUP(K24,clasif_filas!$A$1:$J$39,6,FALSE())</f>
        <v>Conocimiento, procesos y servicios relacionados</v>
      </c>
      <c r="Q24" s="1" t="n">
        <f aca="false">VLOOKUP(K24,clasif_filas!$A$1:$J$39,7,FALSE())</f>
        <v>2</v>
      </c>
      <c r="R24" s="1" t="str">
        <f aca="false">VLOOKUP(K24,clasif_filas!$A$1:$J$39,8,FALSE())</f>
        <v>Productos alimenticios, bebidas y tabaco; textiles, prendas de vestir y productos de cuero</v>
      </c>
      <c r="S24" s="1" t="n">
        <f aca="false">VLOOKUP(K24,clasif_filas!$A$1:$J$39,9,FALSE())</f>
        <v>1</v>
      </c>
      <c r="T24" s="1" t="str">
        <f aca="false">VLOOKUP(K24,clasif_filas!$A$1:$J$39,10,FALSE())</f>
        <v>Bioeconomía</v>
      </c>
      <c r="U24" s="61"/>
    </row>
    <row r="25" customFormat="false" ht="14.25" hidden="false" customHeight="false" outlineLevel="0" collapsed="false">
      <c r="A25" s="24" t="s">
        <v>49</v>
      </c>
      <c r="B25" s="9" t="s">
        <v>1786</v>
      </c>
      <c r="C25" s="9" t="str">
        <f aca="false">VLOOKUP(B25, AT_FILAS!$A$2:$C$8,2,FALSE())</f>
        <v>Producción</v>
      </c>
      <c r="D25" s="9" t="str">
        <f aca="false">VLOOKUP(B25, AT_FILAS!$A$2:$C$8,3,FALSE())</f>
        <v>P1</v>
      </c>
      <c r="E25" s="9" t="s">
        <v>1849</v>
      </c>
      <c r="F25" s="9" t="s">
        <v>1850</v>
      </c>
      <c r="G25" s="9" t="s">
        <v>1843</v>
      </c>
      <c r="H25" s="9" t="n">
        <v>2</v>
      </c>
      <c r="I25" s="9" t="s">
        <v>1844</v>
      </c>
      <c r="J25" s="9" t="s">
        <v>1814</v>
      </c>
      <c r="K25" s="1" t="n">
        <v>21</v>
      </c>
      <c r="L25" s="1" t="str">
        <f aca="false">VLOOKUP(K25,clasif_filas!$A$1:$J$39,2,FALSE())</f>
        <v>Carne, pescado, frutas, vegetales, aceites y grasas</v>
      </c>
      <c r="M25" s="1" t="n">
        <f aca="false">VLOOKUP(K25,clasif_filas!$A$1:$J$39,3,FALSE())</f>
        <v>21</v>
      </c>
      <c r="N25" s="1" t="str">
        <f aca="false">VLOOKUP(K25,clasif_filas!$A$1:$J$39,4,FALSE())</f>
        <v>Carne, pescado, frutas, vegetales, aceites y grasas</v>
      </c>
      <c r="O25" s="1" t="n">
        <f aca="false">VLOOKUP(K25,clasif_filas!$A$1:$J$39,5,FALSE())</f>
        <v>6</v>
      </c>
      <c r="P25" s="1" t="str">
        <f aca="false">VLOOKUP(K25,clasif_filas!$A$1:$J$39,6,FALSE())</f>
        <v>Conocimiento, procesos y servicios relacionados</v>
      </c>
      <c r="Q25" s="1" t="n">
        <f aca="false">VLOOKUP(K25,clasif_filas!$A$1:$J$39,7,FALSE())</f>
        <v>2</v>
      </c>
      <c r="R25" s="1" t="str">
        <f aca="false">VLOOKUP(K25,clasif_filas!$A$1:$J$39,8,FALSE())</f>
        <v>Productos alimenticios, bebidas y tabaco; textiles, prendas de vestir y productos de cuero</v>
      </c>
      <c r="S25" s="1" t="n">
        <f aca="false">VLOOKUP(K25,clasif_filas!$A$1:$J$39,9,FALSE())</f>
        <v>1</v>
      </c>
      <c r="T25" s="1" t="str">
        <f aca="false">VLOOKUP(K25,clasif_filas!$A$1:$J$39,10,FALSE())</f>
        <v>Bioeconomía</v>
      </c>
      <c r="U25" s="61"/>
    </row>
    <row r="26" customFormat="false" ht="14.25" hidden="false" customHeight="false" outlineLevel="0" collapsed="false">
      <c r="A26" s="24" t="s">
        <v>51</v>
      </c>
      <c r="B26" s="9" t="s">
        <v>1786</v>
      </c>
      <c r="C26" s="9" t="str">
        <f aca="false">VLOOKUP(B26, AT_FILAS!$A$2:$C$8,2,FALSE())</f>
        <v>Producción</v>
      </c>
      <c r="D26" s="9" t="str">
        <f aca="false">VLOOKUP(B26, AT_FILAS!$A$2:$C$8,3,FALSE())</f>
        <v>P1</v>
      </c>
      <c r="E26" s="9" t="s">
        <v>1851</v>
      </c>
      <c r="F26" s="9" t="s">
        <v>1852</v>
      </c>
      <c r="G26" s="9" t="s">
        <v>1853</v>
      </c>
      <c r="H26" s="9" t="n">
        <v>2</v>
      </c>
      <c r="I26" s="9" t="s">
        <v>1844</v>
      </c>
      <c r="J26" s="9" t="s">
        <v>1814</v>
      </c>
      <c r="K26" s="1" t="n">
        <v>22</v>
      </c>
      <c r="L26" s="1" t="str">
        <f aca="false">VLOOKUP(K26,clasif_filas!$A$1:$J$39,2,FALSE())</f>
        <v>Productos lácteos y productos de huevo</v>
      </c>
      <c r="M26" s="1" t="n">
        <f aca="false">VLOOKUP(K26,clasif_filas!$A$1:$J$39,3,FALSE())</f>
        <v>22</v>
      </c>
      <c r="N26" s="1" t="str">
        <f aca="false">VLOOKUP(K26,clasif_filas!$A$1:$J$39,4,FALSE())</f>
        <v>Productos lácteos y productos de huevo</v>
      </c>
      <c r="O26" s="1" t="n">
        <f aca="false">VLOOKUP(K26,clasif_filas!$A$1:$J$39,5,FALSE())</f>
        <v>6</v>
      </c>
      <c r="P26" s="1" t="str">
        <f aca="false">VLOOKUP(K26,clasif_filas!$A$1:$J$39,6,FALSE())</f>
        <v>Conocimiento, procesos y servicios relacionados</v>
      </c>
      <c r="Q26" s="1" t="n">
        <f aca="false">VLOOKUP(K26,clasif_filas!$A$1:$J$39,7,FALSE())</f>
        <v>2</v>
      </c>
      <c r="R26" s="1" t="str">
        <f aca="false">VLOOKUP(K26,clasif_filas!$A$1:$J$39,8,FALSE())</f>
        <v>Productos alimenticios, bebidas y tabaco; textiles, prendas de vestir y productos de cuero</v>
      </c>
      <c r="S26" s="1" t="n">
        <f aca="false">VLOOKUP(K26,clasif_filas!$A$1:$J$39,9,FALSE())</f>
        <v>1</v>
      </c>
      <c r="T26" s="1" t="str">
        <f aca="false">VLOOKUP(K26,clasif_filas!$A$1:$J$39,10,FALSE())</f>
        <v>Bioeconomía</v>
      </c>
      <c r="U26" s="61"/>
    </row>
    <row r="27" customFormat="false" ht="14.25" hidden="false" customHeight="false" outlineLevel="0" collapsed="false">
      <c r="A27" s="24" t="s">
        <v>53</v>
      </c>
      <c r="B27" s="9" t="s">
        <v>1786</v>
      </c>
      <c r="C27" s="9" t="str">
        <f aca="false">VLOOKUP(B27, AT_FILAS!$A$2:$C$8,2,FALSE())</f>
        <v>Producción</v>
      </c>
      <c r="D27" s="9" t="str">
        <f aca="false">VLOOKUP(B27, AT_FILAS!$A$2:$C$8,3,FALSE())</f>
        <v>P1</v>
      </c>
      <c r="E27" s="9" t="s">
        <v>1854</v>
      </c>
      <c r="F27" s="9" t="s">
        <v>1855</v>
      </c>
      <c r="G27" s="9" t="s">
        <v>1853</v>
      </c>
      <c r="H27" s="9" t="n">
        <v>2</v>
      </c>
      <c r="I27" s="9" t="s">
        <v>1844</v>
      </c>
      <c r="J27" s="9" t="s">
        <v>1814</v>
      </c>
      <c r="K27" s="1" t="n">
        <v>22</v>
      </c>
      <c r="L27" s="1" t="str">
        <f aca="false">VLOOKUP(K27,clasif_filas!$A$1:$J$39,2,FALSE())</f>
        <v>Productos lácteos y productos de huevo</v>
      </c>
      <c r="M27" s="1" t="n">
        <f aca="false">VLOOKUP(K27,clasif_filas!$A$1:$J$39,3,FALSE())</f>
        <v>22</v>
      </c>
      <c r="N27" s="1" t="str">
        <f aca="false">VLOOKUP(K27,clasif_filas!$A$1:$J$39,4,FALSE())</f>
        <v>Productos lácteos y productos de huevo</v>
      </c>
      <c r="O27" s="1" t="n">
        <f aca="false">VLOOKUP(K27,clasif_filas!$A$1:$J$39,5,FALSE())</f>
        <v>6</v>
      </c>
      <c r="P27" s="1" t="str">
        <f aca="false">VLOOKUP(K27,clasif_filas!$A$1:$J$39,6,FALSE())</f>
        <v>Conocimiento, procesos y servicios relacionados</v>
      </c>
      <c r="Q27" s="1" t="n">
        <f aca="false">VLOOKUP(K27,clasif_filas!$A$1:$J$39,7,FALSE())</f>
        <v>2</v>
      </c>
      <c r="R27" s="1" t="str">
        <f aca="false">VLOOKUP(K27,clasif_filas!$A$1:$J$39,8,FALSE())</f>
        <v>Productos alimenticios, bebidas y tabaco; textiles, prendas de vestir y productos de cuero</v>
      </c>
      <c r="S27" s="1" t="n">
        <f aca="false">VLOOKUP(K27,clasif_filas!$A$1:$J$39,9,FALSE())</f>
        <v>1</v>
      </c>
      <c r="T27" s="1" t="str">
        <f aca="false">VLOOKUP(K27,clasif_filas!$A$1:$J$39,10,FALSE())</f>
        <v>Bioeconomía</v>
      </c>
      <c r="U27" s="61"/>
    </row>
    <row r="28" customFormat="false" ht="14.25" hidden="false" customHeight="false" outlineLevel="0" collapsed="false">
      <c r="A28" s="24" t="s">
        <v>55</v>
      </c>
      <c r="B28" s="9" t="s">
        <v>1786</v>
      </c>
      <c r="C28" s="9" t="str">
        <f aca="false">VLOOKUP(B28, AT_FILAS!$A$2:$C$8,2,FALSE())</f>
        <v>Producción</v>
      </c>
      <c r="D28" s="9" t="str">
        <f aca="false">VLOOKUP(B28, AT_FILAS!$A$2:$C$8,3,FALSE())</f>
        <v>P1</v>
      </c>
      <c r="E28" s="9" t="s">
        <v>1856</v>
      </c>
      <c r="F28" s="9" t="s">
        <v>1857</v>
      </c>
      <c r="G28" s="9" t="s">
        <v>1858</v>
      </c>
      <c r="H28" s="9" t="n">
        <v>2</v>
      </c>
      <c r="I28" s="9" t="s">
        <v>1844</v>
      </c>
      <c r="J28" s="9" t="s">
        <v>1814</v>
      </c>
      <c r="K28" s="1" t="n">
        <v>23</v>
      </c>
      <c r="L28" s="1" t="str">
        <f aca="false">VLOOKUP(K28,clasif_filas!$A$1:$J$39,2,FALSE())</f>
        <v>Productos de molienda, productos con almidón o maicena; otros productos de alimenticios</v>
      </c>
      <c r="M28" s="1" t="n">
        <f aca="false">VLOOKUP(K28,clasif_filas!$A$1:$J$39,3,FALSE())</f>
        <v>23</v>
      </c>
      <c r="N28" s="1" t="str">
        <f aca="false">VLOOKUP(K28,clasif_filas!$A$1:$J$39,4,FALSE())</f>
        <v>Productos de molienda, productos con almidón o maicena; otros productos de alimenticios</v>
      </c>
      <c r="O28" s="1" t="n">
        <f aca="false">VLOOKUP(K28,clasif_filas!$A$1:$J$39,5,FALSE())</f>
        <v>6</v>
      </c>
      <c r="P28" s="1" t="str">
        <f aca="false">VLOOKUP(K28,clasif_filas!$A$1:$J$39,6,FALSE())</f>
        <v>Conocimiento, procesos y servicios relacionados</v>
      </c>
      <c r="Q28" s="1" t="n">
        <f aca="false">VLOOKUP(K28,clasif_filas!$A$1:$J$39,7,FALSE())</f>
        <v>2</v>
      </c>
      <c r="R28" s="1" t="str">
        <f aca="false">VLOOKUP(K28,clasif_filas!$A$1:$J$39,8,FALSE())</f>
        <v>Productos alimenticios, bebidas y tabaco; textiles, prendas de vestir y productos de cuero</v>
      </c>
      <c r="S28" s="1" t="n">
        <f aca="false">VLOOKUP(K28,clasif_filas!$A$1:$J$39,9,FALSE())</f>
        <v>1</v>
      </c>
      <c r="T28" s="1" t="str">
        <f aca="false">VLOOKUP(K28,clasif_filas!$A$1:$J$39,10,FALSE())</f>
        <v>Bioeconomía</v>
      </c>
      <c r="U28" s="61"/>
    </row>
    <row r="29" customFormat="false" ht="14.25" hidden="false" customHeight="false" outlineLevel="0" collapsed="false">
      <c r="A29" s="24" t="s">
        <v>57</v>
      </c>
      <c r="B29" s="9" t="s">
        <v>1786</v>
      </c>
      <c r="C29" s="9" t="str">
        <f aca="false">VLOOKUP(B29, AT_FILAS!$A$2:$C$8,2,FALSE())</f>
        <v>Producción</v>
      </c>
      <c r="D29" s="9" t="str">
        <f aca="false">VLOOKUP(B29, AT_FILAS!$A$2:$C$8,3,FALSE())</f>
        <v>P1</v>
      </c>
      <c r="E29" s="9" t="s">
        <v>1859</v>
      </c>
      <c r="F29" s="9" t="s">
        <v>1860</v>
      </c>
      <c r="G29" s="9" t="s">
        <v>1804</v>
      </c>
      <c r="H29" s="9" t="n">
        <v>2</v>
      </c>
      <c r="I29" s="9" t="s">
        <v>1844</v>
      </c>
      <c r="J29" s="9" t="s">
        <v>1814</v>
      </c>
      <c r="K29" s="1" t="n">
        <v>23</v>
      </c>
      <c r="L29" s="1" t="str">
        <f aca="false">VLOOKUP(K29,clasif_filas!$A$1:$J$39,2,FALSE())</f>
        <v>Productos de molienda, productos con almidón o maicena; otros productos de alimenticios</v>
      </c>
      <c r="M29" s="1" t="n">
        <f aca="false">VLOOKUP(K29,clasif_filas!$A$1:$J$39,3,FALSE())</f>
        <v>23</v>
      </c>
      <c r="N29" s="1" t="str">
        <f aca="false">VLOOKUP(K29,clasif_filas!$A$1:$J$39,4,FALSE())</f>
        <v>Productos de molienda, productos con almidón o maicena; otros productos de alimenticios</v>
      </c>
      <c r="O29" s="1" t="n">
        <f aca="false">VLOOKUP(K29,clasif_filas!$A$1:$J$39,5,FALSE())</f>
        <v>6</v>
      </c>
      <c r="P29" s="1" t="str">
        <f aca="false">VLOOKUP(K29,clasif_filas!$A$1:$J$39,6,FALSE())</f>
        <v>Conocimiento, procesos y servicios relacionados</v>
      </c>
      <c r="Q29" s="1" t="n">
        <f aca="false">VLOOKUP(K29,clasif_filas!$A$1:$J$39,7,FALSE())</f>
        <v>2</v>
      </c>
      <c r="R29" s="1" t="str">
        <f aca="false">VLOOKUP(K29,clasif_filas!$A$1:$J$39,8,FALSE())</f>
        <v>Productos alimenticios, bebidas y tabaco; textiles, prendas de vestir y productos de cuero</v>
      </c>
      <c r="S29" s="1" t="n">
        <f aca="false">VLOOKUP(K29,clasif_filas!$A$1:$J$39,9,FALSE())</f>
        <v>1</v>
      </c>
      <c r="T29" s="1" t="str">
        <f aca="false">VLOOKUP(K29,clasif_filas!$A$1:$J$39,10,FALSE())</f>
        <v>Bioeconomía</v>
      </c>
      <c r="U29" s="61"/>
    </row>
    <row r="30" customFormat="false" ht="14.25" hidden="false" customHeight="false" outlineLevel="0" collapsed="false">
      <c r="A30" s="24" t="s">
        <v>59</v>
      </c>
      <c r="B30" s="9" t="s">
        <v>1786</v>
      </c>
      <c r="C30" s="9" t="str">
        <f aca="false">VLOOKUP(B30, AT_FILAS!$A$2:$C$8,2,FALSE())</f>
        <v>Producción</v>
      </c>
      <c r="D30" s="9" t="str">
        <f aca="false">VLOOKUP(B30, AT_FILAS!$A$2:$C$8,3,FALSE())</f>
        <v>P1</v>
      </c>
      <c r="E30" s="9" t="s">
        <v>1861</v>
      </c>
      <c r="F30" s="9" t="s">
        <v>1862</v>
      </c>
      <c r="G30" s="9" t="s">
        <v>1863</v>
      </c>
      <c r="H30" s="9" t="n">
        <v>2</v>
      </c>
      <c r="I30" s="9" t="s">
        <v>1844</v>
      </c>
      <c r="J30" s="9" t="s">
        <v>1814</v>
      </c>
      <c r="K30" s="1" t="n">
        <v>23</v>
      </c>
      <c r="L30" s="1" t="str">
        <f aca="false">VLOOKUP(K30,clasif_filas!$A$1:$J$39,2,FALSE())</f>
        <v>Productos de molienda, productos con almidón o maicena; otros productos de alimenticios</v>
      </c>
      <c r="M30" s="1" t="n">
        <f aca="false">VLOOKUP(K30,clasif_filas!$A$1:$J$39,3,FALSE())</f>
        <v>23</v>
      </c>
      <c r="N30" s="1" t="str">
        <f aca="false">VLOOKUP(K30,clasif_filas!$A$1:$J$39,4,FALSE())</f>
        <v>Productos de molienda, productos con almidón o maicena; otros productos de alimenticios</v>
      </c>
      <c r="O30" s="1" t="n">
        <f aca="false">VLOOKUP(K30,clasif_filas!$A$1:$J$39,5,FALSE())</f>
        <v>6</v>
      </c>
      <c r="P30" s="1" t="str">
        <f aca="false">VLOOKUP(K30,clasif_filas!$A$1:$J$39,6,FALSE())</f>
        <v>Conocimiento, procesos y servicios relacionados</v>
      </c>
      <c r="Q30" s="1" t="n">
        <f aca="false">VLOOKUP(K30,clasif_filas!$A$1:$J$39,7,FALSE())</f>
        <v>2</v>
      </c>
      <c r="R30" s="1" t="str">
        <f aca="false">VLOOKUP(K30,clasif_filas!$A$1:$J$39,8,FALSE())</f>
        <v>Productos alimenticios, bebidas y tabaco; textiles, prendas de vestir y productos de cuero</v>
      </c>
      <c r="S30" s="1" t="n">
        <f aca="false">VLOOKUP(K30,clasif_filas!$A$1:$J$39,9,FALSE())</f>
        <v>1</v>
      </c>
      <c r="T30" s="1" t="str">
        <f aca="false">VLOOKUP(K30,clasif_filas!$A$1:$J$39,10,FALSE())</f>
        <v>Bioeconomía</v>
      </c>
      <c r="U30" s="61"/>
    </row>
    <row r="31" customFormat="false" ht="14.25" hidden="false" customHeight="false" outlineLevel="0" collapsed="false">
      <c r="A31" s="24" t="s">
        <v>61</v>
      </c>
      <c r="B31" s="9" t="s">
        <v>1786</v>
      </c>
      <c r="C31" s="9" t="str">
        <f aca="false">VLOOKUP(B31, AT_FILAS!$A$2:$C$8,2,FALSE())</f>
        <v>Producción</v>
      </c>
      <c r="D31" s="9" t="str">
        <f aca="false">VLOOKUP(B31, AT_FILAS!$A$2:$C$8,3,FALSE())</f>
        <v>P1</v>
      </c>
      <c r="E31" s="9" t="s">
        <v>1864</v>
      </c>
      <c r="F31" s="9" t="s">
        <v>1865</v>
      </c>
      <c r="G31" s="9" t="s">
        <v>1804</v>
      </c>
      <c r="H31" s="9" t="n">
        <v>2</v>
      </c>
      <c r="I31" s="9" t="s">
        <v>1844</v>
      </c>
      <c r="J31" s="9" t="s">
        <v>1814</v>
      </c>
      <c r="K31" s="1" t="n">
        <v>23</v>
      </c>
      <c r="L31" s="1" t="str">
        <f aca="false">VLOOKUP(K31,clasif_filas!$A$1:$J$39,2,FALSE())</f>
        <v>Productos de molienda, productos con almidón o maicena; otros productos de alimenticios</v>
      </c>
      <c r="M31" s="1" t="n">
        <f aca="false">VLOOKUP(K31,clasif_filas!$A$1:$J$39,3,FALSE())</f>
        <v>23</v>
      </c>
      <c r="N31" s="1" t="str">
        <f aca="false">VLOOKUP(K31,clasif_filas!$A$1:$J$39,4,FALSE())</f>
        <v>Productos de molienda, productos con almidón o maicena; otros productos de alimenticios</v>
      </c>
      <c r="O31" s="1" t="n">
        <f aca="false">VLOOKUP(K31,clasif_filas!$A$1:$J$39,5,FALSE())</f>
        <v>6</v>
      </c>
      <c r="P31" s="1" t="str">
        <f aca="false">VLOOKUP(K31,clasif_filas!$A$1:$J$39,6,FALSE())</f>
        <v>Conocimiento, procesos y servicios relacionados</v>
      </c>
      <c r="Q31" s="1" t="n">
        <f aca="false">VLOOKUP(K31,clasif_filas!$A$1:$J$39,7,FALSE())</f>
        <v>2</v>
      </c>
      <c r="R31" s="1" t="str">
        <f aca="false">VLOOKUP(K31,clasif_filas!$A$1:$J$39,8,FALSE())</f>
        <v>Productos alimenticios, bebidas y tabaco; textiles, prendas de vestir y productos de cuero</v>
      </c>
      <c r="S31" s="1" t="n">
        <f aca="false">VLOOKUP(K31,clasif_filas!$A$1:$J$39,9,FALSE())</f>
        <v>1</v>
      </c>
      <c r="T31" s="1" t="str">
        <f aca="false">VLOOKUP(K31,clasif_filas!$A$1:$J$39,10,FALSE())</f>
        <v>Bioeconomía</v>
      </c>
      <c r="U31" s="61"/>
    </row>
    <row r="32" customFormat="false" ht="14.25" hidden="false" customHeight="false" outlineLevel="0" collapsed="false">
      <c r="A32" s="24" t="s">
        <v>63</v>
      </c>
      <c r="B32" s="9" t="s">
        <v>1786</v>
      </c>
      <c r="C32" s="9" t="str">
        <f aca="false">VLOOKUP(B32, AT_FILAS!$A$2:$C$8,2,FALSE())</f>
        <v>Producción</v>
      </c>
      <c r="D32" s="9" t="str">
        <f aca="false">VLOOKUP(B32, AT_FILAS!$A$2:$C$8,3,FALSE())</f>
        <v>P1</v>
      </c>
      <c r="E32" s="9" t="s">
        <v>1866</v>
      </c>
      <c r="F32" s="9" t="s">
        <v>1867</v>
      </c>
      <c r="G32" s="9" t="s">
        <v>1868</v>
      </c>
      <c r="H32" s="9" t="n">
        <v>2</v>
      </c>
      <c r="I32" s="9" t="s">
        <v>1844</v>
      </c>
      <c r="J32" s="9" t="s">
        <v>1814</v>
      </c>
      <c r="K32" s="1" t="n">
        <v>23</v>
      </c>
      <c r="L32" s="1" t="str">
        <f aca="false">VLOOKUP(K32,clasif_filas!$A$1:$J$39,2,FALSE())</f>
        <v>Productos de molienda, productos con almidón o maicena; otros productos de alimenticios</v>
      </c>
      <c r="M32" s="1" t="n">
        <f aca="false">VLOOKUP(K32,clasif_filas!$A$1:$J$39,3,FALSE())</f>
        <v>23</v>
      </c>
      <c r="N32" s="1" t="str">
        <f aca="false">VLOOKUP(K32,clasif_filas!$A$1:$J$39,4,FALSE())</f>
        <v>Productos de molienda, productos con almidón o maicena; otros productos de alimenticios</v>
      </c>
      <c r="O32" s="1" t="n">
        <f aca="false">VLOOKUP(K32,clasif_filas!$A$1:$J$39,5,FALSE())</f>
        <v>6</v>
      </c>
      <c r="P32" s="1" t="str">
        <f aca="false">VLOOKUP(K32,clasif_filas!$A$1:$J$39,6,FALSE())</f>
        <v>Conocimiento, procesos y servicios relacionados</v>
      </c>
      <c r="Q32" s="1" t="n">
        <f aca="false">VLOOKUP(K32,clasif_filas!$A$1:$J$39,7,FALSE())</f>
        <v>2</v>
      </c>
      <c r="R32" s="1" t="str">
        <f aca="false">VLOOKUP(K32,clasif_filas!$A$1:$J$39,8,FALSE())</f>
        <v>Productos alimenticios, bebidas y tabaco; textiles, prendas de vestir y productos de cuero</v>
      </c>
      <c r="S32" s="1" t="n">
        <f aca="false">VLOOKUP(K32,clasif_filas!$A$1:$J$39,9,FALSE())</f>
        <v>1</v>
      </c>
      <c r="T32" s="1" t="str">
        <f aca="false">VLOOKUP(K32,clasif_filas!$A$1:$J$39,10,FALSE())</f>
        <v>Bioeconomía</v>
      </c>
      <c r="U32" s="61"/>
    </row>
    <row r="33" customFormat="false" ht="14.25" hidden="false" customHeight="false" outlineLevel="0" collapsed="false">
      <c r="A33" s="24" t="s">
        <v>65</v>
      </c>
      <c r="B33" s="9" t="s">
        <v>1786</v>
      </c>
      <c r="C33" s="9" t="str">
        <f aca="false">VLOOKUP(B33, AT_FILAS!$A$2:$C$8,2,FALSE())</f>
        <v>Producción</v>
      </c>
      <c r="D33" s="9" t="str">
        <f aca="false">VLOOKUP(B33, AT_FILAS!$A$2:$C$8,3,FALSE())</f>
        <v>P1</v>
      </c>
      <c r="E33" s="9" t="s">
        <v>1869</v>
      </c>
      <c r="F33" s="9" t="s">
        <v>1870</v>
      </c>
      <c r="G33" s="9" t="s">
        <v>1868</v>
      </c>
      <c r="H33" s="9" t="n">
        <v>2</v>
      </c>
      <c r="I33" s="9" t="s">
        <v>1844</v>
      </c>
      <c r="J33" s="9" t="s">
        <v>1814</v>
      </c>
      <c r="K33" s="1" t="n">
        <v>23</v>
      </c>
      <c r="L33" s="1" t="str">
        <f aca="false">VLOOKUP(K33,clasif_filas!$A$1:$J$39,2,FALSE())</f>
        <v>Productos de molienda, productos con almidón o maicena; otros productos de alimenticios</v>
      </c>
      <c r="M33" s="1" t="n">
        <f aca="false">VLOOKUP(K33,clasif_filas!$A$1:$J$39,3,FALSE())</f>
        <v>23</v>
      </c>
      <c r="N33" s="1" t="str">
        <f aca="false">VLOOKUP(K33,clasif_filas!$A$1:$J$39,4,FALSE())</f>
        <v>Productos de molienda, productos con almidón o maicena; otros productos de alimenticios</v>
      </c>
      <c r="O33" s="1" t="n">
        <f aca="false">VLOOKUP(K33,clasif_filas!$A$1:$J$39,5,FALSE())</f>
        <v>6</v>
      </c>
      <c r="P33" s="1" t="str">
        <f aca="false">VLOOKUP(K33,clasif_filas!$A$1:$J$39,6,FALSE())</f>
        <v>Conocimiento, procesos y servicios relacionados</v>
      </c>
      <c r="Q33" s="1" t="n">
        <f aca="false">VLOOKUP(K33,clasif_filas!$A$1:$J$39,7,FALSE())</f>
        <v>2</v>
      </c>
      <c r="R33" s="1" t="str">
        <f aca="false">VLOOKUP(K33,clasif_filas!$A$1:$J$39,8,FALSE())</f>
        <v>Productos alimenticios, bebidas y tabaco; textiles, prendas de vestir y productos de cuero</v>
      </c>
      <c r="S33" s="1" t="n">
        <f aca="false">VLOOKUP(K33,clasif_filas!$A$1:$J$39,9,FALSE())</f>
        <v>1</v>
      </c>
      <c r="T33" s="1" t="str">
        <f aca="false">VLOOKUP(K33,clasif_filas!$A$1:$J$39,10,FALSE())</f>
        <v>Bioeconomía</v>
      </c>
      <c r="U33" s="61"/>
    </row>
    <row r="34" customFormat="false" ht="14.25" hidden="false" customHeight="false" outlineLevel="0" collapsed="false">
      <c r="A34" s="24" t="s">
        <v>67</v>
      </c>
      <c r="B34" s="9" t="s">
        <v>1786</v>
      </c>
      <c r="C34" s="9" t="str">
        <f aca="false">VLOOKUP(B34, AT_FILAS!$A$2:$C$8,2,FALSE())</f>
        <v>Producción</v>
      </c>
      <c r="D34" s="9" t="str">
        <f aca="false">VLOOKUP(B34, AT_FILAS!$A$2:$C$8,3,FALSE())</f>
        <v>P1</v>
      </c>
      <c r="E34" s="9" t="s">
        <v>1871</v>
      </c>
      <c r="F34" s="9" t="s">
        <v>1872</v>
      </c>
      <c r="G34" s="9" t="s">
        <v>1873</v>
      </c>
      <c r="H34" s="9" t="n">
        <v>2</v>
      </c>
      <c r="I34" s="9" t="s">
        <v>1844</v>
      </c>
      <c r="J34" s="9" t="s">
        <v>1873</v>
      </c>
      <c r="K34" s="1" t="n">
        <v>23</v>
      </c>
      <c r="L34" s="1" t="str">
        <f aca="false">VLOOKUP(K34,clasif_filas!$A$1:$J$39,2,FALSE())</f>
        <v>Productos de molienda, productos con almidón o maicena; otros productos de alimenticios</v>
      </c>
      <c r="M34" s="1" t="n">
        <f aca="false">VLOOKUP(K34,clasif_filas!$A$1:$J$39,3,FALSE())</f>
        <v>23</v>
      </c>
      <c r="N34" s="1" t="str">
        <f aca="false">VLOOKUP(K34,clasif_filas!$A$1:$J$39,4,FALSE())</f>
        <v>Productos de molienda, productos con almidón o maicena; otros productos de alimenticios</v>
      </c>
      <c r="O34" s="1" t="n">
        <f aca="false">VLOOKUP(K34,clasif_filas!$A$1:$J$39,5,FALSE())</f>
        <v>6</v>
      </c>
      <c r="P34" s="1" t="str">
        <f aca="false">VLOOKUP(K34,clasif_filas!$A$1:$J$39,6,FALSE())</f>
        <v>Conocimiento, procesos y servicios relacionados</v>
      </c>
      <c r="Q34" s="1" t="n">
        <f aca="false">VLOOKUP(K34,clasif_filas!$A$1:$J$39,7,FALSE())</f>
        <v>2</v>
      </c>
      <c r="R34" s="1" t="str">
        <f aca="false">VLOOKUP(K34,clasif_filas!$A$1:$J$39,8,FALSE())</f>
        <v>Productos alimenticios, bebidas y tabaco; textiles, prendas de vestir y productos de cuero</v>
      </c>
      <c r="S34" s="1" t="n">
        <f aca="false">VLOOKUP(K34,clasif_filas!$A$1:$J$39,9,FALSE())</f>
        <v>1</v>
      </c>
      <c r="T34" s="1" t="str">
        <f aca="false">VLOOKUP(K34,clasif_filas!$A$1:$J$39,10,FALSE())</f>
        <v>Bioeconomía</v>
      </c>
      <c r="U34" s="61"/>
    </row>
    <row r="35" customFormat="false" ht="14.25" hidden="false" customHeight="false" outlineLevel="0" collapsed="false">
      <c r="A35" s="24" t="s">
        <v>69</v>
      </c>
      <c r="B35" s="9" t="s">
        <v>1786</v>
      </c>
      <c r="C35" s="9" t="str">
        <f aca="false">VLOOKUP(B35, AT_FILAS!$A$2:$C$8,2,FALSE())</f>
        <v>Producción</v>
      </c>
      <c r="D35" s="9" t="str">
        <f aca="false">VLOOKUP(B35, AT_FILAS!$A$2:$C$8,3,FALSE())</f>
        <v>P1</v>
      </c>
      <c r="E35" s="9" t="s">
        <v>1874</v>
      </c>
      <c r="F35" s="9" t="s">
        <v>1875</v>
      </c>
      <c r="G35" s="9" t="s">
        <v>1804</v>
      </c>
      <c r="H35" s="9" t="n">
        <v>2</v>
      </c>
      <c r="I35" s="9" t="s">
        <v>1844</v>
      </c>
      <c r="J35" s="9" t="s">
        <v>1814</v>
      </c>
      <c r="K35" s="1" t="n">
        <v>23</v>
      </c>
      <c r="L35" s="1" t="str">
        <f aca="false">VLOOKUP(K35,clasif_filas!$A$1:$J$39,2,FALSE())</f>
        <v>Productos de molienda, productos con almidón o maicena; otros productos de alimenticios</v>
      </c>
      <c r="M35" s="1" t="n">
        <f aca="false">VLOOKUP(K35,clasif_filas!$A$1:$J$39,3,FALSE())</f>
        <v>23</v>
      </c>
      <c r="N35" s="1" t="str">
        <f aca="false">VLOOKUP(K35,clasif_filas!$A$1:$J$39,4,FALSE())</f>
        <v>Productos de molienda, productos con almidón o maicena; otros productos de alimenticios</v>
      </c>
      <c r="O35" s="1" t="n">
        <f aca="false">VLOOKUP(K35,clasif_filas!$A$1:$J$39,5,FALSE())</f>
        <v>6</v>
      </c>
      <c r="P35" s="1" t="str">
        <f aca="false">VLOOKUP(K35,clasif_filas!$A$1:$J$39,6,FALSE())</f>
        <v>Conocimiento, procesos y servicios relacionados</v>
      </c>
      <c r="Q35" s="1" t="n">
        <f aca="false">VLOOKUP(K35,clasif_filas!$A$1:$J$39,7,FALSE())</f>
        <v>2</v>
      </c>
      <c r="R35" s="1" t="str">
        <f aca="false">VLOOKUP(K35,clasif_filas!$A$1:$J$39,8,FALSE())</f>
        <v>Productos alimenticios, bebidas y tabaco; textiles, prendas de vestir y productos de cuero</v>
      </c>
      <c r="S35" s="1" t="n">
        <f aca="false">VLOOKUP(K35,clasif_filas!$A$1:$J$39,9,FALSE())</f>
        <v>1</v>
      </c>
      <c r="T35" s="1" t="str">
        <f aca="false">VLOOKUP(K35,clasif_filas!$A$1:$J$39,10,FALSE())</f>
        <v>Bioeconomía</v>
      </c>
      <c r="U35" s="61"/>
    </row>
    <row r="36" customFormat="false" ht="14.25" hidden="false" customHeight="false" outlineLevel="0" collapsed="false">
      <c r="A36" s="24" t="s">
        <v>71</v>
      </c>
      <c r="B36" s="9" t="s">
        <v>1786</v>
      </c>
      <c r="C36" s="9" t="str">
        <f aca="false">VLOOKUP(B36, AT_FILAS!$A$2:$C$8,2,FALSE())</f>
        <v>Producción</v>
      </c>
      <c r="D36" s="9" t="str">
        <f aca="false">VLOOKUP(B36, AT_FILAS!$A$2:$C$8,3,FALSE())</f>
        <v>P1</v>
      </c>
      <c r="E36" s="9" t="s">
        <v>1876</v>
      </c>
      <c r="F36" s="9" t="s">
        <v>1877</v>
      </c>
      <c r="G36" s="9" t="s">
        <v>1878</v>
      </c>
      <c r="H36" s="9" t="n">
        <v>2</v>
      </c>
      <c r="I36" s="9" t="s">
        <v>1844</v>
      </c>
      <c r="J36" s="9" t="s">
        <v>1814</v>
      </c>
      <c r="K36" s="1" t="n">
        <v>24</v>
      </c>
      <c r="L36" s="1" t="str">
        <f aca="false">VLOOKUP(K36,clasif_filas!$A$1:$J$39,2,FALSE())</f>
        <v>Bebidas</v>
      </c>
      <c r="M36" s="1" t="n">
        <f aca="false">VLOOKUP(K36,clasif_filas!$A$1:$J$39,3,FALSE())</f>
        <v>24</v>
      </c>
      <c r="N36" s="1" t="str">
        <f aca="false">VLOOKUP(K36,clasif_filas!$A$1:$J$39,4,FALSE())</f>
        <v>Bebidas</v>
      </c>
      <c r="O36" s="1" t="n">
        <f aca="false">VLOOKUP(K36,clasif_filas!$A$1:$J$39,5,FALSE())</f>
        <v>6</v>
      </c>
      <c r="P36" s="1" t="str">
        <f aca="false">VLOOKUP(K36,clasif_filas!$A$1:$J$39,6,FALSE())</f>
        <v>Conocimiento, procesos y servicios relacionados</v>
      </c>
      <c r="Q36" s="1" t="n">
        <f aca="false">VLOOKUP(K36,clasif_filas!$A$1:$J$39,7,FALSE())</f>
        <v>2</v>
      </c>
      <c r="R36" s="1" t="str">
        <f aca="false">VLOOKUP(K36,clasif_filas!$A$1:$J$39,8,FALSE())</f>
        <v>Productos alimenticios, bebidas y tabaco; textiles, prendas de vestir y productos de cuero</v>
      </c>
      <c r="S36" s="1" t="n">
        <f aca="false">VLOOKUP(K36,clasif_filas!$A$1:$J$39,9,FALSE())</f>
        <v>1</v>
      </c>
      <c r="T36" s="1" t="str">
        <f aca="false">VLOOKUP(K36,clasif_filas!$A$1:$J$39,10,FALSE())</f>
        <v>Bioeconomía</v>
      </c>
      <c r="U36" s="61"/>
    </row>
    <row r="37" customFormat="false" ht="14.25" hidden="false" customHeight="false" outlineLevel="0" collapsed="false">
      <c r="A37" s="24" t="s">
        <v>73</v>
      </c>
      <c r="B37" s="9" t="s">
        <v>1786</v>
      </c>
      <c r="C37" s="9" t="str">
        <f aca="false">VLOOKUP(B37, AT_FILAS!$A$2:$C$8,2,FALSE())</f>
        <v>Producción</v>
      </c>
      <c r="D37" s="9" t="str">
        <f aca="false">VLOOKUP(B37, AT_FILAS!$A$2:$C$8,3,FALSE())</f>
        <v>P1</v>
      </c>
      <c r="E37" s="9" t="s">
        <v>1879</v>
      </c>
      <c r="F37" s="9" t="s">
        <v>1880</v>
      </c>
      <c r="G37" s="9" t="s">
        <v>1881</v>
      </c>
      <c r="H37" s="9" t="n">
        <v>2</v>
      </c>
      <c r="I37" s="9" t="s">
        <v>1844</v>
      </c>
      <c r="J37" s="9" t="s">
        <v>1881</v>
      </c>
      <c r="K37" s="1" t="n">
        <v>25</v>
      </c>
      <c r="L37" s="1" t="str">
        <f aca="false">VLOOKUP(K37,clasif_filas!$A$1:$J$39,2,FALSE())</f>
        <v>Productos del tabaco</v>
      </c>
      <c r="M37" s="1" t="n">
        <f aca="false">VLOOKUP(K37,clasif_filas!$A$1:$J$39,3,FALSE())</f>
        <v>25</v>
      </c>
      <c r="N37" s="1" t="str">
        <f aca="false">VLOOKUP(K37,clasif_filas!$A$1:$J$39,4,FALSE())</f>
        <v>Productos del tabaco</v>
      </c>
      <c r="O37" s="1" t="n">
        <f aca="false">VLOOKUP(K37,clasif_filas!$A$1:$J$39,5,FALSE())</f>
        <v>6</v>
      </c>
      <c r="P37" s="1" t="str">
        <f aca="false">VLOOKUP(K37,clasif_filas!$A$1:$J$39,6,FALSE())</f>
        <v>Conocimiento, procesos y servicios relacionados</v>
      </c>
      <c r="Q37" s="1" t="n">
        <f aca="false">VLOOKUP(K37,clasif_filas!$A$1:$J$39,7,FALSE())</f>
        <v>2</v>
      </c>
      <c r="R37" s="1" t="str">
        <f aca="false">VLOOKUP(K37,clasif_filas!$A$1:$J$39,8,FALSE())</f>
        <v>Productos alimenticios, bebidas y tabaco; textiles, prendas de vestir y productos de cuero</v>
      </c>
      <c r="S37" s="1" t="n">
        <f aca="false">VLOOKUP(K37,clasif_filas!$A$1:$J$39,9,FALSE())</f>
        <v>1</v>
      </c>
      <c r="T37" s="1" t="str">
        <f aca="false">VLOOKUP(K37,clasif_filas!$A$1:$J$39,10,FALSE())</f>
        <v>Bioeconomía</v>
      </c>
      <c r="U37" s="61"/>
    </row>
    <row r="38" customFormat="false" ht="14.25" hidden="false" customHeight="false" outlineLevel="0" collapsed="false">
      <c r="A38" s="24" t="s">
        <v>75</v>
      </c>
      <c r="B38" s="9" t="s">
        <v>1786</v>
      </c>
      <c r="C38" s="9" t="str">
        <f aca="false">VLOOKUP(B38, AT_FILAS!$A$2:$C$8,2,FALSE())</f>
        <v>Producción</v>
      </c>
      <c r="D38" s="9" t="str">
        <f aca="false">VLOOKUP(B38, AT_FILAS!$A$2:$C$8,3,FALSE())</f>
        <v>P1</v>
      </c>
      <c r="E38" s="9" t="s">
        <v>1882</v>
      </c>
      <c r="F38" s="9" t="s">
        <v>1883</v>
      </c>
      <c r="G38" s="9" t="s">
        <v>1884</v>
      </c>
      <c r="H38" s="9" t="n">
        <v>2</v>
      </c>
      <c r="I38" s="9" t="s">
        <v>1844</v>
      </c>
      <c r="J38" s="9" t="s">
        <v>1884</v>
      </c>
      <c r="K38" s="1" t="n">
        <v>26</v>
      </c>
      <c r="L38" s="1" t="str">
        <f aca="false">VLOOKUP(K38,clasif_filas!$A$1:$J$39,2,FALSE())</f>
        <v>Hilados e hilos; tejidos y telas afelpadas</v>
      </c>
      <c r="M38" s="1" t="n">
        <f aca="false">VLOOKUP(K38,clasif_filas!$A$1:$J$39,3,FALSE())</f>
        <v>26</v>
      </c>
      <c r="N38" s="1" t="str">
        <f aca="false">VLOOKUP(K38,clasif_filas!$A$1:$J$39,4,FALSE())</f>
        <v>Hilados e hilos; tejidos y telas afelpadas</v>
      </c>
      <c r="O38" s="1" t="n">
        <f aca="false">VLOOKUP(K38,clasif_filas!$A$1:$J$39,5,FALSE())</f>
        <v>6</v>
      </c>
      <c r="P38" s="1" t="str">
        <f aca="false">VLOOKUP(K38,clasif_filas!$A$1:$J$39,6,FALSE())</f>
        <v>Conocimiento, procesos y servicios relacionados</v>
      </c>
      <c r="Q38" s="1" t="n">
        <f aca="false">VLOOKUP(K38,clasif_filas!$A$1:$J$39,7,FALSE())</f>
        <v>2</v>
      </c>
      <c r="R38" s="1" t="str">
        <f aca="false">VLOOKUP(K38,clasif_filas!$A$1:$J$39,8,FALSE())</f>
        <v>Productos alimenticios, bebidas y tabaco; textiles, prendas de vestir y productos de cuero</v>
      </c>
      <c r="S38" s="1" t="n">
        <f aca="false">VLOOKUP(K38,clasif_filas!$A$1:$J$39,9,FALSE())</f>
        <v>2</v>
      </c>
      <c r="T38" s="1" t="str">
        <f aca="false">VLOOKUP(K38,clasif_filas!$A$1:$J$39,10,FALSE())</f>
        <v>Bioeconomía extendida</v>
      </c>
      <c r="U38" s="61"/>
    </row>
    <row r="39" customFormat="false" ht="14.25" hidden="false" customHeight="false" outlineLevel="0" collapsed="false">
      <c r="A39" s="24" t="s">
        <v>77</v>
      </c>
      <c r="B39" s="9" t="s">
        <v>1786</v>
      </c>
      <c r="C39" s="9" t="str">
        <f aca="false">VLOOKUP(B39, AT_FILAS!$A$2:$C$8,2,FALSE())</f>
        <v>Producción</v>
      </c>
      <c r="D39" s="9" t="str">
        <f aca="false">VLOOKUP(B39, AT_FILAS!$A$2:$C$8,3,FALSE())</f>
        <v>P1</v>
      </c>
      <c r="E39" s="9" t="s">
        <v>1885</v>
      </c>
      <c r="F39" s="9" t="s">
        <v>1886</v>
      </c>
      <c r="G39" s="9" t="s">
        <v>1884</v>
      </c>
      <c r="H39" s="9" t="n">
        <v>2</v>
      </c>
      <c r="I39" s="9" t="s">
        <v>1844</v>
      </c>
      <c r="J39" s="9" t="s">
        <v>1884</v>
      </c>
      <c r="K39" s="1" t="n">
        <v>26</v>
      </c>
      <c r="L39" s="1" t="str">
        <f aca="false">VLOOKUP(K39,clasif_filas!$A$1:$J$39,2,FALSE())</f>
        <v>Hilados e hilos; tejidos y telas afelpadas</v>
      </c>
      <c r="M39" s="1" t="n">
        <f aca="false">VLOOKUP(K39,clasif_filas!$A$1:$J$39,3,FALSE())</f>
        <v>26</v>
      </c>
      <c r="N39" s="1" t="str">
        <f aca="false">VLOOKUP(K39,clasif_filas!$A$1:$J$39,4,FALSE())</f>
        <v>Hilados e hilos; tejidos y telas afelpadas</v>
      </c>
      <c r="O39" s="1" t="n">
        <f aca="false">VLOOKUP(K39,clasif_filas!$A$1:$J$39,5,FALSE())</f>
        <v>6</v>
      </c>
      <c r="P39" s="1" t="str">
        <f aca="false">VLOOKUP(K39,clasif_filas!$A$1:$J$39,6,FALSE())</f>
        <v>Conocimiento, procesos y servicios relacionados</v>
      </c>
      <c r="Q39" s="1" t="n">
        <f aca="false">VLOOKUP(K39,clasif_filas!$A$1:$J$39,7,FALSE())</f>
        <v>2</v>
      </c>
      <c r="R39" s="1" t="str">
        <f aca="false">VLOOKUP(K39,clasif_filas!$A$1:$J$39,8,FALSE())</f>
        <v>Productos alimenticios, bebidas y tabaco; textiles, prendas de vestir y productos de cuero</v>
      </c>
      <c r="S39" s="1" t="n">
        <f aca="false">VLOOKUP(K39,clasif_filas!$A$1:$J$39,9,FALSE())</f>
        <v>2</v>
      </c>
      <c r="T39" s="1" t="str">
        <f aca="false">VLOOKUP(K39,clasif_filas!$A$1:$J$39,10,FALSE())</f>
        <v>Bioeconomía extendida</v>
      </c>
      <c r="U39" s="61"/>
    </row>
    <row r="40" customFormat="false" ht="14.25" hidden="false" customHeight="false" outlineLevel="0" collapsed="false">
      <c r="A40" s="24" t="s">
        <v>79</v>
      </c>
      <c r="B40" s="9" t="s">
        <v>1786</v>
      </c>
      <c r="C40" s="9" t="str">
        <f aca="false">VLOOKUP(B40, AT_FILAS!$A$2:$C$8,2,FALSE())</f>
        <v>Producción</v>
      </c>
      <c r="D40" s="9" t="str">
        <f aca="false">VLOOKUP(B40, AT_FILAS!$A$2:$C$8,3,FALSE())</f>
        <v>P1</v>
      </c>
      <c r="E40" s="9" t="s">
        <v>1887</v>
      </c>
      <c r="F40" s="9" t="s">
        <v>1888</v>
      </c>
      <c r="G40" s="9" t="s">
        <v>1884</v>
      </c>
      <c r="H40" s="9" t="n">
        <v>2</v>
      </c>
      <c r="I40" s="9" t="s">
        <v>1844</v>
      </c>
      <c r="J40" s="9" t="s">
        <v>1884</v>
      </c>
      <c r="K40" s="1" t="n">
        <v>26</v>
      </c>
      <c r="L40" s="1" t="str">
        <f aca="false">VLOOKUP(K40,clasif_filas!$A$1:$J$39,2,FALSE())</f>
        <v>Hilados e hilos; tejidos y telas afelpadas</v>
      </c>
      <c r="M40" s="1" t="n">
        <f aca="false">VLOOKUP(K40,clasif_filas!$A$1:$J$39,3,FALSE())</f>
        <v>26</v>
      </c>
      <c r="N40" s="1" t="str">
        <f aca="false">VLOOKUP(K40,clasif_filas!$A$1:$J$39,4,FALSE())</f>
        <v>Hilados e hilos; tejidos y telas afelpadas</v>
      </c>
      <c r="O40" s="1" t="n">
        <f aca="false">VLOOKUP(K40,clasif_filas!$A$1:$J$39,5,FALSE())</f>
        <v>6</v>
      </c>
      <c r="P40" s="1" t="str">
        <f aca="false">VLOOKUP(K40,clasif_filas!$A$1:$J$39,6,FALSE())</f>
        <v>Conocimiento, procesos y servicios relacionados</v>
      </c>
      <c r="Q40" s="1" t="n">
        <f aca="false">VLOOKUP(K40,clasif_filas!$A$1:$J$39,7,FALSE())</f>
        <v>2</v>
      </c>
      <c r="R40" s="1" t="str">
        <f aca="false">VLOOKUP(K40,clasif_filas!$A$1:$J$39,8,FALSE())</f>
        <v>Productos alimenticios, bebidas y tabaco; textiles, prendas de vestir y productos de cuero</v>
      </c>
      <c r="S40" s="1" t="n">
        <f aca="false">VLOOKUP(K40,clasif_filas!$A$1:$J$39,9,FALSE())</f>
        <v>2</v>
      </c>
      <c r="T40" s="1" t="str">
        <f aca="false">VLOOKUP(K40,clasif_filas!$A$1:$J$39,10,FALSE())</f>
        <v>Bioeconomía extendida</v>
      </c>
      <c r="U40" s="61"/>
    </row>
    <row r="41" customFormat="false" ht="14.25" hidden="false" customHeight="false" outlineLevel="0" collapsed="false">
      <c r="A41" s="24" t="s">
        <v>81</v>
      </c>
      <c r="B41" s="9" t="s">
        <v>1786</v>
      </c>
      <c r="C41" s="9" t="str">
        <f aca="false">VLOOKUP(B41, AT_FILAS!$A$2:$C$8,2,FALSE())</f>
        <v>Producción</v>
      </c>
      <c r="D41" s="9" t="str">
        <f aca="false">VLOOKUP(B41, AT_FILAS!$A$2:$C$8,3,FALSE())</f>
        <v>P1</v>
      </c>
      <c r="E41" s="9" t="s">
        <v>1889</v>
      </c>
      <c r="F41" s="9" t="s">
        <v>1890</v>
      </c>
      <c r="G41" s="9" t="s">
        <v>1884</v>
      </c>
      <c r="H41" s="9" t="n">
        <v>2</v>
      </c>
      <c r="I41" s="9" t="s">
        <v>1844</v>
      </c>
      <c r="J41" s="9" t="s">
        <v>1884</v>
      </c>
      <c r="K41" s="1" t="n">
        <v>26</v>
      </c>
      <c r="L41" s="1" t="str">
        <f aca="false">VLOOKUP(K41,clasif_filas!$A$1:$J$39,2,FALSE())</f>
        <v>Hilados e hilos; tejidos y telas afelpadas</v>
      </c>
      <c r="M41" s="1" t="n">
        <f aca="false">VLOOKUP(K41,clasif_filas!$A$1:$J$39,3,FALSE())</f>
        <v>26</v>
      </c>
      <c r="N41" s="1" t="str">
        <f aca="false">VLOOKUP(K41,clasif_filas!$A$1:$J$39,4,FALSE())</f>
        <v>Hilados e hilos; tejidos y telas afelpadas</v>
      </c>
      <c r="O41" s="1" t="n">
        <f aca="false">VLOOKUP(K41,clasif_filas!$A$1:$J$39,5,FALSE())</f>
        <v>6</v>
      </c>
      <c r="P41" s="1" t="str">
        <f aca="false">VLOOKUP(K41,clasif_filas!$A$1:$J$39,6,FALSE())</f>
        <v>Conocimiento, procesos y servicios relacionados</v>
      </c>
      <c r="Q41" s="1" t="n">
        <f aca="false">VLOOKUP(K41,clasif_filas!$A$1:$J$39,7,FALSE())</f>
        <v>2</v>
      </c>
      <c r="R41" s="1" t="str">
        <f aca="false">VLOOKUP(K41,clasif_filas!$A$1:$J$39,8,FALSE())</f>
        <v>Productos alimenticios, bebidas y tabaco; textiles, prendas de vestir y productos de cuero</v>
      </c>
      <c r="S41" s="1" t="n">
        <f aca="false">VLOOKUP(K41,clasif_filas!$A$1:$J$39,9,FALSE())</f>
        <v>2</v>
      </c>
      <c r="T41" s="1" t="str">
        <f aca="false">VLOOKUP(K41,clasif_filas!$A$1:$J$39,10,FALSE())</f>
        <v>Bioeconomía extendida</v>
      </c>
      <c r="U41" s="61"/>
    </row>
    <row r="42" customFormat="false" ht="14.25" hidden="false" customHeight="false" outlineLevel="0" collapsed="false">
      <c r="A42" s="24" t="s">
        <v>83</v>
      </c>
      <c r="B42" s="9" t="s">
        <v>1786</v>
      </c>
      <c r="C42" s="9" t="str">
        <f aca="false">VLOOKUP(B42, AT_FILAS!$A$2:$C$8,2,FALSE())</f>
        <v>Producción</v>
      </c>
      <c r="D42" s="9" t="str">
        <f aca="false">VLOOKUP(B42, AT_FILAS!$A$2:$C$8,3,FALSE())</f>
        <v>P1</v>
      </c>
      <c r="E42" s="9" t="s">
        <v>1891</v>
      </c>
      <c r="F42" s="9" t="s">
        <v>1892</v>
      </c>
      <c r="G42" s="9" t="s">
        <v>1884</v>
      </c>
      <c r="H42" s="9" t="n">
        <v>2</v>
      </c>
      <c r="I42" s="9" t="s">
        <v>1844</v>
      </c>
      <c r="J42" s="9" t="s">
        <v>1884</v>
      </c>
      <c r="K42" s="1" t="n">
        <v>29</v>
      </c>
      <c r="L42" s="1" t="str">
        <f aca="false">VLOOKUP(K42,clasif_filas!$A$1:$J$39,2,FALSE())</f>
        <v>Cuero y productos de cuero; calzado</v>
      </c>
      <c r="M42" s="1" t="n">
        <f aca="false">VLOOKUP(K42,clasif_filas!$A$1:$J$39,3,FALSE())</f>
        <v>29</v>
      </c>
      <c r="N42" s="1" t="str">
        <f aca="false">VLOOKUP(K42,clasif_filas!$A$1:$J$39,4,FALSE())</f>
        <v>Cuero y productos de cuero; calzado</v>
      </c>
      <c r="O42" s="1" t="n">
        <f aca="false">VLOOKUP(K42,clasif_filas!$A$1:$J$39,5,FALSE())</f>
        <v>6</v>
      </c>
      <c r="P42" s="1" t="str">
        <f aca="false">VLOOKUP(K42,clasif_filas!$A$1:$J$39,6,FALSE())</f>
        <v>Conocimiento, procesos y servicios relacionados</v>
      </c>
      <c r="Q42" s="1" t="n">
        <f aca="false">VLOOKUP(K42,clasif_filas!$A$1:$J$39,7,FALSE())</f>
        <v>2</v>
      </c>
      <c r="R42" s="1" t="str">
        <f aca="false">VLOOKUP(K42,clasif_filas!$A$1:$J$39,8,FALSE())</f>
        <v>Productos alimenticios, bebidas y tabaco; textiles, prendas de vestir y productos de cuero</v>
      </c>
      <c r="S42" s="1" t="n">
        <f aca="false">VLOOKUP(K42,clasif_filas!$A$1:$J$39,9,FALSE())</f>
        <v>2</v>
      </c>
      <c r="T42" s="1" t="str">
        <f aca="false">VLOOKUP(K42,clasif_filas!$A$1:$J$39,10,FALSE())</f>
        <v>Bioeconomía extendida</v>
      </c>
      <c r="U42" s="61"/>
    </row>
    <row r="43" customFormat="false" ht="14.25" hidden="false" customHeight="false" outlineLevel="0" collapsed="false">
      <c r="A43" s="24" t="s">
        <v>85</v>
      </c>
      <c r="B43" s="9" t="s">
        <v>1786</v>
      </c>
      <c r="C43" s="9" t="str">
        <f aca="false">VLOOKUP(B43, AT_FILAS!$A$2:$C$8,2,FALSE())</f>
        <v>Producción</v>
      </c>
      <c r="D43" s="9" t="str">
        <f aca="false">VLOOKUP(B43, AT_FILAS!$A$2:$C$8,3,FALSE())</f>
        <v>P1</v>
      </c>
      <c r="E43" s="9" t="s">
        <v>1893</v>
      </c>
      <c r="F43" s="9" t="s">
        <v>1894</v>
      </c>
      <c r="G43" s="9" t="s">
        <v>1895</v>
      </c>
      <c r="H43" s="9" t="n">
        <v>2</v>
      </c>
      <c r="I43" s="9" t="s">
        <v>1844</v>
      </c>
      <c r="J43" s="9" t="s">
        <v>1895</v>
      </c>
      <c r="K43" s="1" t="n">
        <v>31</v>
      </c>
      <c r="L43" s="1" t="str">
        <f aca="false">VLOOKUP(K43,clasif_filas!$A$1:$J$39,2,FALSE())</f>
        <v>Productos de materiales de madera, corcho, cestería y espartería</v>
      </c>
      <c r="M43" s="1" t="n">
        <f aca="false">VLOOKUP(K43,clasif_filas!$A$1:$J$39,3,FALSE())</f>
        <v>31</v>
      </c>
      <c r="N43" s="1" t="str">
        <f aca="false">VLOOKUP(K43,clasif_filas!$A$1:$J$39,4,FALSE())</f>
        <v>Productos de materiales de madera, corcho, cestería y espartería</v>
      </c>
      <c r="O43" s="1" t="n">
        <f aca="false">VLOOKUP(K43,clasif_filas!$A$1:$J$39,5,FALSE())</f>
        <v>6</v>
      </c>
      <c r="P43" s="1" t="str">
        <f aca="false">VLOOKUP(K43,clasif_filas!$A$1:$J$39,6,FALSE())</f>
        <v>Conocimiento, procesos y servicios relacionados</v>
      </c>
      <c r="Q43" s="1" t="n">
        <f aca="false">VLOOKUP(K43,clasif_filas!$A$1:$J$39,7,FALSE())</f>
        <v>3</v>
      </c>
      <c r="R43" s="1" t="str">
        <f aca="false">VLOOKUP(K43,clasif_filas!$A$1:$J$39,8,FALSE())</f>
        <v>Otros bienes transportables, excepto productos metálicos, maquinaria y equipo</v>
      </c>
      <c r="S43" s="1" t="n">
        <f aca="false">VLOOKUP(K43,clasif_filas!$A$1:$J$39,9,FALSE())</f>
        <v>1</v>
      </c>
      <c r="T43" s="1" t="str">
        <f aca="false">VLOOKUP(K43,clasif_filas!$A$1:$J$39,10,FALSE())</f>
        <v>Bioeconomía</v>
      </c>
      <c r="U43" s="61"/>
    </row>
    <row r="44" customFormat="false" ht="14.25" hidden="false" customHeight="false" outlineLevel="0" collapsed="false">
      <c r="A44" s="24" t="s">
        <v>87</v>
      </c>
      <c r="B44" s="9" t="s">
        <v>1786</v>
      </c>
      <c r="C44" s="9" t="str">
        <f aca="false">VLOOKUP(B44, AT_FILAS!$A$2:$C$8,2,FALSE())</f>
        <v>Producción</v>
      </c>
      <c r="D44" s="9" t="str">
        <f aca="false">VLOOKUP(B44, AT_FILAS!$A$2:$C$8,3,FALSE())</f>
        <v>P1</v>
      </c>
      <c r="E44" s="9" t="s">
        <v>1896</v>
      </c>
      <c r="F44" s="9" t="s">
        <v>1897</v>
      </c>
      <c r="G44" s="9" t="s">
        <v>1898</v>
      </c>
      <c r="H44" s="9" t="n">
        <v>2</v>
      </c>
      <c r="I44" s="9" t="s">
        <v>1844</v>
      </c>
      <c r="J44" s="9" t="s">
        <v>1898</v>
      </c>
      <c r="K44" s="1" t="n">
        <v>32</v>
      </c>
      <c r="L44" s="1" t="str">
        <f aca="false">VLOOKUP(K44,clasif_filas!$A$1:$J$39,2,FALSE())</f>
        <v>Pulpa de papel, papel y productos de papel; impresos, y artículos similares</v>
      </c>
      <c r="M44" s="1" t="n">
        <f aca="false">VLOOKUP(K44,clasif_filas!$A$1:$J$39,3,FALSE())</f>
        <v>32</v>
      </c>
      <c r="N44" s="1" t="str">
        <f aca="false">VLOOKUP(K44,clasif_filas!$A$1:$J$39,4,FALSE())</f>
        <v>Pulpa de papel, papel y productos de papel; impresos, y artículos similares</v>
      </c>
      <c r="O44" s="1" t="n">
        <f aca="false">VLOOKUP(K44,clasif_filas!$A$1:$J$39,5,FALSE())</f>
        <v>6</v>
      </c>
      <c r="P44" s="1" t="str">
        <f aca="false">VLOOKUP(K44,clasif_filas!$A$1:$J$39,6,FALSE())</f>
        <v>Conocimiento, procesos y servicios relacionados</v>
      </c>
      <c r="Q44" s="1" t="n">
        <f aca="false">VLOOKUP(K44,clasif_filas!$A$1:$J$39,7,FALSE())</f>
        <v>3</v>
      </c>
      <c r="R44" s="1" t="str">
        <f aca="false">VLOOKUP(K44,clasif_filas!$A$1:$J$39,8,FALSE())</f>
        <v>Otros bienes transportables, excepto productos metálicos, maquinaria y equipo</v>
      </c>
      <c r="S44" s="1" t="n">
        <f aca="false">VLOOKUP(K44,clasif_filas!$A$1:$J$39,9,FALSE())</f>
        <v>1</v>
      </c>
      <c r="T44" s="1" t="str">
        <f aca="false">VLOOKUP(K44,clasif_filas!$A$1:$J$39,10,FALSE())</f>
        <v>Bioeconomía</v>
      </c>
      <c r="U44" s="61"/>
    </row>
    <row r="45" customFormat="false" ht="14.25" hidden="false" customHeight="false" outlineLevel="0" collapsed="false">
      <c r="A45" s="24" t="s">
        <v>89</v>
      </c>
      <c r="B45" s="9" t="s">
        <v>1786</v>
      </c>
      <c r="C45" s="9" t="str">
        <f aca="false">VLOOKUP(B45, AT_FILAS!$A$2:$C$8,2,FALSE())</f>
        <v>Producción</v>
      </c>
      <c r="D45" s="9" t="str">
        <f aca="false">VLOOKUP(B45, AT_FILAS!$A$2:$C$8,3,FALSE())</f>
        <v>P1</v>
      </c>
      <c r="E45" s="9" t="s">
        <v>1899</v>
      </c>
      <c r="F45" s="9" t="s">
        <v>1900</v>
      </c>
      <c r="G45" s="9" t="s">
        <v>1898</v>
      </c>
      <c r="H45" s="9" t="n">
        <v>2</v>
      </c>
      <c r="I45" s="9" t="s">
        <v>1844</v>
      </c>
      <c r="J45" s="9" t="s">
        <v>1898</v>
      </c>
      <c r="K45" s="1" t="n">
        <v>32</v>
      </c>
      <c r="L45" s="1" t="str">
        <f aca="false">VLOOKUP(K45,clasif_filas!$A$1:$J$39,2,FALSE())</f>
        <v>Pulpa de papel, papel y productos de papel; impresos, y artículos similares</v>
      </c>
      <c r="M45" s="1" t="n">
        <f aca="false">VLOOKUP(K45,clasif_filas!$A$1:$J$39,3,FALSE())</f>
        <v>32</v>
      </c>
      <c r="N45" s="1" t="str">
        <f aca="false">VLOOKUP(K45,clasif_filas!$A$1:$J$39,4,FALSE())</f>
        <v>Pulpa de papel, papel y productos de papel; impresos, y artículos similares</v>
      </c>
      <c r="O45" s="1" t="n">
        <f aca="false">VLOOKUP(K45,clasif_filas!$A$1:$J$39,5,FALSE())</f>
        <v>6</v>
      </c>
      <c r="P45" s="1" t="str">
        <f aca="false">VLOOKUP(K45,clasif_filas!$A$1:$J$39,6,FALSE())</f>
        <v>Conocimiento, procesos y servicios relacionados</v>
      </c>
      <c r="Q45" s="1" t="n">
        <f aca="false">VLOOKUP(K45,clasif_filas!$A$1:$J$39,7,FALSE())</f>
        <v>3</v>
      </c>
      <c r="R45" s="1" t="str">
        <f aca="false">VLOOKUP(K45,clasif_filas!$A$1:$J$39,8,FALSE())</f>
        <v>Otros bienes transportables, excepto productos metálicos, maquinaria y equipo</v>
      </c>
      <c r="S45" s="1" t="n">
        <f aca="false">VLOOKUP(K45,clasif_filas!$A$1:$J$39,9,FALSE())</f>
        <v>1</v>
      </c>
      <c r="T45" s="1" t="str">
        <f aca="false">VLOOKUP(K45,clasif_filas!$A$1:$J$39,10,FALSE())</f>
        <v>Bioeconomía</v>
      </c>
      <c r="U45" s="61"/>
    </row>
    <row r="46" customFormat="false" ht="14.25" hidden="false" customHeight="false" outlineLevel="0" collapsed="false">
      <c r="A46" s="24" t="s">
        <v>91</v>
      </c>
      <c r="B46" s="9" t="s">
        <v>1786</v>
      </c>
      <c r="C46" s="9" t="str">
        <f aca="false">VLOOKUP(B46, AT_FILAS!$A$2:$C$8,2,FALSE())</f>
        <v>Producción</v>
      </c>
      <c r="D46" s="9" t="str">
        <f aca="false">VLOOKUP(B46, AT_FILAS!$A$2:$C$8,3,FALSE())</f>
        <v>P1</v>
      </c>
      <c r="E46" s="9" t="s">
        <v>1901</v>
      </c>
      <c r="F46" s="9" t="s">
        <v>1902</v>
      </c>
      <c r="G46" s="9" t="s">
        <v>1903</v>
      </c>
      <c r="H46" s="9" t="n">
        <v>3</v>
      </c>
      <c r="I46" s="9" t="s">
        <v>1904</v>
      </c>
      <c r="J46" s="9" t="s">
        <v>1903</v>
      </c>
      <c r="K46" s="1" t="n">
        <v>32</v>
      </c>
      <c r="L46" s="1" t="str">
        <f aca="false">VLOOKUP(K46,clasif_filas!$A$1:$J$39,2,FALSE())</f>
        <v>Pulpa de papel, papel y productos de papel; impresos, y artículos similares</v>
      </c>
      <c r="M46" s="1" t="n">
        <f aca="false">VLOOKUP(K46,clasif_filas!$A$1:$J$39,3,FALSE())</f>
        <v>32</v>
      </c>
      <c r="N46" s="1" t="str">
        <f aca="false">VLOOKUP(K46,clasif_filas!$A$1:$J$39,4,FALSE())</f>
        <v>Pulpa de papel, papel y productos de papel; impresos, y artículos similares</v>
      </c>
      <c r="O46" s="1" t="n">
        <f aca="false">VLOOKUP(K46,clasif_filas!$A$1:$J$39,5,FALSE())</f>
        <v>6</v>
      </c>
      <c r="P46" s="1" t="str">
        <f aca="false">VLOOKUP(K46,clasif_filas!$A$1:$J$39,6,FALSE())</f>
        <v>Conocimiento, procesos y servicios relacionados</v>
      </c>
      <c r="Q46" s="1" t="n">
        <f aca="false">VLOOKUP(K46,clasif_filas!$A$1:$J$39,7,FALSE())</f>
        <v>3</v>
      </c>
      <c r="R46" s="1" t="str">
        <f aca="false">VLOOKUP(K46,clasif_filas!$A$1:$J$39,8,FALSE())</f>
        <v>Otros bienes transportables, excepto productos metálicos, maquinaria y equipo</v>
      </c>
      <c r="S46" s="1" t="n">
        <f aca="false">VLOOKUP(K46,clasif_filas!$A$1:$J$39,9,FALSE())</f>
        <v>1</v>
      </c>
      <c r="T46" s="1" t="str">
        <f aca="false">VLOOKUP(K46,clasif_filas!$A$1:$J$39,10,FALSE())</f>
        <v>Bioeconomía</v>
      </c>
      <c r="U46" s="61"/>
    </row>
    <row r="47" customFormat="false" ht="14.25" hidden="false" customHeight="false" outlineLevel="0" collapsed="false">
      <c r="A47" s="24" t="s">
        <v>93</v>
      </c>
      <c r="B47" s="9" t="s">
        <v>1786</v>
      </c>
      <c r="C47" s="9" t="str">
        <f aca="false">VLOOKUP(B47, AT_FILAS!$A$2:$C$8,2,FALSE())</f>
        <v>Producción</v>
      </c>
      <c r="D47" s="9" t="str">
        <f aca="false">VLOOKUP(B47, AT_FILAS!$A$2:$C$8,3,FALSE())</f>
        <v>P1</v>
      </c>
      <c r="E47" s="9" t="s">
        <v>1905</v>
      </c>
      <c r="F47" s="9" t="s">
        <v>1906</v>
      </c>
      <c r="G47" s="9" t="s">
        <v>1750</v>
      </c>
      <c r="H47" s="9" t="n">
        <v>4</v>
      </c>
      <c r="I47" s="9" t="s">
        <v>1750</v>
      </c>
      <c r="J47" s="9" t="s">
        <v>1750</v>
      </c>
      <c r="K47" s="1" t="n">
        <v>11</v>
      </c>
      <c r="L47" s="1" t="str">
        <f aca="false">VLOOKUP(K47,clasif_filas!$A$1:$J$39,2,FALSE())</f>
        <v>Minerales, combustibles y derivados</v>
      </c>
      <c r="M47" s="1" t="n">
        <f aca="false">VLOOKUP(K47,clasif_filas!$A$1:$J$39,3,FALSE())</f>
        <v>11</v>
      </c>
      <c r="N47" s="1" t="str">
        <f aca="false">VLOOKUP(K47,clasif_filas!$A$1:$J$39,4,FALSE())</f>
        <v>Minerales, combustibles y derivados</v>
      </c>
      <c r="O47" s="1" t="n">
        <f aca="false">VLOOKUP(K47,clasif_filas!$A$1:$J$39,5,FALSE())</f>
        <v>99</v>
      </c>
      <c r="P47" s="1" t="str">
        <f aca="false">VLOOKUP(K47,clasif_filas!$A$1:$J$39,6,FALSE())</f>
        <v>No Bioeconomía</v>
      </c>
      <c r="Q47" s="1" t="n">
        <f aca="false">VLOOKUP(K47,clasif_filas!$A$1:$J$39,7,FALSE())</f>
        <v>1</v>
      </c>
      <c r="R47" s="1" t="str">
        <f aca="false">VLOOKUP(K47,clasif_filas!$A$1:$J$39,8,FALSE())</f>
        <v>Minerales; electricidad, gas y agua</v>
      </c>
      <c r="S47" s="1" t="n">
        <f aca="false">VLOOKUP(K47,clasif_filas!$A$1:$J$39,9,FALSE())</f>
        <v>3</v>
      </c>
      <c r="T47" s="1" t="str">
        <f aca="false">VLOOKUP(K47,clasif_filas!$A$1:$J$39,10,FALSE())</f>
        <v>No bioeconomía</v>
      </c>
      <c r="U47" s="61"/>
    </row>
    <row r="48" customFormat="false" ht="14.25" hidden="false" customHeight="false" outlineLevel="0" collapsed="false">
      <c r="A48" s="24" t="s">
        <v>95</v>
      </c>
      <c r="B48" s="9" t="s">
        <v>1786</v>
      </c>
      <c r="C48" s="9" t="str">
        <f aca="false">VLOOKUP(B48, AT_FILAS!$A$2:$C$8,2,FALSE())</f>
        <v>Producción</v>
      </c>
      <c r="D48" s="9" t="str">
        <f aca="false">VLOOKUP(B48, AT_FILAS!$A$2:$C$8,3,FALSE())</f>
        <v>P1</v>
      </c>
      <c r="E48" s="9" t="s">
        <v>1907</v>
      </c>
      <c r="F48" s="9" t="s">
        <v>1908</v>
      </c>
      <c r="G48" s="9" t="s">
        <v>1750</v>
      </c>
      <c r="H48" s="9" t="n">
        <v>4</v>
      </c>
      <c r="I48" s="9" t="s">
        <v>1750</v>
      </c>
      <c r="J48" s="9" t="s">
        <v>1750</v>
      </c>
      <c r="K48" s="1" t="n">
        <v>11</v>
      </c>
      <c r="L48" s="1" t="str">
        <f aca="false">VLOOKUP(K48,clasif_filas!$A$1:$J$39,2,FALSE())</f>
        <v>Minerales, combustibles y derivados</v>
      </c>
      <c r="M48" s="1" t="n">
        <f aca="false">VLOOKUP(K48,clasif_filas!$A$1:$J$39,3,FALSE())</f>
        <v>11</v>
      </c>
      <c r="N48" s="1" t="str">
        <f aca="false">VLOOKUP(K48,clasif_filas!$A$1:$J$39,4,FALSE())</f>
        <v>Minerales, combustibles y derivados</v>
      </c>
      <c r="O48" s="1" t="n">
        <f aca="false">VLOOKUP(K48,clasif_filas!$A$1:$J$39,5,FALSE())</f>
        <v>99</v>
      </c>
      <c r="P48" s="1" t="str">
        <f aca="false">VLOOKUP(K48,clasif_filas!$A$1:$J$39,6,FALSE())</f>
        <v>No Bioeconomía</v>
      </c>
      <c r="Q48" s="1" t="n">
        <f aca="false">VLOOKUP(K48,clasif_filas!$A$1:$J$39,7,FALSE())</f>
        <v>1</v>
      </c>
      <c r="R48" s="1" t="str">
        <f aca="false">VLOOKUP(K48,clasif_filas!$A$1:$J$39,8,FALSE())</f>
        <v>Minerales; electricidad, gas y agua</v>
      </c>
      <c r="S48" s="1" t="n">
        <f aca="false">VLOOKUP(K48,clasif_filas!$A$1:$J$39,9,FALSE())</f>
        <v>3</v>
      </c>
      <c r="T48" s="1" t="str">
        <f aca="false">VLOOKUP(K48,clasif_filas!$A$1:$J$39,10,FALSE())</f>
        <v>No bioeconomía</v>
      </c>
      <c r="U48" s="61"/>
    </row>
    <row r="49" customFormat="false" ht="14.25" hidden="false" customHeight="false" outlineLevel="0" collapsed="false">
      <c r="A49" s="24" t="s">
        <v>97</v>
      </c>
      <c r="B49" s="9" t="s">
        <v>1786</v>
      </c>
      <c r="C49" s="9" t="str">
        <f aca="false">VLOOKUP(B49, AT_FILAS!$A$2:$C$8,2,FALSE())</f>
        <v>Producción</v>
      </c>
      <c r="D49" s="9" t="str">
        <f aca="false">VLOOKUP(B49, AT_FILAS!$A$2:$C$8,3,FALSE())</f>
        <v>P1</v>
      </c>
      <c r="E49" s="9" t="s">
        <v>1909</v>
      </c>
      <c r="F49" s="9" t="s">
        <v>1910</v>
      </c>
      <c r="G49" s="9" t="s">
        <v>1750</v>
      </c>
      <c r="H49" s="9" t="n">
        <v>4</v>
      </c>
      <c r="I49" s="9" t="s">
        <v>1750</v>
      </c>
      <c r="J49" s="9" t="s">
        <v>1750</v>
      </c>
      <c r="K49" s="1" t="n">
        <v>11</v>
      </c>
      <c r="L49" s="1" t="str">
        <f aca="false">VLOOKUP(K49,clasif_filas!$A$1:$J$39,2,FALSE())</f>
        <v>Minerales, combustibles y derivados</v>
      </c>
      <c r="M49" s="1" t="n">
        <f aca="false">VLOOKUP(K49,clasif_filas!$A$1:$J$39,3,FALSE())</f>
        <v>11</v>
      </c>
      <c r="N49" s="1" t="str">
        <f aca="false">VLOOKUP(K49,clasif_filas!$A$1:$J$39,4,FALSE())</f>
        <v>Minerales, combustibles y derivados</v>
      </c>
      <c r="O49" s="1" t="n">
        <f aca="false">VLOOKUP(K49,clasif_filas!$A$1:$J$39,5,FALSE())</f>
        <v>99</v>
      </c>
      <c r="P49" s="1" t="str">
        <f aca="false">VLOOKUP(K49,clasif_filas!$A$1:$J$39,6,FALSE())</f>
        <v>No Bioeconomía</v>
      </c>
      <c r="Q49" s="1" t="n">
        <f aca="false">VLOOKUP(K49,clasif_filas!$A$1:$J$39,7,FALSE())</f>
        <v>1</v>
      </c>
      <c r="R49" s="1" t="str">
        <f aca="false">VLOOKUP(K49,clasif_filas!$A$1:$J$39,8,FALSE())</f>
        <v>Minerales; electricidad, gas y agua</v>
      </c>
      <c r="S49" s="1" t="n">
        <f aca="false">VLOOKUP(K49,clasif_filas!$A$1:$J$39,9,FALSE())</f>
        <v>3</v>
      </c>
      <c r="T49" s="1" t="str">
        <f aca="false">VLOOKUP(K49,clasif_filas!$A$1:$J$39,10,FALSE())</f>
        <v>No bioeconomía</v>
      </c>
      <c r="U49" s="61"/>
    </row>
    <row r="50" customFormat="false" ht="14.25" hidden="false" customHeight="false" outlineLevel="0" collapsed="false">
      <c r="A50" s="24" t="s">
        <v>99</v>
      </c>
      <c r="B50" s="9" t="s">
        <v>1786</v>
      </c>
      <c r="C50" s="9" t="str">
        <f aca="false">VLOOKUP(B50, AT_FILAS!$A$2:$C$8,2,FALSE())</f>
        <v>Producción</v>
      </c>
      <c r="D50" s="9" t="str">
        <f aca="false">VLOOKUP(B50, AT_FILAS!$A$2:$C$8,3,FALSE())</f>
        <v>P1</v>
      </c>
      <c r="E50" s="9" t="s">
        <v>1911</v>
      </c>
      <c r="F50" s="9" t="s">
        <v>1912</v>
      </c>
      <c r="G50" s="9" t="s">
        <v>1750</v>
      </c>
      <c r="H50" s="9" t="n">
        <v>4</v>
      </c>
      <c r="I50" s="9" t="s">
        <v>1750</v>
      </c>
      <c r="J50" s="9" t="s">
        <v>1750</v>
      </c>
      <c r="K50" s="1" t="n">
        <v>11</v>
      </c>
      <c r="L50" s="1" t="str">
        <f aca="false">VLOOKUP(K50,clasif_filas!$A$1:$J$39,2,FALSE())</f>
        <v>Minerales, combustibles y derivados</v>
      </c>
      <c r="M50" s="1" t="n">
        <f aca="false">VLOOKUP(K50,clasif_filas!$A$1:$J$39,3,FALSE())</f>
        <v>11</v>
      </c>
      <c r="N50" s="1" t="str">
        <f aca="false">VLOOKUP(K50,clasif_filas!$A$1:$J$39,4,FALSE())</f>
        <v>Minerales, combustibles y derivados</v>
      </c>
      <c r="O50" s="1" t="n">
        <f aca="false">VLOOKUP(K50,clasif_filas!$A$1:$J$39,5,FALSE())</f>
        <v>99</v>
      </c>
      <c r="P50" s="1" t="str">
        <f aca="false">VLOOKUP(K50,clasif_filas!$A$1:$J$39,6,FALSE())</f>
        <v>No Bioeconomía</v>
      </c>
      <c r="Q50" s="1" t="n">
        <f aca="false">VLOOKUP(K50,clasif_filas!$A$1:$J$39,7,FALSE())</f>
        <v>1</v>
      </c>
      <c r="R50" s="1" t="str">
        <f aca="false">VLOOKUP(K50,clasif_filas!$A$1:$J$39,8,FALSE())</f>
        <v>Minerales; electricidad, gas y agua</v>
      </c>
      <c r="S50" s="1" t="n">
        <f aca="false">VLOOKUP(K50,clasif_filas!$A$1:$J$39,9,FALSE())</f>
        <v>3</v>
      </c>
      <c r="T50" s="1" t="str">
        <f aca="false">VLOOKUP(K50,clasif_filas!$A$1:$J$39,10,FALSE())</f>
        <v>No bioeconomía</v>
      </c>
      <c r="U50" s="61"/>
    </row>
    <row r="51" customFormat="false" ht="14.25" hidden="false" customHeight="false" outlineLevel="0" collapsed="false">
      <c r="A51" s="24" t="s">
        <v>101</v>
      </c>
      <c r="B51" s="9" t="s">
        <v>1786</v>
      </c>
      <c r="C51" s="9" t="str">
        <f aca="false">VLOOKUP(B51, AT_FILAS!$A$2:$C$8,2,FALSE())</f>
        <v>Producción</v>
      </c>
      <c r="D51" s="9" t="str">
        <f aca="false">VLOOKUP(B51, AT_FILAS!$A$2:$C$8,3,FALSE())</f>
        <v>P1</v>
      </c>
      <c r="E51" s="9" t="s">
        <v>1913</v>
      </c>
      <c r="F51" s="9" t="s">
        <v>1914</v>
      </c>
      <c r="G51" s="9" t="s">
        <v>1915</v>
      </c>
      <c r="H51" s="9" t="n">
        <v>3</v>
      </c>
      <c r="I51" s="9" t="s">
        <v>1904</v>
      </c>
      <c r="J51" s="9" t="s">
        <v>1915</v>
      </c>
      <c r="K51" s="1" t="n">
        <v>23</v>
      </c>
      <c r="L51" s="1" t="str">
        <f aca="false">VLOOKUP(K51,clasif_filas!$A$1:$J$39,2,FALSE())</f>
        <v>Productos de molienda, productos con almidón o maicena; otros productos de alimenticios</v>
      </c>
      <c r="M51" s="1" t="n">
        <f aca="false">VLOOKUP(K51,clasif_filas!$A$1:$J$39,3,FALSE())</f>
        <v>23</v>
      </c>
      <c r="N51" s="1" t="str">
        <f aca="false">VLOOKUP(K51,clasif_filas!$A$1:$J$39,4,FALSE())</f>
        <v>Productos de molienda, productos con almidón o maicena; otros productos de alimenticios</v>
      </c>
      <c r="O51" s="1" t="n">
        <f aca="false">VLOOKUP(K51,clasif_filas!$A$1:$J$39,5,FALSE())</f>
        <v>6</v>
      </c>
      <c r="P51" s="1" t="str">
        <f aca="false">VLOOKUP(K51,clasif_filas!$A$1:$J$39,6,FALSE())</f>
        <v>Conocimiento, procesos y servicios relacionados</v>
      </c>
      <c r="Q51" s="1" t="n">
        <f aca="false">VLOOKUP(K51,clasif_filas!$A$1:$J$39,7,FALSE())</f>
        <v>2</v>
      </c>
      <c r="R51" s="1" t="str">
        <f aca="false">VLOOKUP(K51,clasif_filas!$A$1:$J$39,8,FALSE())</f>
        <v>Productos alimenticios, bebidas y tabaco; textiles, prendas de vestir y productos de cuero</v>
      </c>
      <c r="S51" s="1" t="n">
        <f aca="false">VLOOKUP(K51,clasif_filas!$A$1:$J$39,9,FALSE())</f>
        <v>1</v>
      </c>
      <c r="T51" s="1" t="str">
        <f aca="false">VLOOKUP(K51,clasif_filas!$A$1:$J$39,10,FALSE())</f>
        <v>Bioeconomía</v>
      </c>
      <c r="U51" s="61"/>
    </row>
    <row r="52" customFormat="false" ht="14.25" hidden="false" customHeight="false" outlineLevel="0" collapsed="false">
      <c r="A52" s="24" t="s">
        <v>103</v>
      </c>
      <c r="B52" s="9" t="s">
        <v>1786</v>
      </c>
      <c r="C52" s="9" t="str">
        <f aca="false">VLOOKUP(B52, AT_FILAS!$A$2:$C$8,2,FALSE())</f>
        <v>Producción</v>
      </c>
      <c r="D52" s="9" t="str">
        <f aca="false">VLOOKUP(B52, AT_FILAS!$A$2:$C$8,3,FALSE())</f>
        <v>P1</v>
      </c>
      <c r="E52" s="9" t="s">
        <v>1916</v>
      </c>
      <c r="F52" s="9" t="s">
        <v>1917</v>
      </c>
      <c r="G52" s="9" t="s">
        <v>1750</v>
      </c>
      <c r="H52" s="9" t="n">
        <v>4</v>
      </c>
      <c r="I52" s="9" t="s">
        <v>1750</v>
      </c>
      <c r="J52" s="9" t="s">
        <v>1750</v>
      </c>
      <c r="K52" s="1" t="n">
        <v>11</v>
      </c>
      <c r="L52" s="1" t="str">
        <f aca="false">VLOOKUP(K52,clasif_filas!$A$1:$J$39,2,FALSE())</f>
        <v>Minerales, combustibles y derivados</v>
      </c>
      <c r="M52" s="1" t="n">
        <f aca="false">VLOOKUP(K52,clasif_filas!$A$1:$J$39,3,FALSE())</f>
        <v>11</v>
      </c>
      <c r="N52" s="1" t="str">
        <f aca="false">VLOOKUP(K52,clasif_filas!$A$1:$J$39,4,FALSE())</f>
        <v>Minerales, combustibles y derivados</v>
      </c>
      <c r="O52" s="1" t="n">
        <f aca="false">VLOOKUP(K52,clasif_filas!$A$1:$J$39,5,FALSE())</f>
        <v>99</v>
      </c>
      <c r="P52" s="1" t="str">
        <f aca="false">VLOOKUP(K52,clasif_filas!$A$1:$J$39,6,FALSE())</f>
        <v>No Bioeconomía</v>
      </c>
      <c r="Q52" s="1" t="n">
        <f aca="false">VLOOKUP(K52,clasif_filas!$A$1:$J$39,7,FALSE())</f>
        <v>1</v>
      </c>
      <c r="R52" s="1" t="str">
        <f aca="false">VLOOKUP(K52,clasif_filas!$A$1:$J$39,8,FALSE())</f>
        <v>Minerales; electricidad, gas y agua</v>
      </c>
      <c r="S52" s="1" t="n">
        <f aca="false">VLOOKUP(K52,clasif_filas!$A$1:$J$39,9,FALSE())</f>
        <v>3</v>
      </c>
      <c r="T52" s="1" t="str">
        <f aca="false">VLOOKUP(K52,clasif_filas!$A$1:$J$39,10,FALSE())</f>
        <v>No bioeconomía</v>
      </c>
      <c r="U52" s="61"/>
    </row>
    <row r="53" customFormat="false" ht="14.25" hidden="false" customHeight="false" outlineLevel="0" collapsed="false">
      <c r="A53" s="24" t="s">
        <v>105</v>
      </c>
      <c r="B53" s="9" t="s">
        <v>1786</v>
      </c>
      <c r="C53" s="9" t="str">
        <f aca="false">VLOOKUP(B53, AT_FILAS!$A$2:$C$8,2,FALSE())</f>
        <v>Producción</v>
      </c>
      <c r="D53" s="9" t="str">
        <f aca="false">VLOOKUP(B53, AT_FILAS!$A$2:$C$8,3,FALSE())</f>
        <v>P1</v>
      </c>
      <c r="E53" s="9" t="s">
        <v>1918</v>
      </c>
      <c r="F53" s="9" t="s">
        <v>1919</v>
      </c>
      <c r="G53" s="9" t="s">
        <v>1915</v>
      </c>
      <c r="H53" s="9" t="n">
        <v>3</v>
      </c>
      <c r="I53" s="9" t="s">
        <v>1904</v>
      </c>
      <c r="J53" s="9" t="s">
        <v>1915</v>
      </c>
      <c r="K53" s="1" t="n">
        <v>23</v>
      </c>
      <c r="L53" s="1" t="str">
        <f aca="false">VLOOKUP(K53,clasif_filas!$A$1:$J$39,2,FALSE())</f>
        <v>Productos de molienda, productos con almidón o maicena; otros productos de alimenticios</v>
      </c>
      <c r="M53" s="1" t="n">
        <f aca="false">VLOOKUP(K53,clasif_filas!$A$1:$J$39,3,FALSE())</f>
        <v>23</v>
      </c>
      <c r="N53" s="1" t="str">
        <f aca="false">VLOOKUP(K53,clasif_filas!$A$1:$J$39,4,FALSE())</f>
        <v>Productos de molienda, productos con almidón o maicena; otros productos de alimenticios</v>
      </c>
      <c r="O53" s="1" t="n">
        <f aca="false">VLOOKUP(K53,clasif_filas!$A$1:$J$39,5,FALSE())</f>
        <v>6</v>
      </c>
      <c r="P53" s="1" t="str">
        <f aca="false">VLOOKUP(K53,clasif_filas!$A$1:$J$39,6,FALSE())</f>
        <v>Conocimiento, procesos y servicios relacionados</v>
      </c>
      <c r="Q53" s="1" t="n">
        <f aca="false">VLOOKUP(K53,clasif_filas!$A$1:$J$39,7,FALSE())</f>
        <v>2</v>
      </c>
      <c r="R53" s="1" t="str">
        <f aca="false">VLOOKUP(K53,clasif_filas!$A$1:$J$39,8,FALSE())</f>
        <v>Productos alimenticios, bebidas y tabaco; textiles, prendas de vestir y productos de cuero</v>
      </c>
      <c r="S53" s="1" t="n">
        <f aca="false">VLOOKUP(K53,clasif_filas!$A$1:$J$39,9,FALSE())</f>
        <v>1</v>
      </c>
      <c r="T53" s="1" t="str">
        <f aca="false">VLOOKUP(K53,clasif_filas!$A$1:$J$39,10,FALSE())</f>
        <v>Bioeconomía</v>
      </c>
      <c r="U53" s="61"/>
    </row>
    <row r="54" customFormat="false" ht="14.25" hidden="false" customHeight="false" outlineLevel="0" collapsed="false">
      <c r="A54" s="24" t="s">
        <v>107</v>
      </c>
      <c r="B54" s="9" t="s">
        <v>1786</v>
      </c>
      <c r="C54" s="9" t="str">
        <f aca="false">VLOOKUP(B54, AT_FILAS!$A$2:$C$8,2,FALSE())</f>
        <v>Producción</v>
      </c>
      <c r="D54" s="9" t="str">
        <f aca="false">VLOOKUP(B54, AT_FILAS!$A$2:$C$8,3,FALSE())</f>
        <v>P1</v>
      </c>
      <c r="E54" s="9" t="s">
        <v>1920</v>
      </c>
      <c r="F54" s="9" t="s">
        <v>1921</v>
      </c>
      <c r="G54" s="9" t="s">
        <v>1750</v>
      </c>
      <c r="H54" s="9" t="n">
        <v>4</v>
      </c>
      <c r="I54" s="9" t="s">
        <v>1750</v>
      </c>
      <c r="J54" s="9" t="s">
        <v>1750</v>
      </c>
      <c r="K54" s="1" t="n">
        <v>342</v>
      </c>
      <c r="L54" s="1" t="str">
        <f aca="false">VLOOKUP(K54,clasif_filas!$A$1:$J$39,2,FALSE())</f>
        <v>Otros químicos, plásticos, caucho y fibras sintéticas</v>
      </c>
      <c r="M54" s="1" t="n">
        <f aca="false">VLOOKUP(K54,clasif_filas!$A$1:$J$39,3,FALSE())</f>
        <v>34</v>
      </c>
      <c r="N54" s="1" t="str">
        <f aca="false">VLOOKUP(K54,clasif_filas!$A$1:$J$39,4,FALSE())</f>
        <v>Químicos básicos</v>
      </c>
      <c r="O54" s="1" t="n">
        <f aca="false">VLOOKUP(K54,clasif_filas!$A$1:$J$39,5,FALSE())</f>
        <v>99</v>
      </c>
      <c r="P54" s="1" t="str">
        <f aca="false">VLOOKUP(K54,clasif_filas!$A$1:$J$39,6,FALSE())</f>
        <v>No Bioeconomía</v>
      </c>
      <c r="Q54" s="1" t="n">
        <f aca="false">VLOOKUP(K54,clasif_filas!$A$1:$J$39,7,FALSE())</f>
        <v>3</v>
      </c>
      <c r="R54" s="1" t="str">
        <f aca="false">VLOOKUP(K54,clasif_filas!$A$1:$J$39,8,FALSE())</f>
        <v>Otros bienes transportables, excepto productos metálicos, maquinaria y equipo</v>
      </c>
      <c r="S54" s="1" t="n">
        <f aca="false">VLOOKUP(K54,clasif_filas!$A$1:$J$39,9,FALSE())</f>
        <v>3</v>
      </c>
      <c r="T54" s="1" t="str">
        <f aca="false">VLOOKUP(K54,clasif_filas!$A$1:$J$39,10,FALSE())</f>
        <v>No bioeconomía</v>
      </c>
      <c r="U54" s="61"/>
    </row>
    <row r="55" customFormat="false" ht="14.25" hidden="false" customHeight="false" outlineLevel="0" collapsed="false">
      <c r="A55" s="24" t="s">
        <v>109</v>
      </c>
      <c r="B55" s="9" t="s">
        <v>1786</v>
      </c>
      <c r="C55" s="9" t="str">
        <f aca="false">VLOOKUP(B55, AT_FILAS!$A$2:$C$8,2,FALSE())</f>
        <v>Producción</v>
      </c>
      <c r="D55" s="9" t="str">
        <f aca="false">VLOOKUP(B55, AT_FILAS!$A$2:$C$8,3,FALSE())</f>
        <v>P1</v>
      </c>
      <c r="E55" s="9" t="s">
        <v>1922</v>
      </c>
      <c r="F55" s="9" t="s">
        <v>1923</v>
      </c>
      <c r="G55" s="9" t="s">
        <v>1924</v>
      </c>
      <c r="H55" s="9" t="n">
        <v>3</v>
      </c>
      <c r="I55" s="9" t="s">
        <v>1904</v>
      </c>
      <c r="J55" s="9" t="s">
        <v>1924</v>
      </c>
      <c r="K55" s="1" t="n">
        <v>346</v>
      </c>
      <c r="L55" s="1" t="str">
        <f aca="false">VLOOKUP(K55,clasif_filas!$A$1:$J$39,2,FALSE())</f>
        <v>Fertilizantes y pesticidas</v>
      </c>
      <c r="M55" s="1" t="n">
        <f aca="false">VLOOKUP(K55,clasif_filas!$A$1:$J$39,3,FALSE())</f>
        <v>34</v>
      </c>
      <c r="N55" s="1" t="str">
        <f aca="false">VLOOKUP(K55,clasif_filas!$A$1:$J$39,4,FALSE())</f>
        <v>Químicos básicos</v>
      </c>
      <c r="O55" s="1" t="n">
        <f aca="false">VLOOKUP(K55,clasif_filas!$A$1:$J$39,5,FALSE())</f>
        <v>6</v>
      </c>
      <c r="P55" s="1" t="str">
        <f aca="false">VLOOKUP(K55,clasif_filas!$A$1:$J$39,6,FALSE())</f>
        <v>Conocimiento, procesos y servicios relacionados</v>
      </c>
      <c r="Q55" s="1" t="n">
        <f aca="false">VLOOKUP(K55,clasif_filas!$A$1:$J$39,7,FALSE())</f>
        <v>3</v>
      </c>
      <c r="R55" s="1" t="str">
        <f aca="false">VLOOKUP(K55,clasif_filas!$A$1:$J$39,8,FALSE())</f>
        <v>Otros bienes transportables, excepto productos metálicos, maquinaria y equipo</v>
      </c>
      <c r="S55" s="1" t="n">
        <f aca="false">VLOOKUP(K55,clasif_filas!$A$1:$J$39,9,FALSE())</f>
        <v>2</v>
      </c>
      <c r="T55" s="1" t="str">
        <f aca="false">VLOOKUP(K55,clasif_filas!$A$1:$J$39,10,FALSE())</f>
        <v>Bioeconomía extendida</v>
      </c>
      <c r="U55" s="61"/>
    </row>
    <row r="56" customFormat="false" ht="14.25" hidden="false" customHeight="false" outlineLevel="0" collapsed="false">
      <c r="A56" s="24" t="s">
        <v>111</v>
      </c>
      <c r="B56" s="9" t="s">
        <v>1786</v>
      </c>
      <c r="C56" s="9" t="str">
        <f aca="false">VLOOKUP(B56, AT_FILAS!$A$2:$C$8,2,FALSE())</f>
        <v>Producción</v>
      </c>
      <c r="D56" s="9" t="str">
        <f aca="false">VLOOKUP(B56, AT_FILAS!$A$2:$C$8,3,FALSE())</f>
        <v>P1</v>
      </c>
      <c r="E56" s="9" t="s">
        <v>1925</v>
      </c>
      <c r="F56" s="9" t="s">
        <v>1926</v>
      </c>
      <c r="G56" s="25" t="s">
        <v>1927</v>
      </c>
      <c r="H56" s="9" t="n">
        <v>3</v>
      </c>
      <c r="I56" s="9" t="s">
        <v>1904</v>
      </c>
      <c r="J56" s="25" t="s">
        <v>1927</v>
      </c>
      <c r="K56" s="1" t="n">
        <v>341</v>
      </c>
      <c r="L56" s="1" t="str">
        <f aca="false">VLOOKUP(K56,clasif_filas!$A$1:$J$39,2,FALSE())</f>
        <v>Químicos orgánicos básicos</v>
      </c>
      <c r="M56" s="1" t="n">
        <f aca="false">VLOOKUP(K56,clasif_filas!$A$1:$J$39,3,FALSE())</f>
        <v>34</v>
      </c>
      <c r="N56" s="1" t="str">
        <f aca="false">VLOOKUP(K56,clasif_filas!$A$1:$J$39,4,FALSE())</f>
        <v>Químicos básicos</v>
      </c>
      <c r="O56" s="1" t="n">
        <f aca="false">VLOOKUP(K56,clasif_filas!$A$1:$J$39,5,FALSE())</f>
        <v>6</v>
      </c>
      <c r="P56" s="1" t="str">
        <f aca="false">VLOOKUP(K56,clasif_filas!$A$1:$J$39,6,FALSE())</f>
        <v>Conocimiento, procesos y servicios relacionados</v>
      </c>
      <c r="Q56" s="1" t="n">
        <f aca="false">VLOOKUP(K56,clasif_filas!$A$1:$J$39,7,FALSE())</f>
        <v>3</v>
      </c>
      <c r="R56" s="1" t="str">
        <f aca="false">VLOOKUP(K56,clasif_filas!$A$1:$J$39,8,FALSE())</f>
        <v>Otros bienes transportables, excepto productos metálicos, maquinaria y equipo</v>
      </c>
      <c r="S56" s="1" t="n">
        <f aca="false">VLOOKUP(K56,clasif_filas!$A$1:$J$39,9,FALSE())</f>
        <v>2</v>
      </c>
      <c r="T56" s="1" t="str">
        <f aca="false">VLOOKUP(K56,clasif_filas!$A$1:$J$39,10,FALSE())</f>
        <v>Bioeconomía extendida</v>
      </c>
      <c r="U56" s="61"/>
    </row>
    <row r="57" customFormat="false" ht="14.25" hidden="false" customHeight="false" outlineLevel="0" collapsed="false">
      <c r="A57" s="24" t="s">
        <v>113</v>
      </c>
      <c r="B57" s="9" t="s">
        <v>1786</v>
      </c>
      <c r="C57" s="9" t="str">
        <f aca="false">VLOOKUP(B57, AT_FILAS!$A$2:$C$8,2,FALSE())</f>
        <v>Producción</v>
      </c>
      <c r="D57" s="9" t="str">
        <f aca="false">VLOOKUP(B57, AT_FILAS!$A$2:$C$8,3,FALSE())</f>
        <v>P1</v>
      </c>
      <c r="E57" s="9" t="s">
        <v>1928</v>
      </c>
      <c r="F57" s="9" t="s">
        <v>1929</v>
      </c>
      <c r="G57" s="9" t="s">
        <v>1750</v>
      </c>
      <c r="H57" s="9" t="n">
        <v>4</v>
      </c>
      <c r="I57" s="9" t="s">
        <v>1750</v>
      </c>
      <c r="J57" s="9" t="s">
        <v>1750</v>
      </c>
      <c r="K57" s="1" t="n">
        <v>342</v>
      </c>
      <c r="L57" s="1" t="str">
        <f aca="false">VLOOKUP(K57,clasif_filas!$A$1:$J$39,2,FALSE())</f>
        <v>Otros químicos, plásticos, caucho y fibras sintéticas</v>
      </c>
      <c r="M57" s="1" t="n">
        <f aca="false">VLOOKUP(K57,clasif_filas!$A$1:$J$39,3,FALSE())</f>
        <v>34</v>
      </c>
      <c r="N57" s="1" t="str">
        <f aca="false">VLOOKUP(K57,clasif_filas!$A$1:$J$39,4,FALSE())</f>
        <v>Químicos básicos</v>
      </c>
      <c r="O57" s="1" t="n">
        <f aca="false">VLOOKUP(K57,clasif_filas!$A$1:$J$39,5,FALSE())</f>
        <v>99</v>
      </c>
      <c r="P57" s="1" t="str">
        <f aca="false">VLOOKUP(K57,clasif_filas!$A$1:$J$39,6,FALSE())</f>
        <v>No Bioeconomía</v>
      </c>
      <c r="Q57" s="1" t="n">
        <f aca="false">VLOOKUP(K57,clasif_filas!$A$1:$J$39,7,FALSE())</f>
        <v>3</v>
      </c>
      <c r="R57" s="1" t="str">
        <f aca="false">VLOOKUP(K57,clasif_filas!$A$1:$J$39,8,FALSE())</f>
        <v>Otros bienes transportables, excepto productos metálicos, maquinaria y equipo</v>
      </c>
      <c r="S57" s="1" t="n">
        <f aca="false">VLOOKUP(K57,clasif_filas!$A$1:$J$39,9,FALSE())</f>
        <v>3</v>
      </c>
      <c r="T57" s="1" t="str">
        <f aca="false">VLOOKUP(K57,clasif_filas!$A$1:$J$39,10,FALSE())</f>
        <v>No bioeconomía</v>
      </c>
      <c r="U57" s="61"/>
    </row>
    <row r="58" customFormat="false" ht="14.25" hidden="false" customHeight="false" outlineLevel="0" collapsed="false">
      <c r="A58" s="24" t="s">
        <v>115</v>
      </c>
      <c r="B58" s="9" t="s">
        <v>1786</v>
      </c>
      <c r="C58" s="9" t="str">
        <f aca="false">VLOOKUP(B58, AT_FILAS!$A$2:$C$8,2,FALSE())</f>
        <v>Producción</v>
      </c>
      <c r="D58" s="9" t="str">
        <f aca="false">VLOOKUP(B58, AT_FILAS!$A$2:$C$8,3,FALSE())</f>
        <v>P1</v>
      </c>
      <c r="E58" s="9" t="s">
        <v>1930</v>
      </c>
      <c r="F58" s="9" t="s">
        <v>1931</v>
      </c>
      <c r="G58" s="9" t="s">
        <v>1924</v>
      </c>
      <c r="H58" s="9" t="n">
        <v>3</v>
      </c>
      <c r="I58" s="9" t="s">
        <v>1904</v>
      </c>
      <c r="J58" s="9" t="s">
        <v>1924</v>
      </c>
      <c r="K58" s="1" t="n">
        <v>346</v>
      </c>
      <c r="L58" s="1" t="str">
        <f aca="false">VLOOKUP(K58,clasif_filas!$A$1:$J$39,2,FALSE())</f>
        <v>Fertilizantes y pesticidas</v>
      </c>
      <c r="M58" s="1" t="n">
        <f aca="false">VLOOKUP(K58,clasif_filas!$A$1:$J$39,3,FALSE())</f>
        <v>34</v>
      </c>
      <c r="N58" s="1" t="str">
        <f aca="false">VLOOKUP(K58,clasif_filas!$A$1:$J$39,4,FALSE())</f>
        <v>Químicos básicos</v>
      </c>
      <c r="O58" s="1" t="n">
        <f aca="false">VLOOKUP(K58,clasif_filas!$A$1:$J$39,5,FALSE())</f>
        <v>6</v>
      </c>
      <c r="P58" s="1" t="str">
        <f aca="false">VLOOKUP(K58,clasif_filas!$A$1:$J$39,6,FALSE())</f>
        <v>Conocimiento, procesos y servicios relacionados</v>
      </c>
      <c r="Q58" s="1" t="n">
        <f aca="false">VLOOKUP(K58,clasif_filas!$A$1:$J$39,7,FALSE())</f>
        <v>3</v>
      </c>
      <c r="R58" s="1" t="str">
        <f aca="false">VLOOKUP(K58,clasif_filas!$A$1:$J$39,8,FALSE())</f>
        <v>Otros bienes transportables, excepto productos metálicos, maquinaria y equipo</v>
      </c>
      <c r="S58" s="1" t="n">
        <f aca="false">VLOOKUP(K58,clasif_filas!$A$1:$J$39,9,FALSE())</f>
        <v>2</v>
      </c>
      <c r="T58" s="1" t="str">
        <f aca="false">VLOOKUP(K58,clasif_filas!$A$1:$J$39,10,FALSE())</f>
        <v>Bioeconomía extendida</v>
      </c>
      <c r="U58" s="61"/>
    </row>
    <row r="59" customFormat="false" ht="14.25" hidden="false" customHeight="false" outlineLevel="0" collapsed="false">
      <c r="A59" s="24" t="s">
        <v>117</v>
      </c>
      <c r="B59" s="9" t="s">
        <v>1786</v>
      </c>
      <c r="C59" s="9" t="str">
        <f aca="false">VLOOKUP(B59, AT_FILAS!$A$2:$C$8,2,FALSE())</f>
        <v>Producción</v>
      </c>
      <c r="D59" s="9" t="str">
        <f aca="false">VLOOKUP(B59, AT_FILAS!$A$2:$C$8,3,FALSE())</f>
        <v>P1</v>
      </c>
      <c r="E59" s="9" t="s">
        <v>1932</v>
      </c>
      <c r="F59" s="9" t="s">
        <v>1933</v>
      </c>
      <c r="G59" s="9" t="s">
        <v>1750</v>
      </c>
      <c r="H59" s="9" t="n">
        <v>4</v>
      </c>
      <c r="I59" s="9" t="s">
        <v>1750</v>
      </c>
      <c r="J59" s="9" t="s">
        <v>1750</v>
      </c>
      <c r="K59" s="1" t="n">
        <v>342</v>
      </c>
      <c r="L59" s="1" t="str">
        <f aca="false">VLOOKUP(K59,clasif_filas!$A$1:$J$39,2,FALSE())</f>
        <v>Otros químicos, plásticos, caucho y fibras sintéticas</v>
      </c>
      <c r="M59" s="1" t="n">
        <f aca="false">VLOOKUP(K59,clasif_filas!$A$1:$J$39,3,FALSE())</f>
        <v>34</v>
      </c>
      <c r="N59" s="1" t="str">
        <f aca="false">VLOOKUP(K59,clasif_filas!$A$1:$J$39,4,FALSE())</f>
        <v>Químicos básicos</v>
      </c>
      <c r="O59" s="1" t="n">
        <f aca="false">VLOOKUP(K59,clasif_filas!$A$1:$J$39,5,FALSE())</f>
        <v>99</v>
      </c>
      <c r="P59" s="1" t="str">
        <f aca="false">VLOOKUP(K59,clasif_filas!$A$1:$J$39,6,FALSE())</f>
        <v>No Bioeconomía</v>
      </c>
      <c r="Q59" s="1" t="n">
        <f aca="false">VLOOKUP(K59,clasif_filas!$A$1:$J$39,7,FALSE())</f>
        <v>3</v>
      </c>
      <c r="R59" s="1" t="str">
        <f aca="false">VLOOKUP(K59,clasif_filas!$A$1:$J$39,8,FALSE())</f>
        <v>Otros bienes transportables, excepto productos metálicos, maquinaria y equipo</v>
      </c>
      <c r="S59" s="1" t="n">
        <f aca="false">VLOOKUP(K59,clasif_filas!$A$1:$J$39,9,FALSE())</f>
        <v>3</v>
      </c>
      <c r="T59" s="1" t="str">
        <f aca="false">VLOOKUP(K59,clasif_filas!$A$1:$J$39,10,FALSE())</f>
        <v>No bioeconomía</v>
      </c>
      <c r="U59" s="61"/>
    </row>
    <row r="60" customFormat="false" ht="14.25" hidden="false" customHeight="false" outlineLevel="0" collapsed="false">
      <c r="A60" s="24" t="s">
        <v>119</v>
      </c>
      <c r="B60" s="9" t="s">
        <v>1786</v>
      </c>
      <c r="C60" s="9" t="str">
        <f aca="false">VLOOKUP(B60, AT_FILAS!$A$2:$C$8,2,FALSE())</f>
        <v>Producción</v>
      </c>
      <c r="D60" s="9" t="str">
        <f aca="false">VLOOKUP(B60, AT_FILAS!$A$2:$C$8,3,FALSE())</f>
        <v>P1</v>
      </c>
      <c r="E60" s="9" t="s">
        <v>1934</v>
      </c>
      <c r="F60" s="9" t="s">
        <v>1935</v>
      </c>
      <c r="G60" s="25" t="s">
        <v>1927</v>
      </c>
      <c r="H60" s="9" t="n">
        <v>3</v>
      </c>
      <c r="I60" s="9" t="s">
        <v>1904</v>
      </c>
      <c r="J60" s="25" t="s">
        <v>1927</v>
      </c>
      <c r="K60" s="1" t="n">
        <v>351</v>
      </c>
      <c r="L60" s="1" t="str">
        <f aca="false">VLOOKUP(K60,clasif_filas!$A$1:$J$39,2,FALSE())</f>
        <v>Pinturas y barnices y productos relacionados; colores para la pintura artística; tinta</v>
      </c>
      <c r="M60" s="1" t="n">
        <f aca="false">VLOOKUP(K60,clasif_filas!$A$1:$J$39,3,FALSE())</f>
        <v>35</v>
      </c>
      <c r="N60" s="1" t="str">
        <f aca="false">VLOOKUP(K60,clasif_filas!$A$1:$J$39,4,FALSE())</f>
        <v>Otros productos químicos; Fibras textiles artificiales o sintéticas</v>
      </c>
      <c r="O60" s="1" t="n">
        <f aca="false">VLOOKUP(K60,clasif_filas!$A$1:$J$39,5,FALSE())</f>
        <v>6</v>
      </c>
      <c r="P60" s="1" t="str">
        <f aca="false">VLOOKUP(K60,clasif_filas!$A$1:$J$39,6,FALSE())</f>
        <v>Conocimiento, procesos y servicios relacionados</v>
      </c>
      <c r="Q60" s="1" t="n">
        <f aca="false">VLOOKUP(K60,clasif_filas!$A$1:$J$39,7,FALSE())</f>
        <v>3</v>
      </c>
      <c r="R60" s="1" t="str">
        <f aca="false">VLOOKUP(K60,clasif_filas!$A$1:$J$39,8,FALSE())</f>
        <v>Otros bienes transportables, excepto productos metálicos, maquinaria y equipo</v>
      </c>
      <c r="S60" s="1" t="n">
        <f aca="false">VLOOKUP(K60,clasif_filas!$A$1:$J$39,9,FALSE())</f>
        <v>2</v>
      </c>
      <c r="T60" s="1" t="str">
        <f aca="false">VLOOKUP(K60,clasif_filas!$A$1:$J$39,10,FALSE())</f>
        <v>Bioeconomía extendida</v>
      </c>
      <c r="U60" s="61"/>
    </row>
    <row r="61" customFormat="false" ht="14.25" hidden="false" customHeight="false" outlineLevel="0" collapsed="false">
      <c r="A61" s="24" t="s">
        <v>121</v>
      </c>
      <c r="B61" s="9" t="s">
        <v>1786</v>
      </c>
      <c r="C61" s="9" t="str">
        <f aca="false">VLOOKUP(B61, AT_FILAS!$A$2:$C$8,2,FALSE())</f>
        <v>Producción</v>
      </c>
      <c r="D61" s="9" t="str">
        <f aca="false">VLOOKUP(B61, AT_FILAS!$A$2:$C$8,3,FALSE())</f>
        <v>P1</v>
      </c>
      <c r="E61" s="9" t="s">
        <v>1936</v>
      </c>
      <c r="F61" s="9" t="s">
        <v>1937</v>
      </c>
      <c r="G61" s="9" t="s">
        <v>1938</v>
      </c>
      <c r="H61" s="9" t="n">
        <v>3</v>
      </c>
      <c r="I61" s="9" t="s">
        <v>1904</v>
      </c>
      <c r="J61" s="9" t="s">
        <v>1938</v>
      </c>
      <c r="K61" s="1" t="n">
        <v>353</v>
      </c>
      <c r="L61" s="1" t="str">
        <f aca="false">VLOOKUP(K61,clasif_filas!$A$1:$J$39,2,FALSE())</f>
        <v>Jabón, preparados para la limpieza, perfumes y preparados de tocador</v>
      </c>
      <c r="M61" s="1" t="n">
        <f aca="false">VLOOKUP(K61,clasif_filas!$A$1:$J$39,3,FALSE())</f>
        <v>35</v>
      </c>
      <c r="N61" s="1" t="str">
        <f aca="false">VLOOKUP(K61,clasif_filas!$A$1:$J$39,4,FALSE())</f>
        <v>Otros productos químicos; Fibras textiles artificiales o sintéticas</v>
      </c>
      <c r="O61" s="1" t="n">
        <f aca="false">VLOOKUP(K61,clasif_filas!$A$1:$J$39,5,FALSE())</f>
        <v>6</v>
      </c>
      <c r="P61" s="1" t="str">
        <f aca="false">VLOOKUP(K61,clasif_filas!$A$1:$J$39,6,FALSE())</f>
        <v>Conocimiento, procesos y servicios relacionados</v>
      </c>
      <c r="Q61" s="1" t="n">
        <f aca="false">VLOOKUP(K61,clasif_filas!$A$1:$J$39,7,FALSE())</f>
        <v>3</v>
      </c>
      <c r="R61" s="1" t="str">
        <f aca="false">VLOOKUP(K61,clasif_filas!$A$1:$J$39,8,FALSE())</f>
        <v>Otros bienes transportables, excepto productos metálicos, maquinaria y equipo</v>
      </c>
      <c r="S61" s="1" t="n">
        <f aca="false">VLOOKUP(K61,clasif_filas!$A$1:$J$39,9,FALSE())</f>
        <v>2</v>
      </c>
      <c r="T61" s="1" t="str">
        <f aca="false">VLOOKUP(K61,clasif_filas!$A$1:$J$39,10,FALSE())</f>
        <v>Bioeconomía extendida</v>
      </c>
      <c r="U61" s="61"/>
    </row>
    <row r="62" customFormat="false" ht="14.25" hidden="false" customHeight="false" outlineLevel="0" collapsed="false">
      <c r="A62" s="24" t="s">
        <v>123</v>
      </c>
      <c r="B62" s="9" t="s">
        <v>1786</v>
      </c>
      <c r="C62" s="9" t="str">
        <f aca="false">VLOOKUP(B62, AT_FILAS!$A$2:$C$8,2,FALSE())</f>
        <v>Producción</v>
      </c>
      <c r="D62" s="9" t="str">
        <f aca="false">VLOOKUP(B62, AT_FILAS!$A$2:$C$8,3,FALSE())</f>
        <v>P1</v>
      </c>
      <c r="E62" s="9" t="s">
        <v>1939</v>
      </c>
      <c r="F62" s="9" t="s">
        <v>1940</v>
      </c>
      <c r="G62" s="9" t="s">
        <v>1941</v>
      </c>
      <c r="H62" s="9" t="n">
        <v>3</v>
      </c>
      <c r="I62" s="9" t="s">
        <v>1904</v>
      </c>
      <c r="J62" s="9" t="s">
        <v>1941</v>
      </c>
      <c r="K62" s="1" t="n">
        <v>352</v>
      </c>
      <c r="L62" s="1" t="str">
        <f aca="false">VLOOKUP(K62,clasif_filas!$A$1:$J$39,2,FALSE())</f>
        <v>Productos farmacéuticos</v>
      </c>
      <c r="M62" s="1" t="n">
        <f aca="false">VLOOKUP(K62,clasif_filas!$A$1:$J$39,3,FALSE())</f>
        <v>35</v>
      </c>
      <c r="N62" s="1" t="str">
        <f aca="false">VLOOKUP(K62,clasif_filas!$A$1:$J$39,4,FALSE())</f>
        <v>Otros productos químicos; Fibras textiles artificiales o sintéticas</v>
      </c>
      <c r="O62" s="1" t="n">
        <f aca="false">VLOOKUP(K62,clasif_filas!$A$1:$J$39,5,FALSE())</f>
        <v>6</v>
      </c>
      <c r="P62" s="1" t="str">
        <f aca="false">VLOOKUP(K62,clasif_filas!$A$1:$J$39,6,FALSE())</f>
        <v>Conocimiento, procesos y servicios relacionados</v>
      </c>
      <c r="Q62" s="1" t="n">
        <f aca="false">VLOOKUP(K62,clasif_filas!$A$1:$J$39,7,FALSE())</f>
        <v>3</v>
      </c>
      <c r="R62" s="1" t="str">
        <f aca="false">VLOOKUP(K62,clasif_filas!$A$1:$J$39,8,FALSE())</f>
        <v>Otros bienes transportables, excepto productos metálicos, maquinaria y equipo</v>
      </c>
      <c r="S62" s="1" t="n">
        <f aca="false">VLOOKUP(K62,clasif_filas!$A$1:$J$39,9,FALSE())</f>
        <v>2</v>
      </c>
      <c r="T62" s="1" t="str">
        <f aca="false">VLOOKUP(K62,clasif_filas!$A$1:$J$39,10,FALSE())</f>
        <v>Bioeconomía extendida</v>
      </c>
      <c r="U62" s="61"/>
    </row>
    <row r="63" customFormat="false" ht="14.25" hidden="false" customHeight="false" outlineLevel="0" collapsed="false">
      <c r="A63" s="24" t="s">
        <v>125</v>
      </c>
      <c r="B63" s="9" t="s">
        <v>1786</v>
      </c>
      <c r="C63" s="9" t="str">
        <f aca="false">VLOOKUP(B63, AT_FILAS!$A$2:$C$8,2,FALSE())</f>
        <v>Producción</v>
      </c>
      <c r="D63" s="9" t="str">
        <f aca="false">VLOOKUP(B63, AT_FILAS!$A$2:$C$8,3,FALSE())</f>
        <v>P1</v>
      </c>
      <c r="E63" s="9" t="s">
        <v>1942</v>
      </c>
      <c r="F63" s="9" t="s">
        <v>1943</v>
      </c>
      <c r="G63" s="9" t="s">
        <v>1750</v>
      </c>
      <c r="H63" s="9" t="n">
        <v>4</v>
      </c>
      <c r="I63" s="9" t="s">
        <v>1750</v>
      </c>
      <c r="J63" s="9" t="s">
        <v>1750</v>
      </c>
      <c r="K63" s="1" t="n">
        <v>342</v>
      </c>
      <c r="L63" s="1" t="str">
        <f aca="false">VLOOKUP(K63,clasif_filas!$A$1:$J$39,2,FALSE())</f>
        <v>Otros químicos, plásticos, caucho y fibras sintéticas</v>
      </c>
      <c r="M63" s="1" t="n">
        <f aca="false">VLOOKUP(K63,clasif_filas!$A$1:$J$39,3,FALSE())</f>
        <v>34</v>
      </c>
      <c r="N63" s="1" t="str">
        <f aca="false">VLOOKUP(K63,clasif_filas!$A$1:$J$39,4,FALSE())</f>
        <v>Químicos básicos</v>
      </c>
      <c r="O63" s="1" t="n">
        <f aca="false">VLOOKUP(K63,clasif_filas!$A$1:$J$39,5,FALSE())</f>
        <v>99</v>
      </c>
      <c r="P63" s="1" t="str">
        <f aca="false">VLOOKUP(K63,clasif_filas!$A$1:$J$39,6,FALSE())</f>
        <v>No Bioeconomía</v>
      </c>
      <c r="Q63" s="1" t="n">
        <f aca="false">VLOOKUP(K63,clasif_filas!$A$1:$J$39,7,FALSE())</f>
        <v>3</v>
      </c>
      <c r="R63" s="1" t="str">
        <f aca="false">VLOOKUP(K63,clasif_filas!$A$1:$J$39,8,FALSE())</f>
        <v>Otros bienes transportables, excepto productos metálicos, maquinaria y equipo</v>
      </c>
      <c r="S63" s="1" t="n">
        <f aca="false">VLOOKUP(K63,clasif_filas!$A$1:$J$39,9,FALSE())</f>
        <v>3</v>
      </c>
      <c r="T63" s="1" t="str">
        <f aca="false">VLOOKUP(K63,clasif_filas!$A$1:$J$39,10,FALSE())</f>
        <v>No bioeconomía</v>
      </c>
      <c r="U63" s="61"/>
    </row>
    <row r="64" customFormat="false" ht="14.25" hidden="false" customHeight="false" outlineLevel="0" collapsed="false">
      <c r="A64" s="24" t="s">
        <v>127</v>
      </c>
      <c r="B64" s="9" t="s">
        <v>1786</v>
      </c>
      <c r="C64" s="9" t="str">
        <f aca="false">VLOOKUP(B64, AT_FILAS!$A$2:$C$8,2,FALSE())</f>
        <v>Producción</v>
      </c>
      <c r="D64" s="9" t="str">
        <f aca="false">VLOOKUP(B64, AT_FILAS!$A$2:$C$8,3,FALSE())</f>
        <v>P1</v>
      </c>
      <c r="E64" s="9" t="s">
        <v>1944</v>
      </c>
      <c r="F64" s="9" t="s">
        <v>1945</v>
      </c>
      <c r="G64" s="9" t="s">
        <v>1750</v>
      </c>
      <c r="H64" s="9" t="n">
        <v>4</v>
      </c>
      <c r="I64" s="9" t="s">
        <v>1750</v>
      </c>
      <c r="J64" s="9" t="s">
        <v>1750</v>
      </c>
      <c r="K64" s="1" t="n">
        <v>342</v>
      </c>
      <c r="L64" s="1" t="str">
        <f aca="false">VLOOKUP(K64,clasif_filas!$A$1:$J$39,2,FALSE())</f>
        <v>Otros químicos, plásticos, caucho y fibras sintéticas</v>
      </c>
      <c r="M64" s="1" t="n">
        <f aca="false">VLOOKUP(K64,clasif_filas!$A$1:$J$39,3,FALSE())</f>
        <v>34</v>
      </c>
      <c r="N64" s="1" t="str">
        <f aca="false">VLOOKUP(K64,clasif_filas!$A$1:$J$39,4,FALSE())</f>
        <v>Químicos básicos</v>
      </c>
      <c r="O64" s="1" t="n">
        <f aca="false">VLOOKUP(K64,clasif_filas!$A$1:$J$39,5,FALSE())</f>
        <v>99</v>
      </c>
      <c r="P64" s="1" t="str">
        <f aca="false">VLOOKUP(K64,clasif_filas!$A$1:$J$39,6,FALSE())</f>
        <v>No Bioeconomía</v>
      </c>
      <c r="Q64" s="1" t="n">
        <f aca="false">VLOOKUP(K64,clasif_filas!$A$1:$J$39,7,FALSE())</f>
        <v>3</v>
      </c>
      <c r="R64" s="1" t="str">
        <f aca="false">VLOOKUP(K64,clasif_filas!$A$1:$J$39,8,FALSE())</f>
        <v>Otros bienes transportables, excepto productos metálicos, maquinaria y equipo</v>
      </c>
      <c r="S64" s="1" t="n">
        <f aca="false">VLOOKUP(K64,clasif_filas!$A$1:$J$39,9,FALSE())</f>
        <v>3</v>
      </c>
      <c r="T64" s="1" t="str">
        <f aca="false">VLOOKUP(K64,clasif_filas!$A$1:$J$39,10,FALSE())</f>
        <v>No bioeconomía</v>
      </c>
      <c r="U64" s="61"/>
    </row>
    <row r="65" customFormat="false" ht="14.25" hidden="false" customHeight="false" outlineLevel="0" collapsed="false">
      <c r="A65" s="24" t="s">
        <v>129</v>
      </c>
      <c r="B65" s="9" t="s">
        <v>1786</v>
      </c>
      <c r="C65" s="9" t="str">
        <f aca="false">VLOOKUP(B65, AT_FILAS!$A$2:$C$8,2,FALSE())</f>
        <v>Producción</v>
      </c>
      <c r="D65" s="9" t="str">
        <f aca="false">VLOOKUP(B65, AT_FILAS!$A$2:$C$8,3,FALSE())</f>
        <v>P1</v>
      </c>
      <c r="E65" s="9" t="s">
        <v>1946</v>
      </c>
      <c r="F65" s="9" t="s">
        <v>1947</v>
      </c>
      <c r="G65" s="9" t="s">
        <v>1750</v>
      </c>
      <c r="H65" s="9" t="n">
        <v>4</v>
      </c>
      <c r="I65" s="9" t="s">
        <v>1750</v>
      </c>
      <c r="J65" s="9" t="s">
        <v>1750</v>
      </c>
      <c r="K65" s="1" t="n">
        <v>37</v>
      </c>
      <c r="L65" s="1" t="str">
        <f aca="false">VLOOKUP(K65,clasif_filas!$A$1:$J$39,2,FALSE())</f>
        <v>Vidrios y productos de vidrio y otros productos no metálicos n.c.p.</v>
      </c>
      <c r="M65" s="1" t="n">
        <f aca="false">VLOOKUP(K65,clasif_filas!$A$1:$J$39,3,FALSE())</f>
        <v>37</v>
      </c>
      <c r="N65" s="1" t="str">
        <f aca="false">VLOOKUP(K65,clasif_filas!$A$1:$J$39,4,FALSE())</f>
        <v>Vidrios y productos de vidrio y otros productos no metálicos n.c.p.</v>
      </c>
      <c r="O65" s="1" t="n">
        <f aca="false">VLOOKUP(K65,clasif_filas!$A$1:$J$39,5,FALSE())</f>
        <v>99</v>
      </c>
      <c r="P65" s="1" t="str">
        <f aca="false">VLOOKUP(K65,clasif_filas!$A$1:$J$39,6,FALSE())</f>
        <v>No Bioeconomía</v>
      </c>
      <c r="Q65" s="1" t="n">
        <f aca="false">VLOOKUP(K65,clasif_filas!$A$1:$J$39,7,FALSE())</f>
        <v>3</v>
      </c>
      <c r="R65" s="1" t="str">
        <f aca="false">VLOOKUP(K65,clasif_filas!$A$1:$J$39,8,FALSE())</f>
        <v>Otros bienes transportables, excepto productos metálicos, maquinaria y equipo</v>
      </c>
      <c r="S65" s="1" t="n">
        <f aca="false">VLOOKUP(K65,clasif_filas!$A$1:$J$39,9,FALSE())</f>
        <v>3</v>
      </c>
      <c r="T65" s="1" t="str">
        <f aca="false">VLOOKUP(K65,clasif_filas!$A$1:$J$39,10,FALSE())</f>
        <v>No bioeconomía</v>
      </c>
      <c r="U65" s="61"/>
    </row>
    <row r="66" customFormat="false" ht="14.25" hidden="false" customHeight="false" outlineLevel="0" collapsed="false">
      <c r="A66" s="24" t="s">
        <v>131</v>
      </c>
      <c r="B66" s="9" t="s">
        <v>1786</v>
      </c>
      <c r="C66" s="9" t="str">
        <f aca="false">VLOOKUP(B66, AT_FILAS!$A$2:$C$8,2,FALSE())</f>
        <v>Producción</v>
      </c>
      <c r="D66" s="9" t="str">
        <f aca="false">VLOOKUP(B66, AT_FILAS!$A$2:$C$8,3,FALSE())</f>
        <v>P1</v>
      </c>
      <c r="E66" s="9" t="s">
        <v>1948</v>
      </c>
      <c r="F66" s="9" t="s">
        <v>1949</v>
      </c>
      <c r="G66" s="9" t="s">
        <v>1750</v>
      </c>
      <c r="H66" s="9" t="n">
        <v>4</v>
      </c>
      <c r="I66" s="9" t="s">
        <v>1750</v>
      </c>
      <c r="J66" s="9" t="s">
        <v>1750</v>
      </c>
      <c r="K66" s="1" t="n">
        <v>37</v>
      </c>
      <c r="L66" s="1" t="str">
        <f aca="false">VLOOKUP(K66,clasif_filas!$A$1:$J$39,2,FALSE())</f>
        <v>Vidrios y productos de vidrio y otros productos no metálicos n.c.p.</v>
      </c>
      <c r="M66" s="1" t="n">
        <f aca="false">VLOOKUP(K66,clasif_filas!$A$1:$J$39,3,FALSE())</f>
        <v>37</v>
      </c>
      <c r="N66" s="1" t="str">
        <f aca="false">VLOOKUP(K66,clasif_filas!$A$1:$J$39,4,FALSE())</f>
        <v>Vidrios y productos de vidrio y otros productos no metálicos n.c.p.</v>
      </c>
      <c r="O66" s="1" t="n">
        <f aca="false">VLOOKUP(K66,clasif_filas!$A$1:$J$39,5,FALSE())</f>
        <v>99</v>
      </c>
      <c r="P66" s="1" t="str">
        <f aca="false">VLOOKUP(K66,clasif_filas!$A$1:$J$39,6,FALSE())</f>
        <v>No Bioeconomía</v>
      </c>
      <c r="Q66" s="1" t="n">
        <f aca="false">VLOOKUP(K66,clasif_filas!$A$1:$J$39,7,FALSE())</f>
        <v>3</v>
      </c>
      <c r="R66" s="1" t="str">
        <f aca="false">VLOOKUP(K66,clasif_filas!$A$1:$J$39,8,FALSE())</f>
        <v>Otros bienes transportables, excepto productos metálicos, maquinaria y equipo</v>
      </c>
      <c r="S66" s="1" t="n">
        <f aca="false">VLOOKUP(K66,clasif_filas!$A$1:$J$39,9,FALSE())</f>
        <v>3</v>
      </c>
      <c r="T66" s="1" t="str">
        <f aca="false">VLOOKUP(K66,clasif_filas!$A$1:$J$39,10,FALSE())</f>
        <v>No bioeconomía</v>
      </c>
      <c r="U66" s="61"/>
    </row>
    <row r="67" customFormat="false" ht="14.25" hidden="false" customHeight="false" outlineLevel="0" collapsed="false">
      <c r="A67" s="24" t="s">
        <v>133</v>
      </c>
      <c r="B67" s="9" t="s">
        <v>1786</v>
      </c>
      <c r="C67" s="9" t="str">
        <f aca="false">VLOOKUP(B67, AT_FILAS!$A$2:$C$8,2,FALSE())</f>
        <v>Producción</v>
      </c>
      <c r="D67" s="9" t="str">
        <f aca="false">VLOOKUP(B67, AT_FILAS!$A$2:$C$8,3,FALSE())</f>
        <v>P1</v>
      </c>
      <c r="E67" s="9" t="s">
        <v>1950</v>
      </c>
      <c r="F67" s="9" t="s">
        <v>1951</v>
      </c>
      <c r="G67" s="9" t="s">
        <v>1750</v>
      </c>
      <c r="H67" s="9" t="n">
        <v>4</v>
      </c>
      <c r="I67" s="9" t="s">
        <v>1750</v>
      </c>
      <c r="J67" s="9" t="s">
        <v>1750</v>
      </c>
      <c r="K67" s="1" t="n">
        <v>37</v>
      </c>
      <c r="L67" s="1" t="str">
        <f aca="false">VLOOKUP(K67,clasif_filas!$A$1:$J$39,2,FALSE())</f>
        <v>Vidrios y productos de vidrio y otros productos no metálicos n.c.p.</v>
      </c>
      <c r="M67" s="1" t="n">
        <f aca="false">VLOOKUP(K67,clasif_filas!$A$1:$J$39,3,FALSE())</f>
        <v>37</v>
      </c>
      <c r="N67" s="1" t="str">
        <f aca="false">VLOOKUP(K67,clasif_filas!$A$1:$J$39,4,FALSE())</f>
        <v>Vidrios y productos de vidrio y otros productos no metálicos n.c.p.</v>
      </c>
      <c r="O67" s="1" t="n">
        <f aca="false">VLOOKUP(K67,clasif_filas!$A$1:$J$39,5,FALSE())</f>
        <v>99</v>
      </c>
      <c r="P67" s="1" t="str">
        <f aca="false">VLOOKUP(K67,clasif_filas!$A$1:$J$39,6,FALSE())</f>
        <v>No Bioeconomía</v>
      </c>
      <c r="Q67" s="1" t="n">
        <f aca="false">VLOOKUP(K67,clasif_filas!$A$1:$J$39,7,FALSE())</f>
        <v>3</v>
      </c>
      <c r="R67" s="1" t="str">
        <f aca="false">VLOOKUP(K67,clasif_filas!$A$1:$J$39,8,FALSE())</f>
        <v>Otros bienes transportables, excepto productos metálicos, maquinaria y equipo</v>
      </c>
      <c r="S67" s="1" t="n">
        <f aca="false">VLOOKUP(K67,clasif_filas!$A$1:$J$39,9,FALSE())</f>
        <v>3</v>
      </c>
      <c r="T67" s="1" t="str">
        <f aca="false">VLOOKUP(K67,clasif_filas!$A$1:$J$39,10,FALSE())</f>
        <v>No bioeconomía</v>
      </c>
      <c r="U67" s="61"/>
    </row>
    <row r="68" customFormat="false" ht="14.25" hidden="false" customHeight="false" outlineLevel="0" collapsed="false">
      <c r="A68" s="24" t="s">
        <v>135</v>
      </c>
      <c r="B68" s="9" t="s">
        <v>1786</v>
      </c>
      <c r="C68" s="9" t="str">
        <f aca="false">VLOOKUP(B68, AT_FILAS!$A$2:$C$8,2,FALSE())</f>
        <v>Producción</v>
      </c>
      <c r="D68" s="9" t="str">
        <f aca="false">VLOOKUP(B68, AT_FILAS!$A$2:$C$8,3,FALSE())</f>
        <v>P1</v>
      </c>
      <c r="E68" s="9" t="s">
        <v>1952</v>
      </c>
      <c r="F68" s="9" t="s">
        <v>1953</v>
      </c>
      <c r="G68" s="9" t="s">
        <v>1750</v>
      </c>
      <c r="H68" s="9" t="n">
        <v>4</v>
      </c>
      <c r="I68" s="9" t="s">
        <v>1750</v>
      </c>
      <c r="J68" s="9" t="s">
        <v>1750</v>
      </c>
      <c r="K68" s="1" t="n">
        <v>37</v>
      </c>
      <c r="L68" s="1" t="str">
        <f aca="false">VLOOKUP(K68,clasif_filas!$A$1:$J$39,2,FALSE())</f>
        <v>Vidrios y productos de vidrio y otros productos no metálicos n.c.p.</v>
      </c>
      <c r="M68" s="1" t="n">
        <f aca="false">VLOOKUP(K68,clasif_filas!$A$1:$J$39,3,FALSE())</f>
        <v>37</v>
      </c>
      <c r="N68" s="1" t="str">
        <f aca="false">VLOOKUP(K68,clasif_filas!$A$1:$J$39,4,FALSE())</f>
        <v>Vidrios y productos de vidrio y otros productos no metálicos n.c.p.</v>
      </c>
      <c r="O68" s="1" t="n">
        <f aca="false">VLOOKUP(K68,clasif_filas!$A$1:$J$39,5,FALSE())</f>
        <v>99</v>
      </c>
      <c r="P68" s="1" t="str">
        <f aca="false">VLOOKUP(K68,clasif_filas!$A$1:$J$39,6,FALSE())</f>
        <v>No Bioeconomía</v>
      </c>
      <c r="Q68" s="1" t="n">
        <f aca="false">VLOOKUP(K68,clasif_filas!$A$1:$J$39,7,FALSE())</f>
        <v>3</v>
      </c>
      <c r="R68" s="1" t="str">
        <f aca="false">VLOOKUP(K68,clasif_filas!$A$1:$J$39,8,FALSE())</f>
        <v>Otros bienes transportables, excepto productos metálicos, maquinaria y equipo</v>
      </c>
      <c r="S68" s="1" t="n">
        <f aca="false">VLOOKUP(K68,clasif_filas!$A$1:$J$39,9,FALSE())</f>
        <v>3</v>
      </c>
      <c r="T68" s="1" t="str">
        <f aca="false">VLOOKUP(K68,clasif_filas!$A$1:$J$39,10,FALSE())</f>
        <v>No bioeconomía</v>
      </c>
      <c r="U68" s="61"/>
    </row>
    <row r="69" customFormat="false" ht="14.25" hidden="false" customHeight="false" outlineLevel="0" collapsed="false">
      <c r="A69" s="24" t="s">
        <v>137</v>
      </c>
      <c r="B69" s="9" t="s">
        <v>1786</v>
      </c>
      <c r="C69" s="9" t="str">
        <f aca="false">VLOOKUP(B69, AT_FILAS!$A$2:$C$8,2,FALSE())</f>
        <v>Producción</v>
      </c>
      <c r="D69" s="9" t="str">
        <f aca="false">VLOOKUP(B69, AT_FILAS!$A$2:$C$8,3,FALSE())</f>
        <v>P1</v>
      </c>
      <c r="E69" s="9" t="s">
        <v>1954</v>
      </c>
      <c r="F69" s="9" t="s">
        <v>1955</v>
      </c>
      <c r="G69" s="9" t="s">
        <v>1750</v>
      </c>
      <c r="H69" s="9" t="n">
        <v>4</v>
      </c>
      <c r="I69" s="9" t="s">
        <v>1750</v>
      </c>
      <c r="J69" s="9" t="s">
        <v>1750</v>
      </c>
      <c r="K69" s="1" t="n">
        <v>38</v>
      </c>
      <c r="L69" s="1" t="str">
        <f aca="false">VLOOKUP(K69,clasif_filas!$A$1:$J$39,2,FALSE())</f>
        <v>Muebles; otros bienes transportables n.c.p.</v>
      </c>
      <c r="M69" s="1" t="n">
        <f aca="false">VLOOKUP(K69,clasif_filas!$A$1:$J$39,3,FALSE())</f>
        <v>38</v>
      </c>
      <c r="N69" s="1" t="str">
        <f aca="false">VLOOKUP(K69,clasif_filas!$A$1:$J$39,4,FALSE())</f>
        <v>Muebles; otros bienes transportables n.c.p.</v>
      </c>
      <c r="O69" s="1" t="n">
        <f aca="false">VLOOKUP(K69,clasif_filas!$A$1:$J$39,5,FALSE())</f>
        <v>99</v>
      </c>
      <c r="P69" s="1" t="str">
        <f aca="false">VLOOKUP(K69,clasif_filas!$A$1:$J$39,6,FALSE())</f>
        <v>No Bioeconomía</v>
      </c>
      <c r="Q69" s="1" t="n">
        <f aca="false">VLOOKUP(K69,clasif_filas!$A$1:$J$39,7,FALSE())</f>
        <v>3</v>
      </c>
      <c r="R69" s="1" t="str">
        <f aca="false">VLOOKUP(K69,clasif_filas!$A$1:$J$39,8,FALSE())</f>
        <v>Otros bienes transportables, excepto productos metálicos, maquinaria y equipo</v>
      </c>
      <c r="S69" s="1" t="n">
        <f aca="false">VLOOKUP(K69,clasif_filas!$A$1:$J$39,9,FALSE())</f>
        <v>3</v>
      </c>
      <c r="T69" s="1" t="str">
        <f aca="false">VLOOKUP(K69,clasif_filas!$A$1:$J$39,10,FALSE())</f>
        <v>No bioeconomía</v>
      </c>
      <c r="U69" s="61"/>
    </row>
    <row r="70" customFormat="false" ht="14.25" hidden="false" customHeight="false" outlineLevel="0" collapsed="false">
      <c r="A70" s="24" t="s">
        <v>139</v>
      </c>
      <c r="B70" s="9" t="s">
        <v>1786</v>
      </c>
      <c r="C70" s="9" t="str">
        <f aca="false">VLOOKUP(B70, AT_FILAS!$A$2:$C$8,2,FALSE())</f>
        <v>Producción</v>
      </c>
      <c r="D70" s="9" t="str">
        <f aca="false">VLOOKUP(B70, AT_FILAS!$A$2:$C$8,3,FALSE())</f>
        <v>P1</v>
      </c>
      <c r="E70" s="9" t="s">
        <v>1956</v>
      </c>
      <c r="F70" s="9" t="s">
        <v>1957</v>
      </c>
      <c r="G70" s="9" t="s">
        <v>1750</v>
      </c>
      <c r="H70" s="9" t="n">
        <v>4</v>
      </c>
      <c r="I70" s="9" t="s">
        <v>1750</v>
      </c>
      <c r="J70" s="9" t="s">
        <v>1750</v>
      </c>
      <c r="K70" s="62" t="s">
        <v>1958</v>
      </c>
      <c r="L70" s="1" t="str">
        <f aca="false">VLOOKUP(K70,clasif_filas!$A$1:$J$39,2,FALSE())</f>
        <v>Metales, Maquianria, equipos y transporte</v>
      </c>
      <c r="M70" s="1" t="str">
        <f aca="false">VLOOKUP(K70,clasif_filas!$A$1:$J$39,3,FALSE())</f>
        <v>41-49</v>
      </c>
      <c r="N70" s="1" t="str">
        <f aca="false">VLOOKUP(K70,clasif_filas!$A$1:$J$39,4,FALSE())</f>
        <v>Metales, Maquianria, equipos y transporte</v>
      </c>
      <c r="O70" s="1" t="n">
        <f aca="false">VLOOKUP(K70,clasif_filas!$A$1:$J$39,5,FALSE())</f>
        <v>99</v>
      </c>
      <c r="P70" s="1" t="str">
        <f aca="false">VLOOKUP(K70,clasif_filas!$A$1:$J$39,6,FALSE())</f>
        <v>No Bioeconomía</v>
      </c>
      <c r="Q70" s="1" t="n">
        <f aca="false">VLOOKUP(K70,clasif_filas!$A$1:$J$39,7,FALSE())</f>
        <v>4</v>
      </c>
      <c r="R70" s="1" t="str">
        <f aca="false">VLOOKUP(K70,clasif_filas!$A$1:$J$39,8,FALSE())</f>
        <v>Productos metálicos, maquinaria y equipo</v>
      </c>
      <c r="S70" s="1" t="n">
        <f aca="false">VLOOKUP(K70,clasif_filas!$A$1:$J$39,9,FALSE())</f>
        <v>3</v>
      </c>
      <c r="T70" s="1" t="str">
        <f aca="false">VLOOKUP(K70,clasif_filas!$A$1:$J$39,10,FALSE())</f>
        <v>No bioeconomía</v>
      </c>
      <c r="U70" s="61"/>
    </row>
    <row r="71" customFormat="false" ht="14.25" hidden="false" customHeight="false" outlineLevel="0" collapsed="false">
      <c r="A71" s="24" t="s">
        <v>141</v>
      </c>
      <c r="B71" s="9" t="s">
        <v>1786</v>
      </c>
      <c r="C71" s="9" t="str">
        <f aca="false">VLOOKUP(B71, AT_FILAS!$A$2:$C$8,2,FALSE())</f>
        <v>Producción</v>
      </c>
      <c r="D71" s="9" t="str">
        <f aca="false">VLOOKUP(B71, AT_FILAS!$A$2:$C$8,3,FALSE())</f>
        <v>P1</v>
      </c>
      <c r="E71" s="9" t="s">
        <v>1959</v>
      </c>
      <c r="F71" s="9" t="s">
        <v>1960</v>
      </c>
      <c r="G71" s="9" t="s">
        <v>1750</v>
      </c>
      <c r="H71" s="9" t="n">
        <v>4</v>
      </c>
      <c r="I71" s="9" t="s">
        <v>1750</v>
      </c>
      <c r="J71" s="9" t="s">
        <v>1750</v>
      </c>
      <c r="K71" s="62" t="s">
        <v>1958</v>
      </c>
      <c r="L71" s="1" t="str">
        <f aca="false">VLOOKUP(K71,clasif_filas!$A$1:$J$39,2,FALSE())</f>
        <v>Metales, Maquianria, equipos y transporte</v>
      </c>
      <c r="M71" s="1" t="str">
        <f aca="false">VLOOKUP(K71,clasif_filas!$A$1:$J$39,3,FALSE())</f>
        <v>41-49</v>
      </c>
      <c r="N71" s="1" t="str">
        <f aca="false">VLOOKUP(K71,clasif_filas!$A$1:$J$39,4,FALSE())</f>
        <v>Metales, Maquianria, equipos y transporte</v>
      </c>
      <c r="O71" s="1" t="n">
        <f aca="false">VLOOKUP(K71,clasif_filas!$A$1:$J$39,5,FALSE())</f>
        <v>99</v>
      </c>
      <c r="P71" s="1" t="str">
        <f aca="false">VLOOKUP(K71,clasif_filas!$A$1:$J$39,6,FALSE())</f>
        <v>No Bioeconomía</v>
      </c>
      <c r="Q71" s="1" t="n">
        <f aca="false">VLOOKUP(K71,clasif_filas!$A$1:$J$39,7,FALSE())</f>
        <v>4</v>
      </c>
      <c r="R71" s="1" t="str">
        <f aca="false">VLOOKUP(K71,clasif_filas!$A$1:$J$39,8,FALSE())</f>
        <v>Productos metálicos, maquinaria y equipo</v>
      </c>
      <c r="S71" s="1" t="n">
        <f aca="false">VLOOKUP(K71,clasif_filas!$A$1:$J$39,9,FALSE())</f>
        <v>3</v>
      </c>
      <c r="T71" s="1" t="str">
        <f aca="false">VLOOKUP(K71,clasif_filas!$A$1:$J$39,10,FALSE())</f>
        <v>No bioeconomía</v>
      </c>
      <c r="U71" s="61"/>
    </row>
    <row r="72" customFormat="false" ht="14.25" hidden="false" customHeight="false" outlineLevel="0" collapsed="false">
      <c r="A72" s="24" t="s">
        <v>143</v>
      </c>
      <c r="B72" s="9" t="s">
        <v>1786</v>
      </c>
      <c r="C72" s="9" t="str">
        <f aca="false">VLOOKUP(B72, AT_FILAS!$A$2:$C$8,2,FALSE())</f>
        <v>Producción</v>
      </c>
      <c r="D72" s="9" t="str">
        <f aca="false">VLOOKUP(B72, AT_FILAS!$A$2:$C$8,3,FALSE())</f>
        <v>P1</v>
      </c>
      <c r="E72" s="9" t="s">
        <v>1961</v>
      </c>
      <c r="F72" s="9" t="s">
        <v>1962</v>
      </c>
      <c r="G72" s="9" t="s">
        <v>1750</v>
      </c>
      <c r="H72" s="9" t="n">
        <v>4</v>
      </c>
      <c r="I72" s="9" t="s">
        <v>1750</v>
      </c>
      <c r="J72" s="9" t="s">
        <v>1750</v>
      </c>
      <c r="K72" s="62" t="s">
        <v>1958</v>
      </c>
      <c r="L72" s="1" t="str">
        <f aca="false">VLOOKUP(K72,clasif_filas!$A$1:$J$39,2,FALSE())</f>
        <v>Metales, Maquianria, equipos y transporte</v>
      </c>
      <c r="M72" s="1" t="str">
        <f aca="false">VLOOKUP(K72,clasif_filas!$A$1:$J$39,3,FALSE())</f>
        <v>41-49</v>
      </c>
      <c r="N72" s="1" t="str">
        <f aca="false">VLOOKUP(K72,clasif_filas!$A$1:$J$39,4,FALSE())</f>
        <v>Metales, Maquianria, equipos y transporte</v>
      </c>
      <c r="O72" s="1" t="n">
        <f aca="false">VLOOKUP(K72,clasif_filas!$A$1:$J$39,5,FALSE())</f>
        <v>99</v>
      </c>
      <c r="P72" s="1" t="str">
        <f aca="false">VLOOKUP(K72,clasif_filas!$A$1:$J$39,6,FALSE())</f>
        <v>No Bioeconomía</v>
      </c>
      <c r="Q72" s="1" t="n">
        <f aca="false">VLOOKUP(K72,clasif_filas!$A$1:$J$39,7,FALSE())</f>
        <v>4</v>
      </c>
      <c r="R72" s="1" t="str">
        <f aca="false">VLOOKUP(K72,clasif_filas!$A$1:$J$39,8,FALSE())</f>
        <v>Productos metálicos, maquinaria y equipo</v>
      </c>
      <c r="S72" s="1" t="n">
        <f aca="false">VLOOKUP(K72,clasif_filas!$A$1:$J$39,9,FALSE())</f>
        <v>3</v>
      </c>
      <c r="T72" s="1" t="str">
        <f aca="false">VLOOKUP(K72,clasif_filas!$A$1:$J$39,10,FALSE())</f>
        <v>No bioeconomía</v>
      </c>
      <c r="U72" s="61"/>
    </row>
    <row r="73" customFormat="false" ht="14.25" hidden="false" customHeight="false" outlineLevel="0" collapsed="false">
      <c r="A73" s="24" t="s">
        <v>145</v>
      </c>
      <c r="B73" s="9" t="s">
        <v>1786</v>
      </c>
      <c r="C73" s="9" t="str">
        <f aca="false">VLOOKUP(B73, AT_FILAS!$A$2:$C$8,2,FALSE())</f>
        <v>Producción</v>
      </c>
      <c r="D73" s="9" t="str">
        <f aca="false">VLOOKUP(B73, AT_FILAS!$A$2:$C$8,3,FALSE())</f>
        <v>P1</v>
      </c>
      <c r="E73" s="9" t="s">
        <v>1963</v>
      </c>
      <c r="F73" s="9" t="s">
        <v>1964</v>
      </c>
      <c r="G73" s="9" t="s">
        <v>1750</v>
      </c>
      <c r="H73" s="9" t="n">
        <v>4</v>
      </c>
      <c r="I73" s="9" t="s">
        <v>1750</v>
      </c>
      <c r="J73" s="9" t="s">
        <v>1750</v>
      </c>
      <c r="K73" s="62" t="s">
        <v>1958</v>
      </c>
      <c r="L73" s="1" t="str">
        <f aca="false">VLOOKUP(K73,clasif_filas!$A$1:$J$39,2,FALSE())</f>
        <v>Metales, Maquianria, equipos y transporte</v>
      </c>
      <c r="M73" s="1" t="str">
        <f aca="false">VLOOKUP(K73,clasif_filas!$A$1:$J$39,3,FALSE())</f>
        <v>41-49</v>
      </c>
      <c r="N73" s="1" t="str">
        <f aca="false">VLOOKUP(K73,clasif_filas!$A$1:$J$39,4,FALSE())</f>
        <v>Metales, Maquianria, equipos y transporte</v>
      </c>
      <c r="O73" s="1" t="n">
        <f aca="false">VLOOKUP(K73,clasif_filas!$A$1:$J$39,5,FALSE())</f>
        <v>99</v>
      </c>
      <c r="P73" s="1" t="str">
        <f aca="false">VLOOKUP(K73,clasif_filas!$A$1:$J$39,6,FALSE())</f>
        <v>No Bioeconomía</v>
      </c>
      <c r="Q73" s="1" t="n">
        <f aca="false">VLOOKUP(K73,clasif_filas!$A$1:$J$39,7,FALSE())</f>
        <v>4</v>
      </c>
      <c r="R73" s="1" t="str">
        <f aca="false">VLOOKUP(K73,clasif_filas!$A$1:$J$39,8,FALSE())</f>
        <v>Productos metálicos, maquinaria y equipo</v>
      </c>
      <c r="S73" s="1" t="n">
        <f aca="false">VLOOKUP(K73,clasif_filas!$A$1:$J$39,9,FALSE())</f>
        <v>3</v>
      </c>
      <c r="T73" s="1" t="str">
        <f aca="false">VLOOKUP(K73,clasif_filas!$A$1:$J$39,10,FALSE())</f>
        <v>No bioeconomía</v>
      </c>
      <c r="U73" s="61"/>
    </row>
    <row r="74" customFormat="false" ht="14.25" hidden="false" customHeight="false" outlineLevel="0" collapsed="false">
      <c r="A74" s="24" t="s">
        <v>147</v>
      </c>
      <c r="B74" s="9" t="s">
        <v>1786</v>
      </c>
      <c r="C74" s="9" t="str">
        <f aca="false">VLOOKUP(B74, AT_FILAS!$A$2:$C$8,2,FALSE())</f>
        <v>Producción</v>
      </c>
      <c r="D74" s="9" t="str">
        <f aca="false">VLOOKUP(B74, AT_FILAS!$A$2:$C$8,3,FALSE())</f>
        <v>P1</v>
      </c>
      <c r="E74" s="9" t="s">
        <v>1965</v>
      </c>
      <c r="F74" s="9" t="s">
        <v>1966</v>
      </c>
      <c r="G74" s="9" t="s">
        <v>1750</v>
      </c>
      <c r="H74" s="9" t="n">
        <v>4</v>
      </c>
      <c r="I74" s="9" t="s">
        <v>1750</v>
      </c>
      <c r="J74" s="9" t="s">
        <v>1750</v>
      </c>
      <c r="K74" s="62" t="s">
        <v>1958</v>
      </c>
      <c r="L74" s="1" t="str">
        <f aca="false">VLOOKUP(K74,clasif_filas!$A$1:$J$39,2,FALSE())</f>
        <v>Metales, Maquianria, equipos y transporte</v>
      </c>
      <c r="M74" s="1" t="str">
        <f aca="false">VLOOKUP(K74,clasif_filas!$A$1:$J$39,3,FALSE())</f>
        <v>41-49</v>
      </c>
      <c r="N74" s="1" t="str">
        <f aca="false">VLOOKUP(K74,clasif_filas!$A$1:$J$39,4,FALSE())</f>
        <v>Metales, Maquianria, equipos y transporte</v>
      </c>
      <c r="O74" s="1" t="n">
        <f aca="false">VLOOKUP(K74,clasif_filas!$A$1:$J$39,5,FALSE())</f>
        <v>99</v>
      </c>
      <c r="P74" s="1" t="str">
        <f aca="false">VLOOKUP(K74,clasif_filas!$A$1:$J$39,6,FALSE())</f>
        <v>No Bioeconomía</v>
      </c>
      <c r="Q74" s="1" t="n">
        <f aca="false">VLOOKUP(K74,clasif_filas!$A$1:$J$39,7,FALSE())</f>
        <v>4</v>
      </c>
      <c r="R74" s="1" t="str">
        <f aca="false">VLOOKUP(K74,clasif_filas!$A$1:$J$39,8,FALSE())</f>
        <v>Productos metálicos, maquinaria y equipo</v>
      </c>
      <c r="S74" s="1" t="n">
        <f aca="false">VLOOKUP(K74,clasif_filas!$A$1:$J$39,9,FALSE())</f>
        <v>3</v>
      </c>
      <c r="T74" s="1" t="str">
        <f aca="false">VLOOKUP(K74,clasif_filas!$A$1:$J$39,10,FALSE())</f>
        <v>No bioeconomía</v>
      </c>
      <c r="U74" s="61"/>
    </row>
    <row r="75" customFormat="false" ht="14.25" hidden="false" customHeight="false" outlineLevel="0" collapsed="false">
      <c r="A75" s="24" t="s">
        <v>149</v>
      </c>
      <c r="B75" s="9" t="s">
        <v>1786</v>
      </c>
      <c r="C75" s="9" t="str">
        <f aca="false">VLOOKUP(B75, AT_FILAS!$A$2:$C$8,2,FALSE())</f>
        <v>Producción</v>
      </c>
      <c r="D75" s="9" t="str">
        <f aca="false">VLOOKUP(B75, AT_FILAS!$A$2:$C$8,3,FALSE())</f>
        <v>P1</v>
      </c>
      <c r="E75" s="9" t="s">
        <v>1967</v>
      </c>
      <c r="F75" s="9" t="s">
        <v>1968</v>
      </c>
      <c r="G75" s="9" t="s">
        <v>1750</v>
      </c>
      <c r="H75" s="9" t="n">
        <v>4</v>
      </c>
      <c r="I75" s="9" t="s">
        <v>1750</v>
      </c>
      <c r="J75" s="9" t="s">
        <v>1750</v>
      </c>
      <c r="K75" s="62" t="s">
        <v>1958</v>
      </c>
      <c r="L75" s="1" t="str">
        <f aca="false">VLOOKUP(K75,clasif_filas!$A$1:$J$39,2,FALSE())</f>
        <v>Metales, Maquianria, equipos y transporte</v>
      </c>
      <c r="M75" s="1" t="str">
        <f aca="false">VLOOKUP(K75,clasif_filas!$A$1:$J$39,3,FALSE())</f>
        <v>41-49</v>
      </c>
      <c r="N75" s="1" t="str">
        <f aca="false">VLOOKUP(K75,clasif_filas!$A$1:$J$39,4,FALSE())</f>
        <v>Metales, Maquianria, equipos y transporte</v>
      </c>
      <c r="O75" s="1" t="n">
        <f aca="false">VLOOKUP(K75,clasif_filas!$A$1:$J$39,5,FALSE())</f>
        <v>99</v>
      </c>
      <c r="P75" s="1" t="str">
        <f aca="false">VLOOKUP(K75,clasif_filas!$A$1:$J$39,6,FALSE())</f>
        <v>No Bioeconomía</v>
      </c>
      <c r="Q75" s="1" t="n">
        <f aca="false">VLOOKUP(K75,clasif_filas!$A$1:$J$39,7,FALSE())</f>
        <v>4</v>
      </c>
      <c r="R75" s="1" t="str">
        <f aca="false">VLOOKUP(K75,clasif_filas!$A$1:$J$39,8,FALSE())</f>
        <v>Productos metálicos, maquinaria y equipo</v>
      </c>
      <c r="S75" s="1" t="n">
        <f aca="false">VLOOKUP(K75,clasif_filas!$A$1:$J$39,9,FALSE())</f>
        <v>3</v>
      </c>
      <c r="T75" s="1" t="str">
        <f aca="false">VLOOKUP(K75,clasif_filas!$A$1:$J$39,10,FALSE())</f>
        <v>No bioeconomía</v>
      </c>
      <c r="U75" s="61"/>
    </row>
    <row r="76" customFormat="false" ht="14.25" hidden="false" customHeight="false" outlineLevel="0" collapsed="false">
      <c r="A76" s="24" t="s">
        <v>151</v>
      </c>
      <c r="B76" s="9" t="s">
        <v>1786</v>
      </c>
      <c r="C76" s="9" t="str">
        <f aca="false">VLOOKUP(B76, AT_FILAS!$A$2:$C$8,2,FALSE())</f>
        <v>Producción</v>
      </c>
      <c r="D76" s="9" t="str">
        <f aca="false">VLOOKUP(B76, AT_FILAS!$A$2:$C$8,3,FALSE())</f>
        <v>P1</v>
      </c>
      <c r="E76" s="9" t="s">
        <v>1969</v>
      </c>
      <c r="F76" s="9" t="s">
        <v>1970</v>
      </c>
      <c r="G76" s="9" t="s">
        <v>1750</v>
      </c>
      <c r="H76" s="9" t="n">
        <v>4</v>
      </c>
      <c r="I76" s="9" t="s">
        <v>1750</v>
      </c>
      <c r="J76" s="9" t="s">
        <v>1750</v>
      </c>
      <c r="K76" s="62" t="s">
        <v>1958</v>
      </c>
      <c r="L76" s="1" t="str">
        <f aca="false">VLOOKUP(K76,clasif_filas!$A$1:$J$39,2,FALSE())</f>
        <v>Metales, Maquianria, equipos y transporte</v>
      </c>
      <c r="M76" s="1" t="str">
        <f aca="false">VLOOKUP(K76,clasif_filas!$A$1:$J$39,3,FALSE())</f>
        <v>41-49</v>
      </c>
      <c r="N76" s="1" t="str">
        <f aca="false">VLOOKUP(K76,clasif_filas!$A$1:$J$39,4,FALSE())</f>
        <v>Metales, Maquianria, equipos y transporte</v>
      </c>
      <c r="O76" s="1" t="n">
        <f aca="false">VLOOKUP(K76,clasif_filas!$A$1:$J$39,5,FALSE())</f>
        <v>99</v>
      </c>
      <c r="P76" s="1" t="str">
        <f aca="false">VLOOKUP(K76,clasif_filas!$A$1:$J$39,6,FALSE())</f>
        <v>No Bioeconomía</v>
      </c>
      <c r="Q76" s="1" t="n">
        <f aca="false">VLOOKUP(K76,clasif_filas!$A$1:$J$39,7,FALSE())</f>
        <v>4</v>
      </c>
      <c r="R76" s="1" t="str">
        <f aca="false">VLOOKUP(K76,clasif_filas!$A$1:$J$39,8,FALSE())</f>
        <v>Productos metálicos, maquinaria y equipo</v>
      </c>
      <c r="S76" s="1" t="n">
        <f aca="false">VLOOKUP(K76,clasif_filas!$A$1:$J$39,9,FALSE())</f>
        <v>3</v>
      </c>
      <c r="T76" s="1" t="str">
        <f aca="false">VLOOKUP(K76,clasif_filas!$A$1:$J$39,10,FALSE())</f>
        <v>No bioeconomía</v>
      </c>
      <c r="U76" s="61"/>
    </row>
    <row r="77" customFormat="false" ht="14.25" hidden="false" customHeight="false" outlineLevel="0" collapsed="false">
      <c r="A77" s="24" t="s">
        <v>153</v>
      </c>
      <c r="B77" s="9" t="s">
        <v>1786</v>
      </c>
      <c r="C77" s="9" t="str">
        <f aca="false">VLOOKUP(B77, AT_FILAS!$A$2:$C$8,2,FALSE())</f>
        <v>Producción</v>
      </c>
      <c r="D77" s="9" t="str">
        <f aca="false">VLOOKUP(B77, AT_FILAS!$A$2:$C$8,3,FALSE())</f>
        <v>P1</v>
      </c>
      <c r="E77" s="9" t="s">
        <v>1971</v>
      </c>
      <c r="F77" s="9" t="s">
        <v>1972</v>
      </c>
      <c r="G77" s="9" t="s">
        <v>1750</v>
      </c>
      <c r="H77" s="9" t="n">
        <v>4</v>
      </c>
      <c r="I77" s="9" t="s">
        <v>1750</v>
      </c>
      <c r="J77" s="9" t="s">
        <v>1750</v>
      </c>
      <c r="K77" s="62" t="s">
        <v>1958</v>
      </c>
      <c r="L77" s="1" t="str">
        <f aca="false">VLOOKUP(K77,clasif_filas!$A$1:$J$39,2,FALSE())</f>
        <v>Metales, Maquianria, equipos y transporte</v>
      </c>
      <c r="M77" s="1" t="str">
        <f aca="false">VLOOKUP(K77,clasif_filas!$A$1:$J$39,3,FALSE())</f>
        <v>41-49</v>
      </c>
      <c r="N77" s="1" t="str">
        <f aca="false">VLOOKUP(K77,clasif_filas!$A$1:$J$39,4,FALSE())</f>
        <v>Metales, Maquianria, equipos y transporte</v>
      </c>
      <c r="O77" s="1" t="n">
        <f aca="false">VLOOKUP(K77,clasif_filas!$A$1:$J$39,5,FALSE())</f>
        <v>99</v>
      </c>
      <c r="P77" s="1" t="str">
        <f aca="false">VLOOKUP(K77,clasif_filas!$A$1:$J$39,6,FALSE())</f>
        <v>No Bioeconomía</v>
      </c>
      <c r="Q77" s="1" t="n">
        <f aca="false">VLOOKUP(K77,clasif_filas!$A$1:$J$39,7,FALSE())</f>
        <v>4</v>
      </c>
      <c r="R77" s="1" t="str">
        <f aca="false">VLOOKUP(K77,clasif_filas!$A$1:$J$39,8,FALSE())</f>
        <v>Productos metálicos, maquinaria y equipo</v>
      </c>
      <c r="S77" s="1" t="n">
        <f aca="false">VLOOKUP(K77,clasif_filas!$A$1:$J$39,9,FALSE())</f>
        <v>3</v>
      </c>
      <c r="T77" s="1" t="str">
        <f aca="false">VLOOKUP(K77,clasif_filas!$A$1:$J$39,10,FALSE())</f>
        <v>No bioeconomía</v>
      </c>
      <c r="U77" s="61"/>
    </row>
    <row r="78" customFormat="false" ht="14.25" hidden="false" customHeight="false" outlineLevel="0" collapsed="false">
      <c r="A78" s="24" t="s">
        <v>155</v>
      </c>
      <c r="B78" s="9" t="s">
        <v>1786</v>
      </c>
      <c r="C78" s="9" t="str">
        <f aca="false">VLOOKUP(B78, AT_FILAS!$A$2:$C$8,2,FALSE())</f>
        <v>Producción</v>
      </c>
      <c r="D78" s="9" t="str">
        <f aca="false">VLOOKUP(B78, AT_FILAS!$A$2:$C$8,3,FALSE())</f>
        <v>P1</v>
      </c>
      <c r="E78" s="9" t="s">
        <v>1973</v>
      </c>
      <c r="F78" s="9" t="s">
        <v>1974</v>
      </c>
      <c r="G78" s="9" t="s">
        <v>1750</v>
      </c>
      <c r="H78" s="9" t="n">
        <v>4</v>
      </c>
      <c r="I78" s="9" t="s">
        <v>1750</v>
      </c>
      <c r="J78" s="9" t="s">
        <v>1750</v>
      </c>
      <c r="K78" s="62" t="s">
        <v>1958</v>
      </c>
      <c r="L78" s="1" t="str">
        <f aca="false">VLOOKUP(K78,clasif_filas!$A$1:$J$39,2,FALSE())</f>
        <v>Metales, Maquianria, equipos y transporte</v>
      </c>
      <c r="M78" s="1" t="str">
        <f aca="false">VLOOKUP(K78,clasif_filas!$A$1:$J$39,3,FALSE())</f>
        <v>41-49</v>
      </c>
      <c r="N78" s="1" t="str">
        <f aca="false">VLOOKUP(K78,clasif_filas!$A$1:$J$39,4,FALSE())</f>
        <v>Metales, Maquianria, equipos y transporte</v>
      </c>
      <c r="O78" s="1" t="n">
        <f aca="false">VLOOKUP(K78,clasif_filas!$A$1:$J$39,5,FALSE())</f>
        <v>99</v>
      </c>
      <c r="P78" s="1" t="str">
        <f aca="false">VLOOKUP(K78,clasif_filas!$A$1:$J$39,6,FALSE())</f>
        <v>No Bioeconomía</v>
      </c>
      <c r="Q78" s="1" t="n">
        <f aca="false">VLOOKUP(K78,clasif_filas!$A$1:$J$39,7,FALSE())</f>
        <v>4</v>
      </c>
      <c r="R78" s="1" t="str">
        <f aca="false">VLOOKUP(K78,clasif_filas!$A$1:$J$39,8,FALSE())</f>
        <v>Productos metálicos, maquinaria y equipo</v>
      </c>
      <c r="S78" s="1" t="n">
        <f aca="false">VLOOKUP(K78,clasif_filas!$A$1:$J$39,9,FALSE())</f>
        <v>3</v>
      </c>
      <c r="T78" s="1" t="str">
        <f aca="false">VLOOKUP(K78,clasif_filas!$A$1:$J$39,10,FALSE())</f>
        <v>No bioeconomía</v>
      </c>
      <c r="U78" s="61"/>
    </row>
    <row r="79" customFormat="false" ht="14.25" hidden="false" customHeight="false" outlineLevel="0" collapsed="false">
      <c r="A79" s="24" t="s">
        <v>157</v>
      </c>
      <c r="B79" s="9" t="s">
        <v>1786</v>
      </c>
      <c r="C79" s="9" t="str">
        <f aca="false">VLOOKUP(B79, AT_FILAS!$A$2:$C$8,2,FALSE())</f>
        <v>Producción</v>
      </c>
      <c r="D79" s="9" t="str">
        <f aca="false">VLOOKUP(B79, AT_FILAS!$A$2:$C$8,3,FALSE())</f>
        <v>P1</v>
      </c>
      <c r="E79" s="9" t="s">
        <v>1975</v>
      </c>
      <c r="F79" s="9" t="s">
        <v>1976</v>
      </c>
      <c r="G79" s="9" t="s">
        <v>1750</v>
      </c>
      <c r="H79" s="9" t="n">
        <v>4</v>
      </c>
      <c r="I79" s="9" t="s">
        <v>1750</v>
      </c>
      <c r="J79" s="9" t="s">
        <v>1750</v>
      </c>
      <c r="K79" s="62" t="s">
        <v>1958</v>
      </c>
      <c r="L79" s="1" t="str">
        <f aca="false">VLOOKUP(K79,clasif_filas!$A$1:$J$39,2,FALSE())</f>
        <v>Metales, Maquianria, equipos y transporte</v>
      </c>
      <c r="M79" s="1" t="str">
        <f aca="false">VLOOKUP(K79,clasif_filas!$A$1:$J$39,3,FALSE())</f>
        <v>41-49</v>
      </c>
      <c r="N79" s="1" t="str">
        <f aca="false">VLOOKUP(K79,clasif_filas!$A$1:$J$39,4,FALSE())</f>
        <v>Metales, Maquianria, equipos y transporte</v>
      </c>
      <c r="O79" s="1" t="n">
        <f aca="false">VLOOKUP(K79,clasif_filas!$A$1:$J$39,5,FALSE())</f>
        <v>99</v>
      </c>
      <c r="P79" s="1" t="str">
        <f aca="false">VLOOKUP(K79,clasif_filas!$A$1:$J$39,6,FALSE())</f>
        <v>No Bioeconomía</v>
      </c>
      <c r="Q79" s="1" t="n">
        <f aca="false">VLOOKUP(K79,clasif_filas!$A$1:$J$39,7,FALSE())</f>
        <v>4</v>
      </c>
      <c r="R79" s="1" t="str">
        <f aca="false">VLOOKUP(K79,clasif_filas!$A$1:$J$39,8,FALSE())</f>
        <v>Productos metálicos, maquinaria y equipo</v>
      </c>
      <c r="S79" s="1" t="n">
        <f aca="false">VLOOKUP(K79,clasif_filas!$A$1:$J$39,9,FALSE())</f>
        <v>3</v>
      </c>
      <c r="T79" s="1" t="str">
        <f aca="false">VLOOKUP(K79,clasif_filas!$A$1:$J$39,10,FALSE())</f>
        <v>No bioeconomía</v>
      </c>
      <c r="U79" s="61"/>
    </row>
    <row r="80" customFormat="false" ht="14.25" hidden="false" customHeight="false" outlineLevel="0" collapsed="false">
      <c r="A80" s="24" t="s">
        <v>159</v>
      </c>
      <c r="B80" s="9" t="s">
        <v>1786</v>
      </c>
      <c r="C80" s="9" t="str">
        <f aca="false">VLOOKUP(B80, AT_FILAS!$A$2:$C$8,2,FALSE())</f>
        <v>Producción</v>
      </c>
      <c r="D80" s="9" t="str">
        <f aca="false">VLOOKUP(B80, AT_FILAS!$A$2:$C$8,3,FALSE())</f>
        <v>P1</v>
      </c>
      <c r="E80" s="9" t="s">
        <v>1977</v>
      </c>
      <c r="F80" s="9" t="s">
        <v>1978</v>
      </c>
      <c r="G80" s="9" t="s">
        <v>1750</v>
      </c>
      <c r="H80" s="9" t="n">
        <v>4</v>
      </c>
      <c r="I80" s="9" t="s">
        <v>1750</v>
      </c>
      <c r="J80" s="9" t="s">
        <v>1750</v>
      </c>
      <c r="K80" s="62" t="s">
        <v>1958</v>
      </c>
      <c r="L80" s="1" t="str">
        <f aca="false">VLOOKUP(K80,clasif_filas!$A$1:$J$39,2,FALSE())</f>
        <v>Metales, Maquianria, equipos y transporte</v>
      </c>
      <c r="M80" s="1" t="str">
        <f aca="false">VLOOKUP(K80,clasif_filas!$A$1:$J$39,3,FALSE())</f>
        <v>41-49</v>
      </c>
      <c r="N80" s="1" t="str">
        <f aca="false">VLOOKUP(K80,clasif_filas!$A$1:$J$39,4,FALSE())</f>
        <v>Metales, Maquianria, equipos y transporte</v>
      </c>
      <c r="O80" s="1" t="n">
        <f aca="false">VLOOKUP(K80,clasif_filas!$A$1:$J$39,5,FALSE())</f>
        <v>99</v>
      </c>
      <c r="P80" s="1" t="str">
        <f aca="false">VLOOKUP(K80,clasif_filas!$A$1:$J$39,6,FALSE())</f>
        <v>No Bioeconomía</v>
      </c>
      <c r="Q80" s="1" t="n">
        <f aca="false">VLOOKUP(K80,clasif_filas!$A$1:$J$39,7,FALSE())</f>
        <v>4</v>
      </c>
      <c r="R80" s="1" t="str">
        <f aca="false">VLOOKUP(K80,clasif_filas!$A$1:$J$39,8,FALSE())</f>
        <v>Productos metálicos, maquinaria y equipo</v>
      </c>
      <c r="S80" s="1" t="n">
        <f aca="false">VLOOKUP(K80,clasif_filas!$A$1:$J$39,9,FALSE())</f>
        <v>3</v>
      </c>
      <c r="T80" s="1" t="str">
        <f aca="false">VLOOKUP(K80,clasif_filas!$A$1:$J$39,10,FALSE())</f>
        <v>No bioeconomía</v>
      </c>
      <c r="U80" s="61"/>
    </row>
    <row r="81" customFormat="false" ht="14.25" hidden="false" customHeight="false" outlineLevel="0" collapsed="false">
      <c r="A81" s="24" t="s">
        <v>161</v>
      </c>
      <c r="B81" s="9" t="s">
        <v>1786</v>
      </c>
      <c r="C81" s="9" t="str">
        <f aca="false">VLOOKUP(B81, AT_FILAS!$A$2:$C$8,2,FALSE())</f>
        <v>Producción</v>
      </c>
      <c r="D81" s="9" t="str">
        <f aca="false">VLOOKUP(B81, AT_FILAS!$A$2:$C$8,3,FALSE())</f>
        <v>P1</v>
      </c>
      <c r="E81" s="9" t="s">
        <v>1979</v>
      </c>
      <c r="F81" s="9" t="s">
        <v>1980</v>
      </c>
      <c r="G81" s="9" t="s">
        <v>1750</v>
      </c>
      <c r="H81" s="9" t="n">
        <v>4</v>
      </c>
      <c r="I81" s="9" t="s">
        <v>1750</v>
      </c>
      <c r="J81" s="9" t="s">
        <v>1750</v>
      </c>
      <c r="K81" s="62" t="s">
        <v>1958</v>
      </c>
      <c r="L81" s="1" t="str">
        <f aca="false">VLOOKUP(K81,clasif_filas!$A$1:$J$39,2,FALSE())</f>
        <v>Metales, Maquianria, equipos y transporte</v>
      </c>
      <c r="M81" s="1" t="str">
        <f aca="false">VLOOKUP(K81,clasif_filas!$A$1:$J$39,3,FALSE())</f>
        <v>41-49</v>
      </c>
      <c r="N81" s="1" t="str">
        <f aca="false">VLOOKUP(K81,clasif_filas!$A$1:$J$39,4,FALSE())</f>
        <v>Metales, Maquianria, equipos y transporte</v>
      </c>
      <c r="O81" s="1" t="n">
        <f aca="false">VLOOKUP(K81,clasif_filas!$A$1:$J$39,5,FALSE())</f>
        <v>99</v>
      </c>
      <c r="P81" s="1" t="str">
        <f aca="false">VLOOKUP(K81,clasif_filas!$A$1:$J$39,6,FALSE())</f>
        <v>No Bioeconomía</v>
      </c>
      <c r="Q81" s="1" t="n">
        <f aca="false">VLOOKUP(K81,clasif_filas!$A$1:$J$39,7,FALSE())</f>
        <v>4</v>
      </c>
      <c r="R81" s="1" t="str">
        <f aca="false">VLOOKUP(K81,clasif_filas!$A$1:$J$39,8,FALSE())</f>
        <v>Productos metálicos, maquinaria y equipo</v>
      </c>
      <c r="S81" s="1" t="n">
        <f aca="false">VLOOKUP(K81,clasif_filas!$A$1:$J$39,9,FALSE())</f>
        <v>3</v>
      </c>
      <c r="T81" s="1" t="str">
        <f aca="false">VLOOKUP(K81,clasif_filas!$A$1:$J$39,10,FALSE())</f>
        <v>No bioeconomía</v>
      </c>
      <c r="U81" s="61"/>
    </row>
    <row r="82" customFormat="false" ht="14.25" hidden="false" customHeight="false" outlineLevel="0" collapsed="false">
      <c r="A82" s="24" t="s">
        <v>163</v>
      </c>
      <c r="B82" s="9" t="s">
        <v>1786</v>
      </c>
      <c r="C82" s="9" t="str">
        <f aca="false">VLOOKUP(B82, AT_FILAS!$A$2:$C$8,2,FALSE())</f>
        <v>Producción</v>
      </c>
      <c r="D82" s="9" t="str">
        <f aca="false">VLOOKUP(B82, AT_FILAS!$A$2:$C$8,3,FALSE())</f>
        <v>P1</v>
      </c>
      <c r="E82" s="9" t="s">
        <v>1981</v>
      </c>
      <c r="F82" s="9" t="s">
        <v>1982</v>
      </c>
      <c r="G82" s="9" t="s">
        <v>1750</v>
      </c>
      <c r="H82" s="9" t="n">
        <v>4</v>
      </c>
      <c r="I82" s="9" t="s">
        <v>1750</v>
      </c>
      <c r="J82" s="9" t="s">
        <v>1750</v>
      </c>
      <c r="K82" s="62" t="s">
        <v>1958</v>
      </c>
      <c r="L82" s="1" t="str">
        <f aca="false">VLOOKUP(K82,clasif_filas!$A$1:$J$39,2,FALSE())</f>
        <v>Metales, Maquianria, equipos y transporte</v>
      </c>
      <c r="M82" s="1" t="str">
        <f aca="false">VLOOKUP(K82,clasif_filas!$A$1:$J$39,3,FALSE())</f>
        <v>41-49</v>
      </c>
      <c r="N82" s="1" t="str">
        <f aca="false">VLOOKUP(K82,clasif_filas!$A$1:$J$39,4,FALSE())</f>
        <v>Metales, Maquianria, equipos y transporte</v>
      </c>
      <c r="O82" s="1" t="n">
        <f aca="false">VLOOKUP(K82,clasif_filas!$A$1:$J$39,5,FALSE())</f>
        <v>99</v>
      </c>
      <c r="P82" s="1" t="str">
        <f aca="false">VLOOKUP(K82,clasif_filas!$A$1:$J$39,6,FALSE())</f>
        <v>No Bioeconomía</v>
      </c>
      <c r="Q82" s="1" t="n">
        <f aca="false">VLOOKUP(K82,clasif_filas!$A$1:$J$39,7,FALSE())</f>
        <v>4</v>
      </c>
      <c r="R82" s="1" t="str">
        <f aca="false">VLOOKUP(K82,clasif_filas!$A$1:$J$39,8,FALSE())</f>
        <v>Productos metálicos, maquinaria y equipo</v>
      </c>
      <c r="S82" s="1" t="n">
        <f aca="false">VLOOKUP(K82,clasif_filas!$A$1:$J$39,9,FALSE())</f>
        <v>3</v>
      </c>
      <c r="T82" s="1" t="str">
        <f aca="false">VLOOKUP(K82,clasif_filas!$A$1:$J$39,10,FALSE())</f>
        <v>No bioeconomía</v>
      </c>
      <c r="U82" s="61"/>
    </row>
    <row r="83" customFormat="false" ht="14.25" hidden="false" customHeight="false" outlineLevel="0" collapsed="false">
      <c r="A83" s="24" t="s">
        <v>165</v>
      </c>
      <c r="B83" s="9" t="s">
        <v>1786</v>
      </c>
      <c r="C83" s="9" t="str">
        <f aca="false">VLOOKUP(B83, AT_FILAS!$A$2:$C$8,2,FALSE())</f>
        <v>Producción</v>
      </c>
      <c r="D83" s="9" t="str">
        <f aca="false">VLOOKUP(B83, AT_FILAS!$A$2:$C$8,3,FALSE())</f>
        <v>P1</v>
      </c>
      <c r="E83" s="9" t="s">
        <v>1983</v>
      </c>
      <c r="F83" s="9" t="s">
        <v>1984</v>
      </c>
      <c r="G83" s="9" t="s">
        <v>1750</v>
      </c>
      <c r="H83" s="9" t="n">
        <v>4</v>
      </c>
      <c r="I83" s="9" t="s">
        <v>1750</v>
      </c>
      <c r="J83" s="9" t="s">
        <v>1750</v>
      </c>
      <c r="K83" s="62" t="s">
        <v>1958</v>
      </c>
      <c r="L83" s="1" t="str">
        <f aca="false">VLOOKUP(K83,clasif_filas!$A$1:$J$39,2,FALSE())</f>
        <v>Metales, Maquianria, equipos y transporte</v>
      </c>
      <c r="M83" s="1" t="str">
        <f aca="false">VLOOKUP(K83,clasif_filas!$A$1:$J$39,3,FALSE())</f>
        <v>41-49</v>
      </c>
      <c r="N83" s="1" t="str">
        <f aca="false">VLOOKUP(K83,clasif_filas!$A$1:$J$39,4,FALSE())</f>
        <v>Metales, Maquianria, equipos y transporte</v>
      </c>
      <c r="O83" s="1" t="n">
        <f aca="false">VLOOKUP(K83,clasif_filas!$A$1:$J$39,5,FALSE())</f>
        <v>99</v>
      </c>
      <c r="P83" s="1" t="str">
        <f aca="false">VLOOKUP(K83,clasif_filas!$A$1:$J$39,6,FALSE())</f>
        <v>No Bioeconomía</v>
      </c>
      <c r="Q83" s="1" t="n">
        <f aca="false">VLOOKUP(K83,clasif_filas!$A$1:$J$39,7,FALSE())</f>
        <v>4</v>
      </c>
      <c r="R83" s="1" t="str">
        <f aca="false">VLOOKUP(K83,clasif_filas!$A$1:$J$39,8,FALSE())</f>
        <v>Productos metálicos, maquinaria y equipo</v>
      </c>
      <c r="S83" s="1" t="n">
        <f aca="false">VLOOKUP(K83,clasif_filas!$A$1:$J$39,9,FALSE())</f>
        <v>3</v>
      </c>
      <c r="T83" s="1" t="str">
        <f aca="false">VLOOKUP(K83,clasif_filas!$A$1:$J$39,10,FALSE())</f>
        <v>No bioeconomía</v>
      </c>
      <c r="U83" s="61"/>
    </row>
    <row r="84" customFormat="false" ht="14.25" hidden="false" customHeight="false" outlineLevel="0" collapsed="false">
      <c r="A84" s="24" t="s">
        <v>167</v>
      </c>
      <c r="B84" s="9" t="s">
        <v>1786</v>
      </c>
      <c r="C84" s="9" t="str">
        <f aca="false">VLOOKUP(B84, AT_FILAS!$A$2:$C$8,2,FALSE())</f>
        <v>Producción</v>
      </c>
      <c r="D84" s="9" t="str">
        <f aca="false">VLOOKUP(B84, AT_FILAS!$A$2:$C$8,3,FALSE())</f>
        <v>P1</v>
      </c>
      <c r="E84" s="9" t="s">
        <v>1985</v>
      </c>
      <c r="F84" s="9" t="s">
        <v>1986</v>
      </c>
      <c r="G84" s="9" t="s">
        <v>1750</v>
      </c>
      <c r="H84" s="9" t="n">
        <v>4</v>
      </c>
      <c r="I84" s="9" t="s">
        <v>1750</v>
      </c>
      <c r="J84" s="9" t="s">
        <v>1750</v>
      </c>
      <c r="K84" s="62" t="s">
        <v>1958</v>
      </c>
      <c r="L84" s="1" t="str">
        <f aca="false">VLOOKUP(K84,clasif_filas!$A$1:$J$39,2,FALSE())</f>
        <v>Metales, Maquianria, equipos y transporte</v>
      </c>
      <c r="M84" s="1" t="str">
        <f aca="false">VLOOKUP(K84,clasif_filas!$A$1:$J$39,3,FALSE())</f>
        <v>41-49</v>
      </c>
      <c r="N84" s="1" t="str">
        <f aca="false">VLOOKUP(K84,clasif_filas!$A$1:$J$39,4,FALSE())</f>
        <v>Metales, Maquianria, equipos y transporte</v>
      </c>
      <c r="O84" s="1" t="n">
        <f aca="false">VLOOKUP(K84,clasif_filas!$A$1:$J$39,5,FALSE())</f>
        <v>99</v>
      </c>
      <c r="P84" s="1" t="str">
        <f aca="false">VLOOKUP(K84,clasif_filas!$A$1:$J$39,6,FALSE())</f>
        <v>No Bioeconomía</v>
      </c>
      <c r="Q84" s="1" t="n">
        <f aca="false">VLOOKUP(K84,clasif_filas!$A$1:$J$39,7,FALSE())</f>
        <v>4</v>
      </c>
      <c r="R84" s="1" t="str">
        <f aca="false">VLOOKUP(K84,clasif_filas!$A$1:$J$39,8,FALSE())</f>
        <v>Productos metálicos, maquinaria y equipo</v>
      </c>
      <c r="S84" s="1" t="n">
        <f aca="false">VLOOKUP(K84,clasif_filas!$A$1:$J$39,9,FALSE())</f>
        <v>3</v>
      </c>
      <c r="T84" s="1" t="str">
        <f aca="false">VLOOKUP(K84,clasif_filas!$A$1:$J$39,10,FALSE())</f>
        <v>No bioeconomía</v>
      </c>
      <c r="U84" s="61"/>
    </row>
    <row r="85" customFormat="false" ht="14.25" hidden="false" customHeight="false" outlineLevel="0" collapsed="false">
      <c r="A85" s="24" t="s">
        <v>169</v>
      </c>
      <c r="B85" s="9" t="s">
        <v>1786</v>
      </c>
      <c r="C85" s="9" t="str">
        <f aca="false">VLOOKUP(B85, AT_FILAS!$A$2:$C$8,2,FALSE())</f>
        <v>Producción</v>
      </c>
      <c r="D85" s="9" t="str">
        <f aca="false">VLOOKUP(B85, AT_FILAS!$A$2:$C$8,3,FALSE())</f>
        <v>P1</v>
      </c>
      <c r="E85" s="9" t="s">
        <v>1987</v>
      </c>
      <c r="F85" s="9" t="s">
        <v>1988</v>
      </c>
      <c r="G85" s="9" t="s">
        <v>1750</v>
      </c>
      <c r="H85" s="9" t="n">
        <v>4</v>
      </c>
      <c r="I85" s="9" t="s">
        <v>1750</v>
      </c>
      <c r="J85" s="9" t="s">
        <v>1750</v>
      </c>
      <c r="K85" s="62" t="s">
        <v>1958</v>
      </c>
      <c r="L85" s="1" t="str">
        <f aca="false">VLOOKUP(K85,clasif_filas!$A$1:$J$39,2,FALSE())</f>
        <v>Metales, Maquianria, equipos y transporte</v>
      </c>
      <c r="M85" s="1" t="str">
        <f aca="false">VLOOKUP(K85,clasif_filas!$A$1:$J$39,3,FALSE())</f>
        <v>41-49</v>
      </c>
      <c r="N85" s="1" t="str">
        <f aca="false">VLOOKUP(K85,clasif_filas!$A$1:$J$39,4,FALSE())</f>
        <v>Metales, Maquianria, equipos y transporte</v>
      </c>
      <c r="O85" s="1" t="n">
        <f aca="false">VLOOKUP(K85,clasif_filas!$A$1:$J$39,5,FALSE())</f>
        <v>99</v>
      </c>
      <c r="P85" s="1" t="str">
        <f aca="false">VLOOKUP(K85,clasif_filas!$A$1:$J$39,6,FALSE())</f>
        <v>No Bioeconomía</v>
      </c>
      <c r="Q85" s="1" t="n">
        <f aca="false">VLOOKUP(K85,clasif_filas!$A$1:$J$39,7,FALSE())</f>
        <v>4</v>
      </c>
      <c r="R85" s="1" t="str">
        <f aca="false">VLOOKUP(K85,clasif_filas!$A$1:$J$39,8,FALSE())</f>
        <v>Productos metálicos, maquinaria y equipo</v>
      </c>
      <c r="S85" s="1" t="n">
        <f aca="false">VLOOKUP(K85,clasif_filas!$A$1:$J$39,9,FALSE())</f>
        <v>3</v>
      </c>
      <c r="T85" s="1" t="str">
        <f aca="false">VLOOKUP(K85,clasif_filas!$A$1:$J$39,10,FALSE())</f>
        <v>No bioeconomía</v>
      </c>
      <c r="U85" s="61"/>
    </row>
    <row r="86" customFormat="false" ht="14.25" hidden="false" customHeight="false" outlineLevel="0" collapsed="false">
      <c r="A86" s="24" t="s">
        <v>171</v>
      </c>
      <c r="B86" s="9" t="s">
        <v>1786</v>
      </c>
      <c r="C86" s="9" t="str">
        <f aca="false">VLOOKUP(B86, AT_FILAS!$A$2:$C$8,2,FALSE())</f>
        <v>Producción</v>
      </c>
      <c r="D86" s="9" t="str">
        <f aca="false">VLOOKUP(B86, AT_FILAS!$A$2:$C$8,3,FALSE())</f>
        <v>P1</v>
      </c>
      <c r="E86" s="9" t="s">
        <v>1989</v>
      </c>
      <c r="F86" s="9" t="s">
        <v>1990</v>
      </c>
      <c r="G86" s="9" t="s">
        <v>1750</v>
      </c>
      <c r="H86" s="9" t="n">
        <v>4</v>
      </c>
      <c r="I86" s="9" t="s">
        <v>1750</v>
      </c>
      <c r="J86" s="9" t="s">
        <v>1750</v>
      </c>
      <c r="K86" s="62" t="s">
        <v>1958</v>
      </c>
      <c r="L86" s="1" t="str">
        <f aca="false">VLOOKUP(K86,clasif_filas!$A$1:$J$39,2,FALSE())</f>
        <v>Metales, Maquianria, equipos y transporte</v>
      </c>
      <c r="M86" s="1" t="str">
        <f aca="false">VLOOKUP(K86,clasif_filas!$A$1:$J$39,3,FALSE())</f>
        <v>41-49</v>
      </c>
      <c r="N86" s="1" t="str">
        <f aca="false">VLOOKUP(K86,clasif_filas!$A$1:$J$39,4,FALSE())</f>
        <v>Metales, Maquianria, equipos y transporte</v>
      </c>
      <c r="O86" s="1" t="n">
        <f aca="false">VLOOKUP(K86,clasif_filas!$A$1:$J$39,5,FALSE())</f>
        <v>99</v>
      </c>
      <c r="P86" s="1" t="str">
        <f aca="false">VLOOKUP(K86,clasif_filas!$A$1:$J$39,6,FALSE())</f>
        <v>No Bioeconomía</v>
      </c>
      <c r="Q86" s="1" t="n">
        <f aca="false">VLOOKUP(K86,clasif_filas!$A$1:$J$39,7,FALSE())</f>
        <v>4</v>
      </c>
      <c r="R86" s="1" t="str">
        <f aca="false">VLOOKUP(K86,clasif_filas!$A$1:$J$39,8,FALSE())</f>
        <v>Productos metálicos, maquinaria y equipo</v>
      </c>
      <c r="S86" s="1" t="n">
        <f aca="false">VLOOKUP(K86,clasif_filas!$A$1:$J$39,9,FALSE())</f>
        <v>3</v>
      </c>
      <c r="T86" s="1" t="str">
        <f aca="false">VLOOKUP(K86,clasif_filas!$A$1:$J$39,10,FALSE())</f>
        <v>No bioeconomía</v>
      </c>
      <c r="U86" s="61"/>
    </row>
    <row r="87" customFormat="false" ht="14.25" hidden="false" customHeight="false" outlineLevel="0" collapsed="false">
      <c r="A87" s="24" t="s">
        <v>173</v>
      </c>
      <c r="B87" s="9" t="s">
        <v>1786</v>
      </c>
      <c r="C87" s="9" t="str">
        <f aca="false">VLOOKUP(B87, AT_FILAS!$A$2:$C$8,2,FALSE())</f>
        <v>Producción</v>
      </c>
      <c r="D87" s="9" t="str">
        <f aca="false">VLOOKUP(B87, AT_FILAS!$A$2:$C$8,3,FALSE())</f>
        <v>P1</v>
      </c>
      <c r="E87" s="9" t="s">
        <v>1991</v>
      </c>
      <c r="F87" s="9" t="s">
        <v>1992</v>
      </c>
      <c r="G87" s="9" t="s">
        <v>1750</v>
      </c>
      <c r="H87" s="9" t="n">
        <v>4</v>
      </c>
      <c r="I87" s="9" t="s">
        <v>1750</v>
      </c>
      <c r="J87" s="9" t="s">
        <v>1750</v>
      </c>
      <c r="K87" s="62" t="s">
        <v>1958</v>
      </c>
      <c r="L87" s="1" t="str">
        <f aca="false">VLOOKUP(K87,clasif_filas!$A$1:$J$39,2,FALSE())</f>
        <v>Metales, Maquianria, equipos y transporte</v>
      </c>
      <c r="M87" s="1" t="str">
        <f aca="false">VLOOKUP(K87,clasif_filas!$A$1:$J$39,3,FALSE())</f>
        <v>41-49</v>
      </c>
      <c r="N87" s="1" t="str">
        <f aca="false">VLOOKUP(K87,clasif_filas!$A$1:$J$39,4,FALSE())</f>
        <v>Metales, Maquianria, equipos y transporte</v>
      </c>
      <c r="O87" s="1" t="n">
        <f aca="false">VLOOKUP(K87,clasif_filas!$A$1:$J$39,5,FALSE())</f>
        <v>99</v>
      </c>
      <c r="P87" s="1" t="str">
        <f aca="false">VLOOKUP(K87,clasif_filas!$A$1:$J$39,6,FALSE())</f>
        <v>No Bioeconomía</v>
      </c>
      <c r="Q87" s="1" t="n">
        <f aca="false">VLOOKUP(K87,clasif_filas!$A$1:$J$39,7,FALSE())</f>
        <v>4</v>
      </c>
      <c r="R87" s="1" t="str">
        <f aca="false">VLOOKUP(K87,clasif_filas!$A$1:$J$39,8,FALSE())</f>
        <v>Productos metálicos, maquinaria y equipo</v>
      </c>
      <c r="S87" s="1" t="n">
        <f aca="false">VLOOKUP(K87,clasif_filas!$A$1:$J$39,9,FALSE())</f>
        <v>3</v>
      </c>
      <c r="T87" s="1" t="str">
        <f aca="false">VLOOKUP(K87,clasif_filas!$A$1:$J$39,10,FALSE())</f>
        <v>No bioeconomía</v>
      </c>
      <c r="U87" s="61"/>
    </row>
    <row r="88" customFormat="false" ht="14.25" hidden="false" customHeight="false" outlineLevel="0" collapsed="false">
      <c r="A88" s="24" t="s">
        <v>175</v>
      </c>
      <c r="B88" s="9" t="s">
        <v>1786</v>
      </c>
      <c r="C88" s="9" t="str">
        <f aca="false">VLOOKUP(B88, AT_FILAS!$A$2:$C$8,2,FALSE())</f>
        <v>Producción</v>
      </c>
      <c r="D88" s="9" t="str">
        <f aca="false">VLOOKUP(B88, AT_FILAS!$A$2:$C$8,3,FALSE())</f>
        <v>P1</v>
      </c>
      <c r="E88" s="9" t="s">
        <v>1993</v>
      </c>
      <c r="F88" s="9" t="s">
        <v>1994</v>
      </c>
      <c r="G88" s="9" t="s">
        <v>1750</v>
      </c>
      <c r="H88" s="9" t="n">
        <v>4</v>
      </c>
      <c r="I88" s="9" t="s">
        <v>1750</v>
      </c>
      <c r="J88" s="9" t="s">
        <v>1750</v>
      </c>
      <c r="K88" s="62" t="s">
        <v>1958</v>
      </c>
      <c r="L88" s="1" t="str">
        <f aca="false">VLOOKUP(K88,clasif_filas!$A$1:$J$39,2,FALSE())</f>
        <v>Metales, Maquianria, equipos y transporte</v>
      </c>
      <c r="M88" s="1" t="str">
        <f aca="false">VLOOKUP(K88,clasif_filas!$A$1:$J$39,3,FALSE())</f>
        <v>41-49</v>
      </c>
      <c r="N88" s="1" t="str">
        <f aca="false">VLOOKUP(K88,clasif_filas!$A$1:$J$39,4,FALSE())</f>
        <v>Metales, Maquianria, equipos y transporte</v>
      </c>
      <c r="O88" s="1" t="n">
        <f aca="false">VLOOKUP(K88,clasif_filas!$A$1:$J$39,5,FALSE())</f>
        <v>99</v>
      </c>
      <c r="P88" s="1" t="str">
        <f aca="false">VLOOKUP(K88,clasif_filas!$A$1:$J$39,6,FALSE())</f>
        <v>No Bioeconomía</v>
      </c>
      <c r="Q88" s="1" t="n">
        <f aca="false">VLOOKUP(K88,clasif_filas!$A$1:$J$39,7,FALSE())</f>
        <v>4</v>
      </c>
      <c r="R88" s="1" t="str">
        <f aca="false">VLOOKUP(K88,clasif_filas!$A$1:$J$39,8,FALSE())</f>
        <v>Productos metálicos, maquinaria y equipo</v>
      </c>
      <c r="S88" s="1" t="n">
        <f aca="false">VLOOKUP(K88,clasif_filas!$A$1:$J$39,9,FALSE())</f>
        <v>3</v>
      </c>
      <c r="T88" s="1" t="str">
        <f aca="false">VLOOKUP(K88,clasif_filas!$A$1:$J$39,10,FALSE())</f>
        <v>No bioeconomía</v>
      </c>
      <c r="U88" s="61"/>
    </row>
    <row r="89" customFormat="false" ht="14.25" hidden="false" customHeight="false" outlineLevel="0" collapsed="false">
      <c r="A89" s="24" t="s">
        <v>177</v>
      </c>
      <c r="B89" s="9" t="s">
        <v>1786</v>
      </c>
      <c r="C89" s="9" t="str">
        <f aca="false">VLOOKUP(B89, AT_FILAS!$A$2:$C$8,2,FALSE())</f>
        <v>Producción</v>
      </c>
      <c r="D89" s="9" t="str">
        <f aca="false">VLOOKUP(B89, AT_FILAS!$A$2:$C$8,3,FALSE())</f>
        <v>P1</v>
      </c>
      <c r="E89" s="9" t="s">
        <v>1995</v>
      </c>
      <c r="F89" s="9" t="s">
        <v>1996</v>
      </c>
      <c r="G89" s="9" t="s">
        <v>1997</v>
      </c>
      <c r="H89" s="9" t="n">
        <v>1</v>
      </c>
      <c r="I89" s="9" t="s">
        <v>1790</v>
      </c>
      <c r="J89" s="9" t="s">
        <v>1827</v>
      </c>
      <c r="K89" s="1" t="n">
        <v>17.5</v>
      </c>
      <c r="L89" s="1" t="str">
        <f aca="false">VLOOKUP(K89,clasif_filas!$A$1:$J$39,2,FALSE())</f>
        <v>Electricidad y agua</v>
      </c>
      <c r="M89" s="1" t="n">
        <f aca="false">VLOOKUP(K89,clasif_filas!$A$1:$J$39,3,FALSE())</f>
        <v>17.5</v>
      </c>
      <c r="N89" s="1" t="str">
        <f aca="false">VLOOKUP(K89,clasif_filas!$A$1:$J$39,4,FALSE())</f>
        <v>Electricidad y agua</v>
      </c>
      <c r="O89" s="1" t="n">
        <f aca="false">VLOOKUP(K89,clasif_filas!$A$1:$J$39,5,FALSE())</f>
        <v>6</v>
      </c>
      <c r="P89" s="1" t="str">
        <f aca="false">VLOOKUP(K89,clasif_filas!$A$1:$J$39,6,FALSE())</f>
        <v>Conocimiento, procesos y servicios relacionados</v>
      </c>
      <c r="Q89" s="1" t="n">
        <f aca="false">VLOOKUP(K89,clasif_filas!$A$1:$J$39,7,FALSE())</f>
        <v>1</v>
      </c>
      <c r="R89" s="1" t="str">
        <f aca="false">VLOOKUP(K89,clasif_filas!$A$1:$J$39,8,FALSE())</f>
        <v>Minerales; electricidad, gas y agua</v>
      </c>
      <c r="S89" s="1" t="n">
        <f aca="false">VLOOKUP(K89,clasif_filas!$A$1:$J$39,9,FALSE())</f>
        <v>2</v>
      </c>
      <c r="T89" s="1" t="str">
        <f aca="false">VLOOKUP(K89,clasif_filas!$A$1:$J$39,10,FALSE())</f>
        <v>Bioeconomía extendida</v>
      </c>
      <c r="U89" s="61"/>
    </row>
    <row r="90" customFormat="false" ht="14.25" hidden="false" customHeight="false" outlineLevel="0" collapsed="false">
      <c r="A90" s="24" t="s">
        <v>179</v>
      </c>
      <c r="B90" s="9" t="s">
        <v>1786</v>
      </c>
      <c r="C90" s="9" t="str">
        <f aca="false">VLOOKUP(B90, AT_FILAS!$A$2:$C$8,2,FALSE())</f>
        <v>Producción</v>
      </c>
      <c r="D90" s="9" t="str">
        <f aca="false">VLOOKUP(B90, AT_FILAS!$A$2:$C$8,3,FALSE())</f>
        <v>P1</v>
      </c>
      <c r="E90" s="9" t="s">
        <v>1998</v>
      </c>
      <c r="F90" s="9" t="s">
        <v>1999</v>
      </c>
      <c r="G90" s="9" t="s">
        <v>2000</v>
      </c>
      <c r="H90" s="9" t="n">
        <v>1</v>
      </c>
      <c r="I90" s="9" t="s">
        <v>1790</v>
      </c>
      <c r="J90" s="9" t="s">
        <v>1791</v>
      </c>
      <c r="K90" s="1" t="n">
        <v>94</v>
      </c>
      <c r="L90" s="1" t="str">
        <f aca="false">VLOOKUP(K90,clasif_filas!$A$1:$J$39,2,FALSE())</f>
        <v>Servicios de alcantarillado, recolección, tratamiento y disposición de desechos y otros servicios de saneamiento ambiental</v>
      </c>
      <c r="M90" s="1" t="n">
        <f aca="false">VLOOKUP(K90,clasif_filas!$A$1:$J$39,3,FALSE())</f>
        <v>94</v>
      </c>
      <c r="N90" s="1" t="str">
        <f aca="false">VLOOKUP(K90,clasif_filas!$A$1:$J$39,4,FALSE())</f>
        <v>Servicios de alcantarillado, recolección, tratamiento y disposición de desechos y otros servicios de saneamiento ambiental</v>
      </c>
      <c r="O90" s="1" t="n">
        <f aca="false">VLOOKUP(K90,clasif_filas!$A$1:$J$39,5,FALSE())</f>
        <v>4</v>
      </c>
      <c r="P90" s="1" t="str">
        <f aca="false">VLOOKUP(K90,clasif_filas!$A$1:$J$39,6,FALSE())</f>
        <v>Biomasa residual en los sectores agropecuario, pesca y acuacultura, forestal y agroindustrial</v>
      </c>
      <c r="Q90" s="1" t="n">
        <f aca="false">VLOOKUP(K90,clasif_filas!$A$1:$J$39,7,FALSE())</f>
        <v>9</v>
      </c>
      <c r="R90" s="1" t="str">
        <f aca="false">VLOOKUP(K90,clasif_filas!$A$1:$J$39,8,FALSE())</f>
        <v>Servicios para la comunidad, sociales y personales</v>
      </c>
      <c r="S90" s="1" t="n">
        <f aca="false">VLOOKUP(K90,clasif_filas!$A$1:$J$39,9,FALSE())</f>
        <v>2</v>
      </c>
      <c r="T90" s="1" t="str">
        <f aca="false">VLOOKUP(K90,clasif_filas!$A$1:$J$39,10,FALSE())</f>
        <v>Bioeconomía extendida</v>
      </c>
      <c r="U90" s="61"/>
    </row>
    <row r="91" customFormat="false" ht="14.25" hidden="false" customHeight="false" outlineLevel="0" collapsed="false">
      <c r="A91" s="24" t="s">
        <v>181</v>
      </c>
      <c r="B91" s="9" t="s">
        <v>1786</v>
      </c>
      <c r="C91" s="9" t="str">
        <f aca="false">VLOOKUP(B91, AT_FILAS!$A$2:$C$8,2,FALSE())</f>
        <v>Producción</v>
      </c>
      <c r="D91" s="9" t="str">
        <f aca="false">VLOOKUP(B91, AT_FILAS!$A$2:$C$8,3,FALSE())</f>
        <v>P1</v>
      </c>
      <c r="E91" s="9" t="s">
        <v>2001</v>
      </c>
      <c r="F91" s="9" t="s">
        <v>2002</v>
      </c>
      <c r="G91" s="9" t="s">
        <v>1750</v>
      </c>
      <c r="H91" s="9" t="n">
        <v>4</v>
      </c>
      <c r="I91" s="9" t="s">
        <v>1750</v>
      </c>
      <c r="J91" s="9" t="s">
        <v>1750</v>
      </c>
      <c r="K91" s="1" t="n">
        <v>5</v>
      </c>
      <c r="L91" s="1" t="str">
        <f aca="false">VLOOKUP(K91,clasif_filas!$A$1:$J$39,2,FALSE())</f>
        <v>Construcciones y servicios de construcción</v>
      </c>
      <c r="M91" s="1" t="n">
        <f aca="false">VLOOKUP(K91,clasif_filas!$A$1:$J$39,3,FALSE())</f>
        <v>5</v>
      </c>
      <c r="N91" s="1" t="str">
        <f aca="false">VLOOKUP(K91,clasif_filas!$A$1:$J$39,4,FALSE())</f>
        <v>Construcciones y servicios de construcción</v>
      </c>
      <c r="O91" s="1" t="n">
        <f aca="false">VLOOKUP(K91,clasif_filas!$A$1:$J$39,5,FALSE())</f>
        <v>99</v>
      </c>
      <c r="P91" s="1" t="str">
        <f aca="false">VLOOKUP(K91,clasif_filas!$A$1:$J$39,6,FALSE())</f>
        <v>No Bioeconomía</v>
      </c>
      <c r="Q91" s="1" t="n">
        <f aca="false">VLOOKUP(K91,clasif_filas!$A$1:$J$39,7,FALSE())</f>
        <v>5</v>
      </c>
      <c r="R91" s="1" t="str">
        <f aca="false">VLOOKUP(K91,clasif_filas!$A$1:$J$39,8,FALSE())</f>
        <v>Construcciones y servicios de construcción</v>
      </c>
      <c r="S91" s="1" t="n">
        <f aca="false">VLOOKUP(K91,clasif_filas!$A$1:$J$39,9,FALSE())</f>
        <v>3</v>
      </c>
      <c r="T91" s="1" t="str">
        <f aca="false">VLOOKUP(K91,clasif_filas!$A$1:$J$39,10,FALSE())</f>
        <v>No bioeconomía</v>
      </c>
      <c r="U91" s="61"/>
    </row>
    <row r="92" customFormat="false" ht="14.25" hidden="false" customHeight="false" outlineLevel="0" collapsed="false">
      <c r="A92" s="24" t="s">
        <v>183</v>
      </c>
      <c r="B92" s="9" t="s">
        <v>1786</v>
      </c>
      <c r="C92" s="9" t="str">
        <f aca="false">VLOOKUP(B92, AT_FILAS!$A$2:$C$8,2,FALSE())</f>
        <v>Producción</v>
      </c>
      <c r="D92" s="9" t="str">
        <f aca="false">VLOOKUP(B92, AT_FILAS!$A$2:$C$8,3,FALSE())</f>
        <v>P1</v>
      </c>
      <c r="E92" s="9" t="s">
        <v>2003</v>
      </c>
      <c r="F92" s="9" t="s">
        <v>2004</v>
      </c>
      <c r="G92" s="9" t="s">
        <v>1750</v>
      </c>
      <c r="H92" s="9" t="n">
        <v>4</v>
      </c>
      <c r="I92" s="9" t="s">
        <v>1750</v>
      </c>
      <c r="J92" s="9" t="s">
        <v>1750</v>
      </c>
      <c r="K92" s="1" t="n">
        <v>5</v>
      </c>
      <c r="L92" s="1" t="str">
        <f aca="false">VLOOKUP(K92,clasif_filas!$A$1:$J$39,2,FALSE())</f>
        <v>Construcciones y servicios de construcción</v>
      </c>
      <c r="M92" s="1" t="n">
        <f aca="false">VLOOKUP(K92,clasif_filas!$A$1:$J$39,3,FALSE())</f>
        <v>5</v>
      </c>
      <c r="N92" s="1" t="str">
        <f aca="false">VLOOKUP(K92,clasif_filas!$A$1:$J$39,4,FALSE())</f>
        <v>Construcciones y servicios de construcción</v>
      </c>
      <c r="O92" s="1" t="n">
        <f aca="false">VLOOKUP(K92,clasif_filas!$A$1:$J$39,5,FALSE())</f>
        <v>99</v>
      </c>
      <c r="P92" s="1" t="str">
        <f aca="false">VLOOKUP(K92,clasif_filas!$A$1:$J$39,6,FALSE())</f>
        <v>No Bioeconomía</v>
      </c>
      <c r="Q92" s="1" t="n">
        <f aca="false">VLOOKUP(K92,clasif_filas!$A$1:$J$39,7,FALSE())</f>
        <v>5</v>
      </c>
      <c r="R92" s="1" t="str">
        <f aca="false">VLOOKUP(K92,clasif_filas!$A$1:$J$39,8,FALSE())</f>
        <v>Construcciones y servicios de construcción</v>
      </c>
      <c r="S92" s="1" t="n">
        <f aca="false">VLOOKUP(K92,clasif_filas!$A$1:$J$39,9,FALSE())</f>
        <v>3</v>
      </c>
      <c r="T92" s="1" t="str">
        <f aca="false">VLOOKUP(K92,clasif_filas!$A$1:$J$39,10,FALSE())</f>
        <v>No bioeconomía</v>
      </c>
      <c r="U92" s="61"/>
    </row>
    <row r="93" customFormat="false" ht="14.25" hidden="false" customHeight="false" outlineLevel="0" collapsed="false">
      <c r="A93" s="24" t="s">
        <v>185</v>
      </c>
      <c r="B93" s="9" t="s">
        <v>1786</v>
      </c>
      <c r="C93" s="9" t="str">
        <f aca="false">VLOOKUP(B93, AT_FILAS!$A$2:$C$8,2,FALSE())</f>
        <v>Producción</v>
      </c>
      <c r="D93" s="9" t="str">
        <f aca="false">VLOOKUP(B93, AT_FILAS!$A$2:$C$8,3,FALSE())</f>
        <v>P1</v>
      </c>
      <c r="E93" s="9" t="s">
        <v>2005</v>
      </c>
      <c r="F93" s="9" t="s">
        <v>2006</v>
      </c>
      <c r="G93" s="9" t="s">
        <v>1750</v>
      </c>
      <c r="H93" s="9" t="n">
        <v>4</v>
      </c>
      <c r="I93" s="9" t="s">
        <v>1750</v>
      </c>
      <c r="J93" s="9" t="s">
        <v>1750</v>
      </c>
      <c r="K93" s="1" t="n">
        <v>5</v>
      </c>
      <c r="L93" s="1" t="str">
        <f aca="false">VLOOKUP(K93,clasif_filas!$A$1:$J$39,2,FALSE())</f>
        <v>Construcciones y servicios de construcción</v>
      </c>
      <c r="M93" s="1" t="n">
        <f aca="false">VLOOKUP(K93,clasif_filas!$A$1:$J$39,3,FALSE())</f>
        <v>5</v>
      </c>
      <c r="N93" s="1" t="str">
        <f aca="false">VLOOKUP(K93,clasif_filas!$A$1:$J$39,4,FALSE())</f>
        <v>Construcciones y servicios de construcción</v>
      </c>
      <c r="O93" s="1" t="n">
        <f aca="false">VLOOKUP(K93,clasif_filas!$A$1:$J$39,5,FALSE())</f>
        <v>99</v>
      </c>
      <c r="P93" s="1" t="str">
        <f aca="false">VLOOKUP(K93,clasif_filas!$A$1:$J$39,6,FALSE())</f>
        <v>No Bioeconomía</v>
      </c>
      <c r="Q93" s="1" t="n">
        <f aca="false">VLOOKUP(K93,clasif_filas!$A$1:$J$39,7,FALSE())</f>
        <v>5</v>
      </c>
      <c r="R93" s="1" t="str">
        <f aca="false">VLOOKUP(K93,clasif_filas!$A$1:$J$39,8,FALSE())</f>
        <v>Construcciones y servicios de construcción</v>
      </c>
      <c r="S93" s="1" t="n">
        <f aca="false">VLOOKUP(K93,clasif_filas!$A$1:$J$39,9,FALSE())</f>
        <v>3</v>
      </c>
      <c r="T93" s="1" t="str">
        <f aca="false">VLOOKUP(K93,clasif_filas!$A$1:$J$39,10,FALSE())</f>
        <v>No bioeconomía</v>
      </c>
      <c r="U93" s="61"/>
    </row>
    <row r="94" customFormat="false" ht="14.25" hidden="false" customHeight="false" outlineLevel="0" collapsed="false">
      <c r="A94" s="24" t="s">
        <v>187</v>
      </c>
      <c r="B94" s="9" t="s">
        <v>1786</v>
      </c>
      <c r="C94" s="9" t="str">
        <f aca="false">VLOOKUP(B94, AT_FILAS!$A$2:$C$8,2,FALSE())</f>
        <v>Producción</v>
      </c>
      <c r="D94" s="9" t="str">
        <f aca="false">VLOOKUP(B94, AT_FILAS!$A$2:$C$8,3,FALSE())</f>
        <v>P1</v>
      </c>
      <c r="E94" s="9" t="s">
        <v>2007</v>
      </c>
      <c r="F94" s="9" t="s">
        <v>2008</v>
      </c>
      <c r="G94" s="9" t="s">
        <v>1750</v>
      </c>
      <c r="H94" s="9" t="n">
        <v>4</v>
      </c>
      <c r="I94" s="9" t="s">
        <v>1750</v>
      </c>
      <c r="J94" s="9" t="s">
        <v>1750</v>
      </c>
      <c r="K94" s="1" t="n">
        <v>6</v>
      </c>
      <c r="L94" s="1" t="str">
        <f aca="false">VLOOKUP(K94,clasif_filas!$A$1:$J$39,2,FALSE())</f>
        <v>Otros servicios</v>
      </c>
      <c r="M94" s="1" t="n">
        <f aca="false">VLOOKUP(K94,clasif_filas!$A$1:$J$39,3,FALSE())</f>
        <v>6</v>
      </c>
      <c r="N94" s="1" t="str">
        <f aca="false">VLOOKUP(K94,clasif_filas!$A$1:$J$39,4,FALSE())</f>
        <v>Otros servicios</v>
      </c>
      <c r="O94" s="1" t="n">
        <f aca="false">VLOOKUP(K94,clasif_filas!$A$1:$J$39,5,FALSE())</f>
        <v>99</v>
      </c>
      <c r="P94" s="1" t="str">
        <f aca="false">VLOOKUP(K94,clasif_filas!$A$1:$J$39,6,FALSE())</f>
        <v>No Bioeconomía</v>
      </c>
      <c r="Q94" s="1" t="n">
        <f aca="false">VLOOKUP(K94,clasif_filas!$A$1:$J$39,7,FALSE())</f>
        <v>6</v>
      </c>
      <c r="R94" s="1" t="str">
        <f aca="false">VLOOKUP(K94,clasif_filas!$A$1:$J$39,8,FALSE())</f>
        <v>Servicios comerciales de distribución; alojamiento, servicios de suministro de comidas y bebidas; servicios de transporte; y servicios de distribución de electricidad, gas y agua</v>
      </c>
      <c r="S94" s="1" t="n">
        <f aca="false">VLOOKUP(K94,clasif_filas!$A$1:$J$39,9,FALSE())</f>
        <v>3</v>
      </c>
      <c r="T94" s="1" t="str">
        <f aca="false">VLOOKUP(K94,clasif_filas!$A$1:$J$39,10,FALSE())</f>
        <v>No bioeconomía</v>
      </c>
      <c r="U94" s="61"/>
    </row>
    <row r="95" customFormat="false" ht="14.25" hidden="false" customHeight="false" outlineLevel="0" collapsed="false">
      <c r="A95" s="24" t="s">
        <v>189</v>
      </c>
      <c r="B95" s="9" t="s">
        <v>1786</v>
      </c>
      <c r="C95" s="9" t="str">
        <f aca="false">VLOOKUP(B95, AT_FILAS!$A$2:$C$8,2,FALSE())</f>
        <v>Producción</v>
      </c>
      <c r="D95" s="9" t="str">
        <f aca="false">VLOOKUP(B95, AT_FILAS!$A$2:$C$8,3,FALSE())</f>
        <v>P1</v>
      </c>
      <c r="E95" s="9" t="s">
        <v>2009</v>
      </c>
      <c r="F95" s="9" t="s">
        <v>2010</v>
      </c>
      <c r="G95" s="9" t="s">
        <v>1750</v>
      </c>
      <c r="H95" s="9" t="n">
        <v>4</v>
      </c>
      <c r="I95" s="9" t="s">
        <v>1750</v>
      </c>
      <c r="J95" s="9" t="s">
        <v>1750</v>
      </c>
      <c r="K95" s="1" t="n">
        <v>6</v>
      </c>
      <c r="L95" s="1" t="str">
        <f aca="false">VLOOKUP(K95,clasif_filas!$A$1:$J$39,2,FALSE())</f>
        <v>Otros servicios</v>
      </c>
      <c r="M95" s="1" t="n">
        <f aca="false">VLOOKUP(K95,clasif_filas!$A$1:$J$39,3,FALSE())</f>
        <v>6</v>
      </c>
      <c r="N95" s="1" t="str">
        <f aca="false">VLOOKUP(K95,clasif_filas!$A$1:$J$39,4,FALSE())</f>
        <v>Otros servicios</v>
      </c>
      <c r="O95" s="1" t="n">
        <f aca="false">VLOOKUP(K95,clasif_filas!$A$1:$J$39,5,FALSE())</f>
        <v>99</v>
      </c>
      <c r="P95" s="1" t="str">
        <f aca="false">VLOOKUP(K95,clasif_filas!$A$1:$J$39,6,FALSE())</f>
        <v>No Bioeconomía</v>
      </c>
      <c r="Q95" s="1" t="n">
        <f aca="false">VLOOKUP(K95,clasif_filas!$A$1:$J$39,7,FALSE())</f>
        <v>6</v>
      </c>
      <c r="R95" s="1" t="str">
        <f aca="false">VLOOKUP(K95,clasif_filas!$A$1:$J$39,8,FALSE())</f>
        <v>Servicios comerciales de distribución; alojamiento, servicios de suministro de comidas y bebidas; servicios de transporte; y servicios de distribución de electricidad, gas y agua</v>
      </c>
      <c r="S95" s="1" t="n">
        <f aca="false">VLOOKUP(K95,clasif_filas!$A$1:$J$39,9,FALSE())</f>
        <v>3</v>
      </c>
      <c r="T95" s="1" t="str">
        <f aca="false">VLOOKUP(K95,clasif_filas!$A$1:$J$39,10,FALSE())</f>
        <v>No bioeconomía</v>
      </c>
      <c r="U95" s="61"/>
    </row>
    <row r="96" customFormat="false" ht="14.25" hidden="false" customHeight="false" outlineLevel="0" collapsed="false">
      <c r="A96" s="24" t="s">
        <v>191</v>
      </c>
      <c r="B96" s="9" t="s">
        <v>1786</v>
      </c>
      <c r="C96" s="9" t="str">
        <f aca="false">VLOOKUP(B96, AT_FILAS!$A$2:$C$8,2,FALSE())</f>
        <v>Producción</v>
      </c>
      <c r="D96" s="9" t="str">
        <f aca="false">VLOOKUP(B96, AT_FILAS!$A$2:$C$8,3,FALSE())</f>
        <v>P1</v>
      </c>
      <c r="E96" s="9" t="s">
        <v>2011</v>
      </c>
      <c r="F96" s="9" t="s">
        <v>2012</v>
      </c>
      <c r="G96" s="9" t="s">
        <v>1750</v>
      </c>
      <c r="H96" s="9" t="n">
        <v>4</v>
      </c>
      <c r="I96" s="9" t="s">
        <v>1750</v>
      </c>
      <c r="J96" s="9" t="s">
        <v>1750</v>
      </c>
      <c r="K96" s="1" t="n">
        <v>6</v>
      </c>
      <c r="L96" s="1" t="str">
        <f aca="false">VLOOKUP(K96,clasif_filas!$A$1:$J$39,2,FALSE())</f>
        <v>Otros servicios</v>
      </c>
      <c r="M96" s="1" t="n">
        <f aca="false">VLOOKUP(K96,clasif_filas!$A$1:$J$39,3,FALSE())</f>
        <v>6</v>
      </c>
      <c r="N96" s="1" t="str">
        <f aca="false">VLOOKUP(K96,clasif_filas!$A$1:$J$39,4,FALSE())</f>
        <v>Otros servicios</v>
      </c>
      <c r="O96" s="1" t="n">
        <f aca="false">VLOOKUP(K96,clasif_filas!$A$1:$J$39,5,FALSE())</f>
        <v>99</v>
      </c>
      <c r="P96" s="1" t="str">
        <f aca="false">VLOOKUP(K96,clasif_filas!$A$1:$J$39,6,FALSE())</f>
        <v>No Bioeconomía</v>
      </c>
      <c r="Q96" s="1" t="n">
        <f aca="false">VLOOKUP(K96,clasif_filas!$A$1:$J$39,7,FALSE())</f>
        <v>6</v>
      </c>
      <c r="R96" s="1" t="str">
        <f aca="false">VLOOKUP(K96,clasif_filas!$A$1:$J$39,8,FALSE())</f>
        <v>Servicios comerciales de distribución; alojamiento, servicios de suministro de comidas y bebidas; servicios de transporte; y servicios de distribución de electricidad, gas y agua</v>
      </c>
      <c r="S96" s="1" t="n">
        <f aca="false">VLOOKUP(K96,clasif_filas!$A$1:$J$39,9,FALSE())</f>
        <v>3</v>
      </c>
      <c r="T96" s="1" t="str">
        <f aca="false">VLOOKUP(K96,clasif_filas!$A$1:$J$39,10,FALSE())</f>
        <v>No bioeconomía</v>
      </c>
      <c r="U96" s="61"/>
    </row>
    <row r="97" customFormat="false" ht="14.25" hidden="false" customHeight="false" outlineLevel="0" collapsed="false">
      <c r="A97" s="24" t="s">
        <v>193</v>
      </c>
      <c r="B97" s="9" t="s">
        <v>1786</v>
      </c>
      <c r="C97" s="9" t="str">
        <f aca="false">VLOOKUP(B97, AT_FILAS!$A$2:$C$8,2,FALSE())</f>
        <v>Producción</v>
      </c>
      <c r="D97" s="9" t="str">
        <f aca="false">VLOOKUP(B97, AT_FILAS!$A$2:$C$8,3,FALSE())</f>
        <v>P1</v>
      </c>
      <c r="E97" s="9" t="s">
        <v>2013</v>
      </c>
      <c r="F97" s="9" t="s">
        <v>2014</v>
      </c>
      <c r="G97" s="9" t="s">
        <v>1750</v>
      </c>
      <c r="H97" s="9" t="n">
        <v>4</v>
      </c>
      <c r="I97" s="9" t="s">
        <v>1750</v>
      </c>
      <c r="J97" s="9" t="s">
        <v>1750</v>
      </c>
      <c r="K97" s="1" t="n">
        <v>6</v>
      </c>
      <c r="L97" s="1" t="str">
        <f aca="false">VLOOKUP(K97,clasif_filas!$A$1:$J$39,2,FALSE())</f>
        <v>Otros servicios</v>
      </c>
      <c r="M97" s="1" t="n">
        <f aca="false">VLOOKUP(K97,clasif_filas!$A$1:$J$39,3,FALSE())</f>
        <v>6</v>
      </c>
      <c r="N97" s="1" t="str">
        <f aca="false">VLOOKUP(K97,clasif_filas!$A$1:$J$39,4,FALSE())</f>
        <v>Otros servicios</v>
      </c>
      <c r="O97" s="1" t="n">
        <f aca="false">VLOOKUP(K97,clasif_filas!$A$1:$J$39,5,FALSE())</f>
        <v>99</v>
      </c>
      <c r="P97" s="1" t="str">
        <f aca="false">VLOOKUP(K97,clasif_filas!$A$1:$J$39,6,FALSE())</f>
        <v>No Bioeconomía</v>
      </c>
      <c r="Q97" s="1" t="n">
        <f aca="false">VLOOKUP(K97,clasif_filas!$A$1:$J$39,7,FALSE())</f>
        <v>6</v>
      </c>
      <c r="R97" s="1" t="str">
        <f aca="false">VLOOKUP(K97,clasif_filas!$A$1:$J$39,8,FALSE())</f>
        <v>Servicios comerciales de distribución; alojamiento, servicios de suministro de comidas y bebidas; servicios de transporte; y servicios de distribución de electricidad, gas y agua</v>
      </c>
      <c r="S97" s="1" t="n">
        <f aca="false">VLOOKUP(K97,clasif_filas!$A$1:$J$39,9,FALSE())</f>
        <v>3</v>
      </c>
      <c r="T97" s="1" t="str">
        <f aca="false">VLOOKUP(K97,clasif_filas!$A$1:$J$39,10,FALSE())</f>
        <v>No bioeconomía</v>
      </c>
      <c r="U97" s="61"/>
    </row>
    <row r="98" customFormat="false" ht="14.25" hidden="false" customHeight="false" outlineLevel="0" collapsed="false">
      <c r="A98" s="24" t="s">
        <v>195</v>
      </c>
      <c r="B98" s="9" t="s">
        <v>1786</v>
      </c>
      <c r="C98" s="9" t="str">
        <f aca="false">VLOOKUP(B98, AT_FILAS!$A$2:$C$8,2,FALSE())</f>
        <v>Producción</v>
      </c>
      <c r="D98" s="9" t="str">
        <f aca="false">VLOOKUP(B98, AT_FILAS!$A$2:$C$8,3,FALSE())</f>
        <v>P1</v>
      </c>
      <c r="E98" s="9" t="s">
        <v>2015</v>
      </c>
      <c r="F98" s="9" t="s">
        <v>2016</v>
      </c>
      <c r="G98" s="9" t="s">
        <v>1750</v>
      </c>
      <c r="H98" s="9" t="n">
        <v>4</v>
      </c>
      <c r="I98" s="9" t="s">
        <v>1750</v>
      </c>
      <c r="J98" s="9" t="s">
        <v>1750</v>
      </c>
      <c r="K98" s="1" t="n">
        <v>6</v>
      </c>
      <c r="L98" s="1" t="str">
        <f aca="false">VLOOKUP(K98,clasif_filas!$A$1:$J$39,2,FALSE())</f>
        <v>Otros servicios</v>
      </c>
      <c r="M98" s="1" t="n">
        <f aca="false">VLOOKUP(K98,clasif_filas!$A$1:$J$39,3,FALSE())</f>
        <v>6</v>
      </c>
      <c r="N98" s="1" t="str">
        <f aca="false">VLOOKUP(K98,clasif_filas!$A$1:$J$39,4,FALSE())</f>
        <v>Otros servicios</v>
      </c>
      <c r="O98" s="1" t="n">
        <f aca="false">VLOOKUP(K98,clasif_filas!$A$1:$J$39,5,FALSE())</f>
        <v>99</v>
      </c>
      <c r="P98" s="1" t="str">
        <f aca="false">VLOOKUP(K98,clasif_filas!$A$1:$J$39,6,FALSE())</f>
        <v>No Bioeconomía</v>
      </c>
      <c r="Q98" s="1" t="n">
        <f aca="false">VLOOKUP(K98,clasif_filas!$A$1:$J$39,7,FALSE())</f>
        <v>6</v>
      </c>
      <c r="R98" s="1" t="str">
        <f aca="false">VLOOKUP(K98,clasif_filas!$A$1:$J$39,8,FALSE())</f>
        <v>Servicios comerciales de distribución; alojamiento, servicios de suministro de comidas y bebidas; servicios de transporte; y servicios de distribución de electricidad, gas y agua</v>
      </c>
      <c r="S98" s="1" t="n">
        <f aca="false">VLOOKUP(K98,clasif_filas!$A$1:$J$39,9,FALSE())</f>
        <v>3</v>
      </c>
      <c r="T98" s="1" t="str">
        <f aca="false">VLOOKUP(K98,clasif_filas!$A$1:$J$39,10,FALSE())</f>
        <v>No bioeconomía</v>
      </c>
      <c r="U98" s="61"/>
    </row>
    <row r="99" customFormat="false" ht="14.25" hidden="false" customHeight="false" outlineLevel="0" collapsed="false">
      <c r="A99" s="24" t="s">
        <v>197</v>
      </c>
      <c r="B99" s="9" t="s">
        <v>1786</v>
      </c>
      <c r="C99" s="9" t="str">
        <f aca="false">VLOOKUP(B99, AT_FILAS!$A$2:$C$8,2,FALSE())</f>
        <v>Producción</v>
      </c>
      <c r="D99" s="9" t="str">
        <f aca="false">VLOOKUP(B99, AT_FILAS!$A$2:$C$8,3,FALSE())</f>
        <v>P1</v>
      </c>
      <c r="E99" s="9" t="s">
        <v>2017</v>
      </c>
      <c r="F99" s="9" t="s">
        <v>2018</v>
      </c>
      <c r="G99" s="9" t="s">
        <v>1750</v>
      </c>
      <c r="H99" s="9" t="n">
        <v>4</v>
      </c>
      <c r="I99" s="9" t="s">
        <v>1750</v>
      </c>
      <c r="J99" s="9" t="s">
        <v>1750</v>
      </c>
      <c r="K99" s="1" t="n">
        <v>6</v>
      </c>
      <c r="L99" s="1" t="str">
        <f aca="false">VLOOKUP(K99,clasif_filas!$A$1:$J$39,2,FALSE())</f>
        <v>Otros servicios</v>
      </c>
      <c r="M99" s="1" t="n">
        <f aca="false">VLOOKUP(K99,clasif_filas!$A$1:$J$39,3,FALSE())</f>
        <v>6</v>
      </c>
      <c r="N99" s="1" t="str">
        <f aca="false">VLOOKUP(K99,clasif_filas!$A$1:$J$39,4,FALSE())</f>
        <v>Otros servicios</v>
      </c>
      <c r="O99" s="1" t="n">
        <f aca="false">VLOOKUP(K99,clasif_filas!$A$1:$J$39,5,FALSE())</f>
        <v>99</v>
      </c>
      <c r="P99" s="1" t="str">
        <f aca="false">VLOOKUP(K99,clasif_filas!$A$1:$J$39,6,FALSE())</f>
        <v>No Bioeconomía</v>
      </c>
      <c r="Q99" s="1" t="n">
        <f aca="false">VLOOKUP(K99,clasif_filas!$A$1:$J$39,7,FALSE())</f>
        <v>6</v>
      </c>
      <c r="R99" s="1" t="str">
        <f aca="false">VLOOKUP(K99,clasif_filas!$A$1:$J$39,8,FALSE())</f>
        <v>Servicios comerciales de distribución; alojamiento, servicios de suministro de comidas y bebidas; servicios de transporte; y servicios de distribución de electricidad, gas y agua</v>
      </c>
      <c r="S99" s="1" t="n">
        <f aca="false">VLOOKUP(K99,clasif_filas!$A$1:$J$39,9,FALSE())</f>
        <v>3</v>
      </c>
      <c r="T99" s="1" t="str">
        <f aca="false">VLOOKUP(K99,clasif_filas!$A$1:$J$39,10,FALSE())</f>
        <v>No bioeconomía</v>
      </c>
      <c r="U99" s="61"/>
    </row>
    <row r="100" customFormat="false" ht="14.25" hidden="false" customHeight="false" outlineLevel="0" collapsed="false">
      <c r="A100" s="24" t="s">
        <v>199</v>
      </c>
      <c r="B100" s="9" t="s">
        <v>1786</v>
      </c>
      <c r="C100" s="9" t="str">
        <f aca="false">VLOOKUP(B100, AT_FILAS!$A$2:$C$8,2,FALSE())</f>
        <v>Producción</v>
      </c>
      <c r="D100" s="9" t="str">
        <f aca="false">VLOOKUP(B100, AT_FILAS!$A$2:$C$8,3,FALSE())</f>
        <v>P1</v>
      </c>
      <c r="E100" s="9" t="s">
        <v>2019</v>
      </c>
      <c r="F100" s="9" t="s">
        <v>2020</v>
      </c>
      <c r="G100" s="9" t="s">
        <v>1750</v>
      </c>
      <c r="H100" s="9" t="n">
        <v>4</v>
      </c>
      <c r="I100" s="9" t="s">
        <v>1750</v>
      </c>
      <c r="J100" s="9" t="s">
        <v>1750</v>
      </c>
      <c r="K100" s="1" t="n">
        <v>6</v>
      </c>
      <c r="L100" s="1" t="str">
        <f aca="false">VLOOKUP(K100,clasif_filas!$A$1:$J$39,2,FALSE())</f>
        <v>Otros servicios</v>
      </c>
      <c r="M100" s="1" t="n">
        <f aca="false">VLOOKUP(K100,clasif_filas!$A$1:$J$39,3,FALSE())</f>
        <v>6</v>
      </c>
      <c r="N100" s="1" t="str">
        <f aca="false">VLOOKUP(K100,clasif_filas!$A$1:$J$39,4,FALSE())</f>
        <v>Otros servicios</v>
      </c>
      <c r="O100" s="1" t="n">
        <f aca="false">VLOOKUP(K100,clasif_filas!$A$1:$J$39,5,FALSE())</f>
        <v>99</v>
      </c>
      <c r="P100" s="1" t="str">
        <f aca="false">VLOOKUP(K100,clasif_filas!$A$1:$J$39,6,FALSE())</f>
        <v>No Bioeconomía</v>
      </c>
      <c r="Q100" s="1" t="n">
        <f aca="false">VLOOKUP(K100,clasif_filas!$A$1:$J$39,7,FALSE())</f>
        <v>6</v>
      </c>
      <c r="R100" s="1" t="str">
        <f aca="false">VLOOKUP(K100,clasif_filas!$A$1:$J$39,8,FALSE())</f>
        <v>Servicios comerciales de distribución; alojamiento, servicios de suministro de comidas y bebidas; servicios de transporte; y servicios de distribución de electricidad, gas y agua</v>
      </c>
      <c r="S100" s="1" t="n">
        <f aca="false">VLOOKUP(K100,clasif_filas!$A$1:$J$39,9,FALSE())</f>
        <v>3</v>
      </c>
      <c r="T100" s="1" t="str">
        <f aca="false">VLOOKUP(K100,clasif_filas!$A$1:$J$39,10,FALSE())</f>
        <v>No bioeconomía</v>
      </c>
      <c r="U100" s="61"/>
    </row>
    <row r="101" customFormat="false" ht="14.25" hidden="false" customHeight="false" outlineLevel="0" collapsed="false">
      <c r="A101" s="24" t="s">
        <v>201</v>
      </c>
      <c r="B101" s="9" t="s">
        <v>1786</v>
      </c>
      <c r="C101" s="9" t="str">
        <f aca="false">VLOOKUP(B101, AT_FILAS!$A$2:$C$8,2,FALSE())</f>
        <v>Producción</v>
      </c>
      <c r="D101" s="9" t="str">
        <f aca="false">VLOOKUP(B101, AT_FILAS!$A$2:$C$8,3,FALSE())</f>
        <v>P1</v>
      </c>
      <c r="E101" s="9" t="s">
        <v>2021</v>
      </c>
      <c r="F101" s="9" t="s">
        <v>2022</v>
      </c>
      <c r="G101" s="9" t="s">
        <v>1750</v>
      </c>
      <c r="H101" s="9" t="n">
        <v>4</v>
      </c>
      <c r="I101" s="9" t="s">
        <v>1750</v>
      </c>
      <c r="J101" s="9" t="s">
        <v>1750</v>
      </c>
      <c r="K101" s="1" t="n">
        <v>6</v>
      </c>
      <c r="L101" s="1" t="str">
        <f aca="false">VLOOKUP(K101,clasif_filas!$A$1:$J$39,2,FALSE())</f>
        <v>Otros servicios</v>
      </c>
      <c r="M101" s="1" t="n">
        <f aca="false">VLOOKUP(K101,clasif_filas!$A$1:$J$39,3,FALSE())</f>
        <v>6</v>
      </c>
      <c r="N101" s="1" t="str">
        <f aca="false">VLOOKUP(K101,clasif_filas!$A$1:$J$39,4,FALSE())</f>
        <v>Otros servicios</v>
      </c>
      <c r="O101" s="1" t="n">
        <f aca="false">VLOOKUP(K101,clasif_filas!$A$1:$J$39,5,FALSE())</f>
        <v>99</v>
      </c>
      <c r="P101" s="1" t="str">
        <f aca="false">VLOOKUP(K101,clasif_filas!$A$1:$J$39,6,FALSE())</f>
        <v>No Bioeconomía</v>
      </c>
      <c r="Q101" s="1" t="n">
        <f aca="false">VLOOKUP(K101,clasif_filas!$A$1:$J$39,7,FALSE())</f>
        <v>6</v>
      </c>
      <c r="R101" s="1" t="str">
        <f aca="false">VLOOKUP(K101,clasif_filas!$A$1:$J$39,8,FALSE())</f>
        <v>Servicios comerciales de distribución; alojamiento, servicios de suministro de comidas y bebidas; servicios de transporte; y servicios de distribución de electricidad, gas y agua</v>
      </c>
      <c r="S101" s="1" t="n">
        <f aca="false">VLOOKUP(K101,clasif_filas!$A$1:$J$39,9,FALSE())</f>
        <v>3</v>
      </c>
      <c r="T101" s="1" t="str">
        <f aca="false">VLOOKUP(K101,clasif_filas!$A$1:$J$39,10,FALSE())</f>
        <v>No bioeconomía</v>
      </c>
      <c r="U101" s="61"/>
    </row>
    <row r="102" customFormat="false" ht="14.25" hidden="false" customHeight="false" outlineLevel="0" collapsed="false">
      <c r="A102" s="24" t="s">
        <v>203</v>
      </c>
      <c r="B102" s="9" t="s">
        <v>1786</v>
      </c>
      <c r="C102" s="9" t="str">
        <f aca="false">VLOOKUP(B102, AT_FILAS!$A$2:$C$8,2,FALSE())</f>
        <v>Producción</v>
      </c>
      <c r="D102" s="9" t="str">
        <f aca="false">VLOOKUP(B102, AT_FILAS!$A$2:$C$8,3,FALSE())</f>
        <v>P1</v>
      </c>
      <c r="E102" s="9" t="s">
        <v>2023</v>
      </c>
      <c r="F102" s="9" t="s">
        <v>2024</v>
      </c>
      <c r="G102" s="9" t="s">
        <v>1750</v>
      </c>
      <c r="H102" s="9" t="n">
        <v>4</v>
      </c>
      <c r="I102" s="9" t="s">
        <v>1750</v>
      </c>
      <c r="J102" s="9" t="s">
        <v>1750</v>
      </c>
      <c r="K102" s="1" t="n">
        <v>6</v>
      </c>
      <c r="L102" s="1" t="str">
        <f aca="false">VLOOKUP(K102,clasif_filas!$A$1:$J$39,2,FALSE())</f>
        <v>Otros servicios</v>
      </c>
      <c r="M102" s="1" t="n">
        <f aca="false">VLOOKUP(K102,clasif_filas!$A$1:$J$39,3,FALSE())</f>
        <v>6</v>
      </c>
      <c r="N102" s="1" t="str">
        <f aca="false">VLOOKUP(K102,clasif_filas!$A$1:$J$39,4,FALSE())</f>
        <v>Otros servicios</v>
      </c>
      <c r="O102" s="1" t="n">
        <f aca="false">VLOOKUP(K102,clasif_filas!$A$1:$J$39,5,FALSE())</f>
        <v>99</v>
      </c>
      <c r="P102" s="1" t="str">
        <f aca="false">VLOOKUP(K102,clasif_filas!$A$1:$J$39,6,FALSE())</f>
        <v>No Bioeconomía</v>
      </c>
      <c r="Q102" s="1" t="n">
        <f aca="false">VLOOKUP(K102,clasif_filas!$A$1:$J$39,7,FALSE())</f>
        <v>6</v>
      </c>
      <c r="R102" s="1" t="str">
        <f aca="false">VLOOKUP(K102,clasif_filas!$A$1:$J$39,8,FALSE())</f>
        <v>Servicios comerciales de distribución; alojamiento, servicios de suministro de comidas y bebidas; servicios de transporte; y servicios de distribución de electricidad, gas y agua</v>
      </c>
      <c r="S102" s="1" t="n">
        <f aca="false">VLOOKUP(K102,clasif_filas!$A$1:$J$39,9,FALSE())</f>
        <v>3</v>
      </c>
      <c r="T102" s="1" t="str">
        <f aca="false">VLOOKUP(K102,clasif_filas!$A$1:$J$39,10,FALSE())</f>
        <v>No bioeconomía</v>
      </c>
      <c r="U102" s="61"/>
    </row>
    <row r="103" customFormat="false" ht="14.25" hidden="false" customHeight="false" outlineLevel="0" collapsed="false">
      <c r="A103" s="24" t="s">
        <v>205</v>
      </c>
      <c r="B103" s="9" t="s">
        <v>1786</v>
      </c>
      <c r="C103" s="9" t="str">
        <f aca="false">VLOOKUP(B103, AT_FILAS!$A$2:$C$8,2,FALSE())</f>
        <v>Producción</v>
      </c>
      <c r="D103" s="9" t="str">
        <f aca="false">VLOOKUP(B103, AT_FILAS!$A$2:$C$8,3,FALSE())</f>
        <v>P1</v>
      </c>
      <c r="E103" s="9" t="s">
        <v>2025</v>
      </c>
      <c r="F103" s="9" t="s">
        <v>2026</v>
      </c>
      <c r="G103" s="9" t="s">
        <v>1903</v>
      </c>
      <c r="H103" s="9" t="n">
        <v>3</v>
      </c>
      <c r="I103" s="9" t="s">
        <v>1904</v>
      </c>
      <c r="J103" s="9" t="s">
        <v>1903</v>
      </c>
      <c r="K103" s="1" t="n">
        <v>63</v>
      </c>
      <c r="L103" s="1" t="str">
        <f aca="false">VLOOKUP(K103,clasif_filas!$A$1:$J$39,2,FALSE())</f>
        <v>Alojamiento, servicios de suministro de comidas y bebidas</v>
      </c>
      <c r="M103" s="1" t="n">
        <f aca="false">VLOOKUP(K103,clasif_filas!$A$1:$J$39,3,FALSE())</f>
        <v>63</v>
      </c>
      <c r="N103" s="1" t="str">
        <f aca="false">VLOOKUP(K103,clasif_filas!$A$1:$J$39,4,FALSE())</f>
        <v>Alojamiento, servicios de suministro de comidas y bebidas</v>
      </c>
      <c r="O103" s="1" t="n">
        <f aca="false">VLOOKUP(K103,clasif_filas!$A$1:$J$39,5,FALSE())</f>
        <v>6</v>
      </c>
      <c r="P103" s="1" t="str">
        <f aca="false">VLOOKUP(K103,clasif_filas!$A$1:$J$39,6,FALSE())</f>
        <v>Conocimiento, procesos y servicios relacionados</v>
      </c>
      <c r="Q103" s="1" t="n">
        <f aca="false">VLOOKUP(K103,clasif_filas!$A$1:$J$39,7,FALSE())</f>
        <v>6</v>
      </c>
      <c r="R103" s="1" t="str">
        <f aca="false">VLOOKUP(K103,clasif_filas!$A$1:$J$39,8,FALSE())</f>
        <v>Servicios comerciales de distribución; alojamiento, servicios de suministro de comidas y bebidas; servicios de transporte; y servicios de distribución de electricidad, gas y agua</v>
      </c>
      <c r="S103" s="1" t="n">
        <f aca="false">VLOOKUP(K103,clasif_filas!$A$1:$J$39,9,FALSE())</f>
        <v>2</v>
      </c>
      <c r="T103" s="1" t="str">
        <f aca="false">VLOOKUP(K103,clasif_filas!$A$1:$J$39,10,FALSE())</f>
        <v>Bioeconomía extendida</v>
      </c>
      <c r="U103" s="61"/>
    </row>
    <row r="104" customFormat="false" ht="14.25" hidden="false" customHeight="false" outlineLevel="0" collapsed="false">
      <c r="A104" s="24" t="s">
        <v>207</v>
      </c>
      <c r="B104" s="9" t="s">
        <v>1786</v>
      </c>
      <c r="C104" s="9" t="str">
        <f aca="false">VLOOKUP(B104, AT_FILAS!$A$2:$C$8,2,FALSE())</f>
        <v>Producción</v>
      </c>
      <c r="D104" s="9" t="str">
        <f aca="false">VLOOKUP(B104, AT_FILAS!$A$2:$C$8,3,FALSE())</f>
        <v>P1</v>
      </c>
      <c r="E104" s="9" t="s">
        <v>2027</v>
      </c>
      <c r="F104" s="9" t="s">
        <v>2028</v>
      </c>
      <c r="G104" s="9" t="s">
        <v>1750</v>
      </c>
      <c r="H104" s="9" t="n">
        <v>4</v>
      </c>
      <c r="I104" s="9" t="s">
        <v>1750</v>
      </c>
      <c r="J104" s="9" t="s">
        <v>1750</v>
      </c>
      <c r="K104" s="1" t="n">
        <v>32</v>
      </c>
      <c r="L104" s="1" t="str">
        <f aca="false">VLOOKUP(K104,clasif_filas!$A$1:$J$39,2,FALSE())</f>
        <v>Pulpa de papel, papel y productos de papel; impresos, y artículos similares</v>
      </c>
      <c r="M104" s="1" t="n">
        <f aca="false">VLOOKUP(K104,clasif_filas!$A$1:$J$39,3,FALSE())</f>
        <v>32</v>
      </c>
      <c r="N104" s="1" t="str">
        <f aca="false">VLOOKUP(K104,clasif_filas!$A$1:$J$39,4,FALSE())</f>
        <v>Pulpa de papel, papel y productos de papel; impresos, y artículos similares</v>
      </c>
      <c r="O104" s="1" t="n">
        <f aca="false">VLOOKUP(K104,clasif_filas!$A$1:$J$39,5,FALSE())</f>
        <v>6</v>
      </c>
      <c r="P104" s="1" t="str">
        <f aca="false">VLOOKUP(K104,clasif_filas!$A$1:$J$39,6,FALSE())</f>
        <v>Conocimiento, procesos y servicios relacionados</v>
      </c>
      <c r="Q104" s="1" t="n">
        <f aca="false">VLOOKUP(K104,clasif_filas!$A$1:$J$39,7,FALSE())</f>
        <v>3</v>
      </c>
      <c r="R104" s="1" t="str">
        <f aca="false">VLOOKUP(K104,clasif_filas!$A$1:$J$39,8,FALSE())</f>
        <v>Otros bienes transportables, excepto productos metálicos, maquinaria y equipo</v>
      </c>
      <c r="S104" s="1" t="n">
        <f aca="false">VLOOKUP(K104,clasif_filas!$A$1:$J$39,9,FALSE())</f>
        <v>1</v>
      </c>
      <c r="T104" s="1" t="str">
        <f aca="false">VLOOKUP(K104,clasif_filas!$A$1:$J$39,10,FALSE())</f>
        <v>Bioeconomía</v>
      </c>
      <c r="U104" s="61"/>
    </row>
    <row r="105" customFormat="false" ht="14.25" hidden="false" customHeight="false" outlineLevel="0" collapsed="false">
      <c r="A105" s="24" t="s">
        <v>209</v>
      </c>
      <c r="B105" s="9" t="s">
        <v>1786</v>
      </c>
      <c r="C105" s="9" t="str">
        <f aca="false">VLOOKUP(B105, AT_FILAS!$A$2:$C$8,2,FALSE())</f>
        <v>Producción</v>
      </c>
      <c r="D105" s="9" t="str">
        <f aca="false">VLOOKUP(B105, AT_FILAS!$A$2:$C$8,3,FALSE())</f>
        <v>P1</v>
      </c>
      <c r="E105" s="9" t="s">
        <v>2029</v>
      </c>
      <c r="F105" s="9" t="s">
        <v>2030</v>
      </c>
      <c r="G105" s="9" t="s">
        <v>1750</v>
      </c>
      <c r="H105" s="9" t="n">
        <v>4</v>
      </c>
      <c r="I105" s="9" t="s">
        <v>1750</v>
      </c>
      <c r="J105" s="9" t="s">
        <v>1750</v>
      </c>
      <c r="K105" s="1" t="n">
        <v>6</v>
      </c>
      <c r="L105" s="1" t="str">
        <f aca="false">VLOOKUP(K105,clasif_filas!$A$1:$J$39,2,FALSE())</f>
        <v>Otros servicios</v>
      </c>
      <c r="M105" s="1" t="n">
        <f aca="false">VLOOKUP(K105,clasif_filas!$A$1:$J$39,3,FALSE())</f>
        <v>6</v>
      </c>
      <c r="N105" s="1" t="str">
        <f aca="false">VLOOKUP(K105,clasif_filas!$A$1:$J$39,4,FALSE())</f>
        <v>Otros servicios</v>
      </c>
      <c r="O105" s="1" t="n">
        <f aca="false">VLOOKUP(K105,clasif_filas!$A$1:$J$39,5,FALSE())</f>
        <v>99</v>
      </c>
      <c r="P105" s="1" t="str">
        <f aca="false">VLOOKUP(K105,clasif_filas!$A$1:$J$39,6,FALSE())</f>
        <v>No Bioeconomía</v>
      </c>
      <c r="Q105" s="1" t="n">
        <f aca="false">VLOOKUP(K105,clasif_filas!$A$1:$J$39,7,FALSE())</f>
        <v>6</v>
      </c>
      <c r="R105" s="1" t="str">
        <f aca="false">VLOOKUP(K105,clasif_filas!$A$1:$J$39,8,FALSE())</f>
        <v>Servicios comerciales de distribución; alojamiento, servicios de suministro de comidas y bebidas; servicios de transporte; y servicios de distribución de electricidad, gas y agua</v>
      </c>
      <c r="S105" s="1" t="n">
        <f aca="false">VLOOKUP(K105,clasif_filas!$A$1:$J$39,9,FALSE())</f>
        <v>3</v>
      </c>
      <c r="T105" s="1" t="str">
        <f aca="false">VLOOKUP(K105,clasif_filas!$A$1:$J$39,10,FALSE())</f>
        <v>No bioeconomía</v>
      </c>
      <c r="U105" s="61"/>
    </row>
    <row r="106" customFormat="false" ht="14.25" hidden="false" customHeight="false" outlineLevel="0" collapsed="false">
      <c r="A106" s="24" t="s">
        <v>211</v>
      </c>
      <c r="B106" s="9" t="s">
        <v>1786</v>
      </c>
      <c r="C106" s="9" t="str">
        <f aca="false">VLOOKUP(B106, AT_FILAS!$A$2:$C$8,2,FALSE())</f>
        <v>Producción</v>
      </c>
      <c r="D106" s="9" t="str">
        <f aca="false">VLOOKUP(B106, AT_FILAS!$A$2:$C$8,3,FALSE())</f>
        <v>P1</v>
      </c>
      <c r="E106" s="9" t="s">
        <v>2031</v>
      </c>
      <c r="F106" s="9" t="s">
        <v>2032</v>
      </c>
      <c r="G106" s="9" t="s">
        <v>1750</v>
      </c>
      <c r="H106" s="9" t="n">
        <v>4</v>
      </c>
      <c r="I106" s="9" t="s">
        <v>1750</v>
      </c>
      <c r="J106" s="9" t="s">
        <v>1750</v>
      </c>
      <c r="K106" s="1" t="n">
        <v>6</v>
      </c>
      <c r="L106" s="1" t="str">
        <f aca="false">VLOOKUP(K106,clasif_filas!$A$1:$J$39,2,FALSE())</f>
        <v>Otros servicios</v>
      </c>
      <c r="M106" s="1" t="n">
        <f aca="false">VLOOKUP(K106,clasif_filas!$A$1:$J$39,3,FALSE())</f>
        <v>6</v>
      </c>
      <c r="N106" s="1" t="str">
        <f aca="false">VLOOKUP(K106,clasif_filas!$A$1:$J$39,4,FALSE())</f>
        <v>Otros servicios</v>
      </c>
      <c r="O106" s="1" t="n">
        <f aca="false">VLOOKUP(K106,clasif_filas!$A$1:$J$39,5,FALSE())</f>
        <v>99</v>
      </c>
      <c r="P106" s="1" t="str">
        <f aca="false">VLOOKUP(K106,clasif_filas!$A$1:$J$39,6,FALSE())</f>
        <v>No Bioeconomía</v>
      </c>
      <c r="Q106" s="1" t="n">
        <f aca="false">VLOOKUP(K106,clasif_filas!$A$1:$J$39,7,FALSE())</f>
        <v>6</v>
      </c>
      <c r="R106" s="1" t="str">
        <f aca="false">VLOOKUP(K106,clasif_filas!$A$1:$J$39,8,FALSE())</f>
        <v>Servicios comerciales de distribución; alojamiento, servicios de suministro de comidas y bebidas; servicios de transporte; y servicios de distribución de electricidad, gas y agua</v>
      </c>
      <c r="S106" s="1" t="n">
        <f aca="false">VLOOKUP(K106,clasif_filas!$A$1:$J$39,9,FALSE())</f>
        <v>3</v>
      </c>
      <c r="T106" s="1" t="str">
        <f aca="false">VLOOKUP(K106,clasif_filas!$A$1:$J$39,10,FALSE())</f>
        <v>No bioeconomía</v>
      </c>
      <c r="U106" s="61"/>
    </row>
    <row r="107" customFormat="false" ht="14.25" hidden="false" customHeight="false" outlineLevel="0" collapsed="false">
      <c r="A107" s="24" t="s">
        <v>213</v>
      </c>
      <c r="B107" s="9" t="s">
        <v>1786</v>
      </c>
      <c r="C107" s="9" t="str">
        <f aca="false">VLOOKUP(B107, AT_FILAS!$A$2:$C$8,2,FALSE())</f>
        <v>Producción</v>
      </c>
      <c r="D107" s="9" t="str">
        <f aca="false">VLOOKUP(B107, AT_FILAS!$A$2:$C$8,3,FALSE())</f>
        <v>P1</v>
      </c>
      <c r="E107" s="9" t="s">
        <v>2033</v>
      </c>
      <c r="F107" s="9" t="s">
        <v>2034</v>
      </c>
      <c r="G107" s="9" t="s">
        <v>1750</v>
      </c>
      <c r="H107" s="9" t="n">
        <v>4</v>
      </c>
      <c r="I107" s="9" t="s">
        <v>1750</v>
      </c>
      <c r="J107" s="9" t="s">
        <v>1750</v>
      </c>
      <c r="K107" s="1" t="n">
        <v>6</v>
      </c>
      <c r="L107" s="1" t="str">
        <f aca="false">VLOOKUP(K107,clasif_filas!$A$1:$J$39,2,FALSE())</f>
        <v>Otros servicios</v>
      </c>
      <c r="M107" s="1" t="n">
        <f aca="false">VLOOKUP(K107,clasif_filas!$A$1:$J$39,3,FALSE())</f>
        <v>6</v>
      </c>
      <c r="N107" s="1" t="str">
        <f aca="false">VLOOKUP(K107,clasif_filas!$A$1:$J$39,4,FALSE())</f>
        <v>Otros servicios</v>
      </c>
      <c r="O107" s="1" t="n">
        <f aca="false">VLOOKUP(K107,clasif_filas!$A$1:$J$39,5,FALSE())</f>
        <v>99</v>
      </c>
      <c r="P107" s="1" t="str">
        <f aca="false">VLOOKUP(K107,clasif_filas!$A$1:$J$39,6,FALSE())</f>
        <v>No Bioeconomía</v>
      </c>
      <c r="Q107" s="1" t="n">
        <f aca="false">VLOOKUP(K107,clasif_filas!$A$1:$J$39,7,FALSE())</f>
        <v>6</v>
      </c>
      <c r="R107" s="1" t="str">
        <f aca="false">VLOOKUP(K107,clasif_filas!$A$1:$J$39,8,FALSE())</f>
        <v>Servicios comerciales de distribución; alojamiento, servicios de suministro de comidas y bebidas; servicios de transporte; y servicios de distribución de electricidad, gas y agua</v>
      </c>
      <c r="S107" s="1" t="n">
        <f aca="false">VLOOKUP(K107,clasif_filas!$A$1:$J$39,9,FALSE())</f>
        <v>3</v>
      </c>
      <c r="T107" s="1" t="str">
        <f aca="false">VLOOKUP(K107,clasif_filas!$A$1:$J$39,10,FALSE())</f>
        <v>No bioeconomía</v>
      </c>
      <c r="U107" s="61"/>
    </row>
    <row r="108" customFormat="false" ht="14.25" hidden="false" customHeight="false" outlineLevel="0" collapsed="false">
      <c r="A108" s="24" t="s">
        <v>215</v>
      </c>
      <c r="B108" s="9" t="s">
        <v>1786</v>
      </c>
      <c r="C108" s="9" t="str">
        <f aca="false">VLOOKUP(B108, AT_FILAS!$A$2:$C$8,2,FALSE())</f>
        <v>Producción</v>
      </c>
      <c r="D108" s="9" t="str">
        <f aca="false">VLOOKUP(B108, AT_FILAS!$A$2:$C$8,3,FALSE())</f>
        <v>P1</v>
      </c>
      <c r="E108" s="9" t="s">
        <v>2035</v>
      </c>
      <c r="F108" s="9" t="s">
        <v>2036</v>
      </c>
      <c r="G108" s="9" t="s">
        <v>1750</v>
      </c>
      <c r="H108" s="9" t="n">
        <v>4</v>
      </c>
      <c r="I108" s="9" t="s">
        <v>1750</v>
      </c>
      <c r="J108" s="9" t="s">
        <v>1750</v>
      </c>
      <c r="K108" s="1" t="n">
        <v>6</v>
      </c>
      <c r="L108" s="1" t="str">
        <f aca="false">VLOOKUP(K108,clasif_filas!$A$1:$J$39,2,FALSE())</f>
        <v>Otros servicios</v>
      </c>
      <c r="M108" s="1" t="n">
        <f aca="false">VLOOKUP(K108,clasif_filas!$A$1:$J$39,3,FALSE())</f>
        <v>6</v>
      </c>
      <c r="N108" s="1" t="str">
        <f aca="false">VLOOKUP(K108,clasif_filas!$A$1:$J$39,4,FALSE())</f>
        <v>Otros servicios</v>
      </c>
      <c r="O108" s="1" t="n">
        <f aca="false">VLOOKUP(K108,clasif_filas!$A$1:$J$39,5,FALSE())</f>
        <v>99</v>
      </c>
      <c r="P108" s="1" t="str">
        <f aca="false">VLOOKUP(K108,clasif_filas!$A$1:$J$39,6,FALSE())</f>
        <v>No Bioeconomía</v>
      </c>
      <c r="Q108" s="1" t="n">
        <f aca="false">VLOOKUP(K108,clasif_filas!$A$1:$J$39,7,FALSE())</f>
        <v>6</v>
      </c>
      <c r="R108" s="1" t="str">
        <f aca="false">VLOOKUP(K108,clasif_filas!$A$1:$J$39,8,FALSE())</f>
        <v>Servicios comerciales de distribución; alojamiento, servicios de suministro de comidas y bebidas; servicios de transporte; y servicios de distribución de electricidad, gas y agua</v>
      </c>
      <c r="S108" s="1" t="n">
        <f aca="false">VLOOKUP(K108,clasif_filas!$A$1:$J$39,9,FALSE())</f>
        <v>3</v>
      </c>
      <c r="T108" s="1" t="str">
        <f aca="false">VLOOKUP(K108,clasif_filas!$A$1:$J$39,10,FALSE())</f>
        <v>No bioeconomía</v>
      </c>
      <c r="U108" s="61"/>
    </row>
    <row r="109" customFormat="false" ht="14.25" hidden="false" customHeight="false" outlineLevel="0" collapsed="false">
      <c r="A109" s="24" t="s">
        <v>217</v>
      </c>
      <c r="B109" s="9" t="s">
        <v>1786</v>
      </c>
      <c r="C109" s="9" t="str">
        <f aca="false">VLOOKUP(B109, AT_FILAS!$A$2:$C$8,2,FALSE())</f>
        <v>Producción</v>
      </c>
      <c r="D109" s="9" t="str">
        <f aca="false">VLOOKUP(B109, AT_FILAS!$A$2:$C$8,3,FALSE())</f>
        <v>P1</v>
      </c>
      <c r="E109" s="9" t="s">
        <v>2037</v>
      </c>
      <c r="F109" s="9" t="s">
        <v>2038</v>
      </c>
      <c r="G109" s="9" t="s">
        <v>1750</v>
      </c>
      <c r="H109" s="9" t="n">
        <v>4</v>
      </c>
      <c r="I109" s="9" t="s">
        <v>1750</v>
      </c>
      <c r="J109" s="9" t="s">
        <v>1750</v>
      </c>
      <c r="K109" s="1" t="n">
        <v>6</v>
      </c>
      <c r="L109" s="1" t="str">
        <f aca="false">VLOOKUP(K109,clasif_filas!$A$1:$J$39,2,FALSE())</f>
        <v>Otros servicios</v>
      </c>
      <c r="M109" s="1" t="n">
        <f aca="false">VLOOKUP(K109,clasif_filas!$A$1:$J$39,3,FALSE())</f>
        <v>6</v>
      </c>
      <c r="N109" s="1" t="str">
        <f aca="false">VLOOKUP(K109,clasif_filas!$A$1:$J$39,4,FALSE())</f>
        <v>Otros servicios</v>
      </c>
      <c r="O109" s="1" t="n">
        <f aca="false">VLOOKUP(K109,clasif_filas!$A$1:$J$39,5,FALSE())</f>
        <v>99</v>
      </c>
      <c r="P109" s="1" t="str">
        <f aca="false">VLOOKUP(K109,clasif_filas!$A$1:$J$39,6,FALSE())</f>
        <v>No Bioeconomía</v>
      </c>
      <c r="Q109" s="1" t="n">
        <f aca="false">VLOOKUP(K109,clasif_filas!$A$1:$J$39,7,FALSE())</f>
        <v>6</v>
      </c>
      <c r="R109" s="1" t="str">
        <f aca="false">VLOOKUP(K109,clasif_filas!$A$1:$J$39,8,FALSE())</f>
        <v>Servicios comerciales de distribución; alojamiento, servicios de suministro de comidas y bebidas; servicios de transporte; y servicios de distribución de electricidad, gas y agua</v>
      </c>
      <c r="S109" s="1" t="n">
        <f aca="false">VLOOKUP(K109,clasif_filas!$A$1:$J$39,9,FALSE())</f>
        <v>3</v>
      </c>
      <c r="T109" s="1" t="str">
        <f aca="false">VLOOKUP(K109,clasif_filas!$A$1:$J$39,10,FALSE())</f>
        <v>No bioeconomía</v>
      </c>
      <c r="U109" s="61"/>
    </row>
    <row r="110" customFormat="false" ht="14.25" hidden="false" customHeight="false" outlineLevel="0" collapsed="false">
      <c r="A110" s="24" t="s">
        <v>219</v>
      </c>
      <c r="B110" s="9" t="s">
        <v>1786</v>
      </c>
      <c r="C110" s="9" t="str">
        <f aca="false">VLOOKUP(B110, AT_FILAS!$A$2:$C$8,2,FALSE())</f>
        <v>Producción</v>
      </c>
      <c r="D110" s="9" t="str">
        <f aca="false">VLOOKUP(B110, AT_FILAS!$A$2:$C$8,3,FALSE())</f>
        <v>P1</v>
      </c>
      <c r="E110" s="9" t="s">
        <v>2039</v>
      </c>
      <c r="F110" s="9" t="s">
        <v>2040</v>
      </c>
      <c r="G110" s="9" t="s">
        <v>1750</v>
      </c>
      <c r="H110" s="9" t="n">
        <v>4</v>
      </c>
      <c r="I110" s="9" t="s">
        <v>1750</v>
      </c>
      <c r="J110" s="9" t="s">
        <v>1750</v>
      </c>
      <c r="K110" s="1" t="n">
        <v>6</v>
      </c>
      <c r="L110" s="1" t="str">
        <f aca="false">VLOOKUP(K110,clasif_filas!$A$1:$J$39,2,FALSE())</f>
        <v>Otros servicios</v>
      </c>
      <c r="M110" s="1" t="n">
        <f aca="false">VLOOKUP(K110,clasif_filas!$A$1:$J$39,3,FALSE())</f>
        <v>6</v>
      </c>
      <c r="N110" s="1" t="str">
        <f aca="false">VLOOKUP(K110,clasif_filas!$A$1:$J$39,4,FALSE())</f>
        <v>Otros servicios</v>
      </c>
      <c r="O110" s="1" t="n">
        <f aca="false">VLOOKUP(K110,clasif_filas!$A$1:$J$39,5,FALSE())</f>
        <v>99</v>
      </c>
      <c r="P110" s="1" t="str">
        <f aca="false">VLOOKUP(K110,clasif_filas!$A$1:$J$39,6,FALSE())</f>
        <v>No Bioeconomía</v>
      </c>
      <c r="Q110" s="1" t="n">
        <f aca="false">VLOOKUP(K110,clasif_filas!$A$1:$J$39,7,FALSE())</f>
        <v>6</v>
      </c>
      <c r="R110" s="1" t="str">
        <f aca="false">VLOOKUP(K110,clasif_filas!$A$1:$J$39,8,FALSE())</f>
        <v>Servicios comerciales de distribución; alojamiento, servicios de suministro de comidas y bebidas; servicios de transporte; y servicios de distribución de electricidad, gas y agua</v>
      </c>
      <c r="S110" s="1" t="n">
        <f aca="false">VLOOKUP(K110,clasif_filas!$A$1:$J$39,9,FALSE())</f>
        <v>3</v>
      </c>
      <c r="T110" s="1" t="str">
        <f aca="false">VLOOKUP(K110,clasif_filas!$A$1:$J$39,10,FALSE())</f>
        <v>No bioeconomía</v>
      </c>
      <c r="U110" s="61"/>
    </row>
    <row r="111" customFormat="false" ht="14.25" hidden="false" customHeight="false" outlineLevel="0" collapsed="false">
      <c r="A111" s="24" t="s">
        <v>221</v>
      </c>
      <c r="B111" s="9" t="s">
        <v>1786</v>
      </c>
      <c r="C111" s="9" t="str">
        <f aca="false">VLOOKUP(B111, AT_FILAS!$A$2:$C$8,2,FALSE())</f>
        <v>Producción</v>
      </c>
      <c r="D111" s="9" t="str">
        <f aca="false">VLOOKUP(B111, AT_FILAS!$A$2:$C$8,3,FALSE())</f>
        <v>P1</v>
      </c>
      <c r="E111" s="9" t="s">
        <v>2041</v>
      </c>
      <c r="F111" s="9" t="s">
        <v>2042</v>
      </c>
      <c r="G111" s="9" t="s">
        <v>1750</v>
      </c>
      <c r="H111" s="9" t="n">
        <v>4</v>
      </c>
      <c r="I111" s="9" t="s">
        <v>1750</v>
      </c>
      <c r="J111" s="9" t="s">
        <v>1750</v>
      </c>
      <c r="K111" s="1" t="n">
        <v>6</v>
      </c>
      <c r="L111" s="1" t="str">
        <f aca="false">VLOOKUP(K111,clasif_filas!$A$1:$J$39,2,FALSE())</f>
        <v>Otros servicios</v>
      </c>
      <c r="M111" s="1" t="n">
        <f aca="false">VLOOKUP(K111,clasif_filas!$A$1:$J$39,3,FALSE())</f>
        <v>6</v>
      </c>
      <c r="N111" s="1" t="str">
        <f aca="false">VLOOKUP(K111,clasif_filas!$A$1:$J$39,4,FALSE())</f>
        <v>Otros servicios</v>
      </c>
      <c r="O111" s="1" t="n">
        <f aca="false">VLOOKUP(K111,clasif_filas!$A$1:$J$39,5,FALSE())</f>
        <v>99</v>
      </c>
      <c r="P111" s="1" t="str">
        <f aca="false">VLOOKUP(K111,clasif_filas!$A$1:$J$39,6,FALSE())</f>
        <v>No Bioeconomía</v>
      </c>
      <c r="Q111" s="1" t="n">
        <f aca="false">VLOOKUP(K111,clasif_filas!$A$1:$J$39,7,FALSE())</f>
        <v>6</v>
      </c>
      <c r="R111" s="1" t="str">
        <f aca="false">VLOOKUP(K111,clasif_filas!$A$1:$J$39,8,FALSE())</f>
        <v>Servicios comerciales de distribución; alojamiento, servicios de suministro de comidas y bebidas; servicios de transporte; y servicios de distribución de electricidad, gas y agua</v>
      </c>
      <c r="S111" s="1" t="n">
        <f aca="false">VLOOKUP(K111,clasif_filas!$A$1:$J$39,9,FALSE())</f>
        <v>3</v>
      </c>
      <c r="T111" s="1" t="str">
        <f aca="false">VLOOKUP(K111,clasif_filas!$A$1:$J$39,10,FALSE())</f>
        <v>No bioeconomía</v>
      </c>
      <c r="U111" s="61"/>
    </row>
    <row r="112" customFormat="false" ht="14.25" hidden="false" customHeight="false" outlineLevel="0" collapsed="false">
      <c r="A112" s="24" t="s">
        <v>223</v>
      </c>
      <c r="B112" s="9" t="s">
        <v>1786</v>
      </c>
      <c r="C112" s="9" t="str">
        <f aca="false">VLOOKUP(B112, AT_FILAS!$A$2:$C$8,2,FALSE())</f>
        <v>Producción</v>
      </c>
      <c r="D112" s="9" t="str">
        <f aca="false">VLOOKUP(B112, AT_FILAS!$A$2:$C$8,3,FALSE())</f>
        <v>P1</v>
      </c>
      <c r="E112" s="9" t="s">
        <v>2043</v>
      </c>
      <c r="F112" s="9" t="s">
        <v>2044</v>
      </c>
      <c r="G112" s="9" t="s">
        <v>1903</v>
      </c>
      <c r="H112" s="9" t="n">
        <v>3</v>
      </c>
      <c r="I112" s="9" t="s">
        <v>1904</v>
      </c>
      <c r="J112" s="9" t="s">
        <v>1903</v>
      </c>
      <c r="K112" s="1" t="n">
        <v>81</v>
      </c>
      <c r="L112" s="1" t="str">
        <f aca="false">VLOOKUP(K112,clasif_filas!$A$1:$J$39,2,FALSE())</f>
        <v>Servicios de investigación y desarrollo</v>
      </c>
      <c r="M112" s="1" t="n">
        <f aca="false">VLOOKUP(K112,clasif_filas!$A$1:$J$39,3,FALSE())</f>
        <v>81</v>
      </c>
      <c r="N112" s="1" t="str">
        <f aca="false">VLOOKUP(K112,clasif_filas!$A$1:$J$39,4,FALSE())</f>
        <v>Servicios de investigación y desarrollo</v>
      </c>
      <c r="O112" s="1" t="n">
        <f aca="false">VLOOKUP(K112,clasif_filas!$A$1:$J$39,5,FALSE())</f>
        <v>6</v>
      </c>
      <c r="P112" s="1" t="str">
        <f aca="false">VLOOKUP(K112,clasif_filas!$A$1:$J$39,6,FALSE())</f>
        <v>Conocimiento, procesos y servicios relacionados</v>
      </c>
      <c r="Q112" s="1" t="n">
        <f aca="false">VLOOKUP(K112,clasif_filas!$A$1:$J$39,7,FALSE())</f>
        <v>8</v>
      </c>
      <c r="R112" s="1" t="str">
        <f aca="false">VLOOKUP(K112,clasif_filas!$A$1:$J$39,8,FALSE())</f>
        <v>Servicios prestados a las empresas y servicios de producción</v>
      </c>
      <c r="S112" s="1" t="n">
        <f aca="false">VLOOKUP(K112,clasif_filas!$A$1:$J$39,9,FALSE())</f>
        <v>2</v>
      </c>
      <c r="T112" s="1" t="str">
        <f aca="false">VLOOKUP(K112,clasif_filas!$A$1:$J$39,10,FALSE())</f>
        <v>Bioeconomía extendida</v>
      </c>
      <c r="U112" s="61"/>
    </row>
    <row r="113" customFormat="false" ht="14.25" hidden="false" customHeight="false" outlineLevel="0" collapsed="false">
      <c r="A113" s="24" t="s">
        <v>225</v>
      </c>
      <c r="B113" s="9" t="s">
        <v>1786</v>
      </c>
      <c r="C113" s="9" t="str">
        <f aca="false">VLOOKUP(B113, AT_FILAS!$A$2:$C$8,2,FALSE())</f>
        <v>Producción</v>
      </c>
      <c r="D113" s="9" t="str">
        <f aca="false">VLOOKUP(B113, AT_FILAS!$A$2:$C$8,3,FALSE())</f>
        <v>P1</v>
      </c>
      <c r="E113" s="9" t="s">
        <v>2045</v>
      </c>
      <c r="F113" s="9" t="s">
        <v>2046</v>
      </c>
      <c r="G113" s="9" t="s">
        <v>1750</v>
      </c>
      <c r="H113" s="9" t="n">
        <v>4</v>
      </c>
      <c r="I113" s="9" t="s">
        <v>1750</v>
      </c>
      <c r="J113" s="9" t="s">
        <v>1750</v>
      </c>
      <c r="K113" s="1" t="n">
        <v>5</v>
      </c>
      <c r="L113" s="1" t="str">
        <f aca="false">VLOOKUP(K113,clasif_filas!$A$1:$J$39,2,FALSE())</f>
        <v>Construcciones y servicios de construcción</v>
      </c>
      <c r="M113" s="1" t="n">
        <f aca="false">VLOOKUP(K113,clasif_filas!$A$1:$J$39,3,FALSE())</f>
        <v>5</v>
      </c>
      <c r="N113" s="1" t="str">
        <f aca="false">VLOOKUP(K113,clasif_filas!$A$1:$J$39,4,FALSE())</f>
        <v>Construcciones y servicios de construcción</v>
      </c>
      <c r="O113" s="1" t="n">
        <f aca="false">VLOOKUP(K113,clasif_filas!$A$1:$J$39,5,FALSE())</f>
        <v>99</v>
      </c>
      <c r="P113" s="1" t="str">
        <f aca="false">VLOOKUP(K113,clasif_filas!$A$1:$J$39,6,FALSE())</f>
        <v>No Bioeconomía</v>
      </c>
      <c r="Q113" s="1" t="n">
        <f aca="false">VLOOKUP(K113,clasif_filas!$A$1:$J$39,7,FALSE())</f>
        <v>5</v>
      </c>
      <c r="R113" s="1" t="str">
        <f aca="false">VLOOKUP(K113,clasif_filas!$A$1:$J$39,8,FALSE())</f>
        <v>Construcciones y servicios de construcción</v>
      </c>
      <c r="S113" s="1" t="n">
        <f aca="false">VLOOKUP(K113,clasif_filas!$A$1:$J$39,9,FALSE())</f>
        <v>3</v>
      </c>
      <c r="T113" s="1" t="str">
        <f aca="false">VLOOKUP(K113,clasif_filas!$A$1:$J$39,10,FALSE())</f>
        <v>No bioeconomía</v>
      </c>
      <c r="U113" s="61"/>
    </row>
    <row r="114" customFormat="false" ht="14.25" hidden="false" customHeight="false" outlineLevel="0" collapsed="false">
      <c r="A114" s="24" t="s">
        <v>227</v>
      </c>
      <c r="B114" s="9" t="s">
        <v>1786</v>
      </c>
      <c r="C114" s="9" t="str">
        <f aca="false">VLOOKUP(B114, AT_FILAS!$A$2:$C$8,2,FALSE())</f>
        <v>Producción</v>
      </c>
      <c r="D114" s="9" t="str">
        <f aca="false">VLOOKUP(B114, AT_FILAS!$A$2:$C$8,3,FALSE())</f>
        <v>P1</v>
      </c>
      <c r="E114" s="9" t="s">
        <v>2047</v>
      </c>
      <c r="F114" s="9" t="s">
        <v>2048</v>
      </c>
      <c r="G114" s="9" t="s">
        <v>1750</v>
      </c>
      <c r="H114" s="9" t="n">
        <v>4</v>
      </c>
      <c r="I114" s="9" t="s">
        <v>1750</v>
      </c>
      <c r="J114" s="9" t="s">
        <v>1750</v>
      </c>
      <c r="K114" s="1" t="n">
        <v>83</v>
      </c>
      <c r="L114" s="1" t="str">
        <f aca="false">VLOOKUP(K114,clasif_filas!$A$1:$J$39,2,FALSE())</f>
        <v>Otros servicios profesionales, científicos y técnicos</v>
      </c>
      <c r="M114" s="1" t="n">
        <f aca="false">VLOOKUP(K114,clasif_filas!$A$1:$J$39,3,FALSE())</f>
        <v>83</v>
      </c>
      <c r="N114" s="1" t="str">
        <f aca="false">VLOOKUP(K114,clasif_filas!$A$1:$J$39,4,FALSE())</f>
        <v>Otros servicios profesionales, científicos y técnicos</v>
      </c>
      <c r="O114" s="1" t="n">
        <f aca="false">VLOOKUP(K114,clasif_filas!$A$1:$J$39,5,FALSE())</f>
        <v>6</v>
      </c>
      <c r="P114" s="1" t="str">
        <f aca="false">VLOOKUP(K114,clasif_filas!$A$1:$J$39,6,FALSE())</f>
        <v>Conocimiento, procesos y servicios relacionados</v>
      </c>
      <c r="Q114" s="1" t="n">
        <f aca="false">VLOOKUP(K114,clasif_filas!$A$1:$J$39,7,FALSE())</f>
        <v>8</v>
      </c>
      <c r="R114" s="1" t="str">
        <f aca="false">VLOOKUP(K114,clasif_filas!$A$1:$J$39,8,FALSE())</f>
        <v>Servicios prestados a las empresas y servicios de producción</v>
      </c>
      <c r="S114" s="1" t="n">
        <f aca="false">VLOOKUP(K114,clasif_filas!$A$1:$J$39,9,FALSE())</f>
        <v>2</v>
      </c>
      <c r="T114" s="1" t="str">
        <f aca="false">VLOOKUP(K114,clasif_filas!$A$1:$J$39,10,FALSE())</f>
        <v>Bioeconomía extendida</v>
      </c>
      <c r="U114" s="61"/>
    </row>
    <row r="115" customFormat="false" ht="14.25" hidden="false" customHeight="false" outlineLevel="0" collapsed="false">
      <c r="A115" s="24" t="s">
        <v>229</v>
      </c>
      <c r="B115" s="9" t="s">
        <v>1786</v>
      </c>
      <c r="C115" s="9" t="str">
        <f aca="false">VLOOKUP(B115, AT_FILAS!$A$2:$C$8,2,FALSE())</f>
        <v>Producción</v>
      </c>
      <c r="D115" s="9" t="str">
        <f aca="false">VLOOKUP(B115, AT_FILAS!$A$2:$C$8,3,FALSE())</f>
        <v>P1</v>
      </c>
      <c r="E115" s="9" t="s">
        <v>2049</v>
      </c>
      <c r="F115" s="9" t="s">
        <v>2050</v>
      </c>
      <c r="G115" s="9" t="s">
        <v>1750</v>
      </c>
      <c r="H115" s="9" t="n">
        <v>4</v>
      </c>
      <c r="I115" s="9" t="s">
        <v>1750</v>
      </c>
      <c r="J115" s="9" t="s">
        <v>1750</v>
      </c>
      <c r="K115" s="1" t="n">
        <v>6</v>
      </c>
      <c r="L115" s="1" t="str">
        <f aca="false">VLOOKUP(K115,clasif_filas!$A$1:$J$39,2,FALSE())</f>
        <v>Otros servicios</v>
      </c>
      <c r="M115" s="1" t="n">
        <f aca="false">VLOOKUP(K115,clasif_filas!$A$1:$J$39,3,FALSE())</f>
        <v>6</v>
      </c>
      <c r="N115" s="1" t="str">
        <f aca="false">VLOOKUP(K115,clasif_filas!$A$1:$J$39,4,FALSE())</f>
        <v>Otros servicios</v>
      </c>
      <c r="O115" s="1" t="n">
        <f aca="false">VLOOKUP(K115,clasif_filas!$A$1:$J$39,5,FALSE())</f>
        <v>99</v>
      </c>
      <c r="P115" s="1" t="str">
        <f aca="false">VLOOKUP(K115,clasif_filas!$A$1:$J$39,6,FALSE())</f>
        <v>No Bioeconomía</v>
      </c>
      <c r="Q115" s="1" t="n">
        <f aca="false">VLOOKUP(K115,clasif_filas!$A$1:$J$39,7,FALSE())</f>
        <v>6</v>
      </c>
      <c r="R115" s="1" t="str">
        <f aca="false">VLOOKUP(K115,clasif_filas!$A$1:$J$39,8,FALSE())</f>
        <v>Servicios comerciales de distribución; alojamiento, servicios de suministro de comidas y bebidas; servicios de transporte; y servicios de distribución de electricidad, gas y agua</v>
      </c>
      <c r="S115" s="1" t="n">
        <f aca="false">VLOOKUP(K115,clasif_filas!$A$1:$J$39,9,FALSE())</f>
        <v>3</v>
      </c>
      <c r="T115" s="1" t="str">
        <f aca="false">VLOOKUP(K115,clasif_filas!$A$1:$J$39,10,FALSE())</f>
        <v>No bioeconomía</v>
      </c>
      <c r="U115" s="61"/>
    </row>
    <row r="116" customFormat="false" ht="14.25" hidden="false" customHeight="false" outlineLevel="0" collapsed="false">
      <c r="A116" s="24" t="s">
        <v>231</v>
      </c>
      <c r="B116" s="9" t="s">
        <v>1786</v>
      </c>
      <c r="C116" s="9" t="str">
        <f aca="false">VLOOKUP(B116, AT_FILAS!$A$2:$C$8,2,FALSE())</f>
        <v>Producción</v>
      </c>
      <c r="D116" s="9" t="str">
        <f aca="false">VLOOKUP(B116, AT_FILAS!$A$2:$C$8,3,FALSE())</f>
        <v>P1</v>
      </c>
      <c r="E116" s="9" t="s">
        <v>2051</v>
      </c>
      <c r="F116" s="9" t="s">
        <v>2052</v>
      </c>
      <c r="G116" s="9" t="s">
        <v>1750</v>
      </c>
      <c r="H116" s="9" t="n">
        <v>4</v>
      </c>
      <c r="I116" s="9" t="s">
        <v>1750</v>
      </c>
      <c r="J116" s="9" t="s">
        <v>1750</v>
      </c>
      <c r="K116" s="1" t="n">
        <v>6</v>
      </c>
      <c r="L116" s="1" t="str">
        <f aca="false">VLOOKUP(K116,clasif_filas!$A$1:$J$39,2,FALSE())</f>
        <v>Otros servicios</v>
      </c>
      <c r="M116" s="1" t="n">
        <f aca="false">VLOOKUP(K116,clasif_filas!$A$1:$J$39,3,FALSE())</f>
        <v>6</v>
      </c>
      <c r="N116" s="1" t="str">
        <f aca="false">VLOOKUP(K116,clasif_filas!$A$1:$J$39,4,FALSE())</f>
        <v>Otros servicios</v>
      </c>
      <c r="O116" s="1" t="n">
        <f aca="false">VLOOKUP(K116,clasif_filas!$A$1:$J$39,5,FALSE())</f>
        <v>99</v>
      </c>
      <c r="P116" s="1" t="str">
        <f aca="false">VLOOKUP(K116,clasif_filas!$A$1:$J$39,6,FALSE())</f>
        <v>No Bioeconomía</v>
      </c>
      <c r="Q116" s="1" t="n">
        <f aca="false">VLOOKUP(K116,clasif_filas!$A$1:$J$39,7,FALSE())</f>
        <v>6</v>
      </c>
      <c r="R116" s="1" t="str">
        <f aca="false">VLOOKUP(K116,clasif_filas!$A$1:$J$39,8,FALSE())</f>
        <v>Servicios comerciales de distribución; alojamiento, servicios de suministro de comidas y bebidas; servicios de transporte; y servicios de distribución de electricidad, gas y agua</v>
      </c>
      <c r="S116" s="1" t="n">
        <f aca="false">VLOOKUP(K116,clasif_filas!$A$1:$J$39,9,FALSE())</f>
        <v>3</v>
      </c>
      <c r="T116" s="1" t="str">
        <f aca="false">VLOOKUP(K116,clasif_filas!$A$1:$J$39,10,FALSE())</f>
        <v>No bioeconomía</v>
      </c>
      <c r="U116" s="61"/>
    </row>
    <row r="117" customFormat="false" ht="14.25" hidden="false" customHeight="false" outlineLevel="0" collapsed="false">
      <c r="A117" s="24" t="s">
        <v>233</v>
      </c>
      <c r="B117" s="9" t="s">
        <v>1786</v>
      </c>
      <c r="C117" s="9" t="str">
        <f aca="false">VLOOKUP(B117, AT_FILAS!$A$2:$C$8,2,FALSE())</f>
        <v>Producción</v>
      </c>
      <c r="D117" s="9" t="str">
        <f aca="false">VLOOKUP(B117, AT_FILAS!$A$2:$C$8,3,FALSE())</f>
        <v>P1</v>
      </c>
      <c r="E117" s="9" t="s">
        <v>2053</v>
      </c>
      <c r="F117" s="9" t="s">
        <v>2054</v>
      </c>
      <c r="G117" s="9" t="s">
        <v>1750</v>
      </c>
      <c r="H117" s="9" t="n">
        <v>4</v>
      </c>
      <c r="I117" s="9" t="s">
        <v>1750</v>
      </c>
      <c r="J117" s="9" t="s">
        <v>1750</v>
      </c>
      <c r="K117" s="1" t="n">
        <v>6</v>
      </c>
      <c r="L117" s="1" t="str">
        <f aca="false">VLOOKUP(K117,clasif_filas!$A$1:$J$39,2,FALSE())</f>
        <v>Otros servicios</v>
      </c>
      <c r="M117" s="1" t="n">
        <f aca="false">VLOOKUP(K117,clasif_filas!$A$1:$J$39,3,FALSE())</f>
        <v>6</v>
      </c>
      <c r="N117" s="1" t="str">
        <f aca="false">VLOOKUP(K117,clasif_filas!$A$1:$J$39,4,FALSE())</f>
        <v>Otros servicios</v>
      </c>
      <c r="O117" s="1" t="n">
        <f aca="false">VLOOKUP(K117,clasif_filas!$A$1:$J$39,5,FALSE())</f>
        <v>99</v>
      </c>
      <c r="P117" s="1" t="str">
        <f aca="false">VLOOKUP(K117,clasif_filas!$A$1:$J$39,6,FALSE())</f>
        <v>No Bioeconomía</v>
      </c>
      <c r="Q117" s="1" t="n">
        <f aca="false">VLOOKUP(K117,clasif_filas!$A$1:$J$39,7,FALSE())</f>
        <v>6</v>
      </c>
      <c r="R117" s="1" t="str">
        <f aca="false">VLOOKUP(K117,clasif_filas!$A$1:$J$39,8,FALSE())</f>
        <v>Servicios comerciales de distribución; alojamiento, servicios de suministro de comidas y bebidas; servicios de transporte; y servicios de distribución de electricidad, gas y agua</v>
      </c>
      <c r="S117" s="1" t="n">
        <f aca="false">VLOOKUP(K117,clasif_filas!$A$1:$J$39,9,FALSE())</f>
        <v>3</v>
      </c>
      <c r="T117" s="1" t="str">
        <f aca="false">VLOOKUP(K117,clasif_filas!$A$1:$J$39,10,FALSE())</f>
        <v>No bioeconomía</v>
      </c>
      <c r="U117" s="61"/>
    </row>
    <row r="118" customFormat="false" ht="14.25" hidden="false" customHeight="false" outlineLevel="0" collapsed="false">
      <c r="A118" s="24" t="s">
        <v>235</v>
      </c>
      <c r="B118" s="9" t="s">
        <v>1786</v>
      </c>
      <c r="C118" s="9" t="str">
        <f aca="false">VLOOKUP(B118, AT_FILAS!$A$2:$C$8,2,FALSE())</f>
        <v>Producción</v>
      </c>
      <c r="D118" s="9" t="str">
        <f aca="false">VLOOKUP(B118, AT_FILAS!$A$2:$C$8,3,FALSE())</f>
        <v>P1</v>
      </c>
      <c r="E118" s="9" t="s">
        <v>2055</v>
      </c>
      <c r="F118" s="9" t="s">
        <v>2056</v>
      </c>
      <c r="G118" s="9" t="s">
        <v>1750</v>
      </c>
      <c r="H118" s="9" t="n">
        <v>4</v>
      </c>
      <c r="I118" s="9" t="s">
        <v>1750</v>
      </c>
      <c r="J118" s="9" t="s">
        <v>1750</v>
      </c>
      <c r="K118" s="1" t="n">
        <v>6</v>
      </c>
      <c r="L118" s="1" t="str">
        <f aca="false">VLOOKUP(K118,clasif_filas!$A$1:$J$39,2,FALSE())</f>
        <v>Otros servicios</v>
      </c>
      <c r="M118" s="1" t="n">
        <f aca="false">VLOOKUP(K118,clasif_filas!$A$1:$J$39,3,FALSE())</f>
        <v>6</v>
      </c>
      <c r="N118" s="1" t="str">
        <f aca="false">VLOOKUP(K118,clasif_filas!$A$1:$J$39,4,FALSE())</f>
        <v>Otros servicios</v>
      </c>
      <c r="O118" s="1" t="n">
        <f aca="false">VLOOKUP(K118,clasif_filas!$A$1:$J$39,5,FALSE())</f>
        <v>99</v>
      </c>
      <c r="P118" s="1" t="str">
        <f aca="false">VLOOKUP(K118,clasif_filas!$A$1:$J$39,6,FALSE())</f>
        <v>No Bioeconomía</v>
      </c>
      <c r="Q118" s="1" t="n">
        <f aca="false">VLOOKUP(K118,clasif_filas!$A$1:$J$39,7,FALSE())</f>
        <v>6</v>
      </c>
      <c r="R118" s="1" t="str">
        <f aca="false">VLOOKUP(K118,clasif_filas!$A$1:$J$39,8,FALSE())</f>
        <v>Servicios comerciales de distribución; alojamiento, servicios de suministro de comidas y bebidas; servicios de transporte; y servicios de distribución de electricidad, gas y agua</v>
      </c>
      <c r="S118" s="1" t="n">
        <f aca="false">VLOOKUP(K118,clasif_filas!$A$1:$J$39,9,FALSE())</f>
        <v>3</v>
      </c>
      <c r="T118" s="1" t="str">
        <f aca="false">VLOOKUP(K118,clasif_filas!$A$1:$J$39,10,FALSE())</f>
        <v>No bioeconomía</v>
      </c>
      <c r="U118" s="61"/>
    </row>
    <row r="119" customFormat="false" ht="14.25" hidden="false" customHeight="false" outlineLevel="0" collapsed="false">
      <c r="A119" s="24" t="s">
        <v>237</v>
      </c>
      <c r="B119" s="9" t="s">
        <v>1786</v>
      </c>
      <c r="C119" s="9" t="str">
        <f aca="false">VLOOKUP(B119, AT_FILAS!$A$2:$C$8,2,FALSE())</f>
        <v>Producción</v>
      </c>
      <c r="D119" s="9" t="str">
        <f aca="false">VLOOKUP(B119, AT_FILAS!$A$2:$C$8,3,FALSE())</f>
        <v>P1</v>
      </c>
      <c r="E119" s="9" t="s">
        <v>2057</v>
      </c>
      <c r="F119" s="9" t="s">
        <v>2058</v>
      </c>
      <c r="G119" s="9" t="s">
        <v>1750</v>
      </c>
      <c r="H119" s="9" t="n">
        <v>4</v>
      </c>
      <c r="I119" s="9" t="s">
        <v>1750</v>
      </c>
      <c r="J119" s="9" t="s">
        <v>1750</v>
      </c>
      <c r="K119" s="1" t="n">
        <v>6</v>
      </c>
      <c r="L119" s="1" t="str">
        <f aca="false">VLOOKUP(K119,clasif_filas!$A$1:$J$39,2,FALSE())</f>
        <v>Otros servicios</v>
      </c>
      <c r="M119" s="1" t="n">
        <f aca="false">VLOOKUP(K119,clasif_filas!$A$1:$J$39,3,FALSE())</f>
        <v>6</v>
      </c>
      <c r="N119" s="1" t="str">
        <f aca="false">VLOOKUP(K119,clasif_filas!$A$1:$J$39,4,FALSE())</f>
        <v>Otros servicios</v>
      </c>
      <c r="O119" s="1" t="n">
        <f aca="false">VLOOKUP(K119,clasif_filas!$A$1:$J$39,5,FALSE())</f>
        <v>99</v>
      </c>
      <c r="P119" s="1" t="str">
        <f aca="false">VLOOKUP(K119,clasif_filas!$A$1:$J$39,6,FALSE())</f>
        <v>No Bioeconomía</v>
      </c>
      <c r="Q119" s="1" t="n">
        <f aca="false">VLOOKUP(K119,clasif_filas!$A$1:$J$39,7,FALSE())</f>
        <v>6</v>
      </c>
      <c r="R119" s="1" t="str">
        <f aca="false">VLOOKUP(K119,clasif_filas!$A$1:$J$39,8,FALSE())</f>
        <v>Servicios comerciales de distribución; alojamiento, servicios de suministro de comidas y bebidas; servicios de transporte; y servicios de distribución de electricidad, gas y agua</v>
      </c>
      <c r="S119" s="1" t="n">
        <f aca="false">VLOOKUP(K119,clasif_filas!$A$1:$J$39,9,FALSE())</f>
        <v>3</v>
      </c>
      <c r="T119" s="1" t="str">
        <f aca="false">VLOOKUP(K119,clasif_filas!$A$1:$J$39,10,FALSE())</f>
        <v>No bioeconomía</v>
      </c>
      <c r="U119" s="61"/>
    </row>
    <row r="120" customFormat="false" ht="14.25" hidden="false" customHeight="false" outlineLevel="0" collapsed="false">
      <c r="A120" s="24" t="s">
        <v>239</v>
      </c>
      <c r="B120" s="9" t="s">
        <v>1786</v>
      </c>
      <c r="C120" s="9" t="str">
        <f aca="false">VLOOKUP(B120, AT_FILAS!$A$2:$C$8,2,FALSE())</f>
        <v>Producción</v>
      </c>
      <c r="D120" s="9" t="str">
        <f aca="false">VLOOKUP(B120, AT_FILAS!$A$2:$C$8,3,FALSE())</f>
        <v>P1</v>
      </c>
      <c r="E120" s="9" t="s">
        <v>2059</v>
      </c>
      <c r="F120" s="9" t="s">
        <v>2060</v>
      </c>
      <c r="G120" s="9" t="s">
        <v>1750</v>
      </c>
      <c r="H120" s="9" t="n">
        <v>4</v>
      </c>
      <c r="I120" s="9" t="s">
        <v>1750</v>
      </c>
      <c r="J120" s="9" t="s">
        <v>1750</v>
      </c>
      <c r="K120" s="1" t="n">
        <v>6</v>
      </c>
      <c r="L120" s="1" t="str">
        <f aca="false">VLOOKUP(K120,clasif_filas!$A$1:$J$39,2,FALSE())</f>
        <v>Otros servicios</v>
      </c>
      <c r="M120" s="1" t="n">
        <f aca="false">VLOOKUP(K120,clasif_filas!$A$1:$J$39,3,FALSE())</f>
        <v>6</v>
      </c>
      <c r="N120" s="1" t="str">
        <f aca="false">VLOOKUP(K120,clasif_filas!$A$1:$J$39,4,FALSE())</f>
        <v>Otros servicios</v>
      </c>
      <c r="O120" s="1" t="n">
        <f aca="false">VLOOKUP(K120,clasif_filas!$A$1:$J$39,5,FALSE())</f>
        <v>99</v>
      </c>
      <c r="P120" s="1" t="str">
        <f aca="false">VLOOKUP(K120,clasif_filas!$A$1:$J$39,6,FALSE())</f>
        <v>No Bioeconomía</v>
      </c>
      <c r="Q120" s="1" t="n">
        <f aca="false">VLOOKUP(K120,clasif_filas!$A$1:$J$39,7,FALSE())</f>
        <v>6</v>
      </c>
      <c r="R120" s="1" t="str">
        <f aca="false">VLOOKUP(K120,clasif_filas!$A$1:$J$39,8,FALSE())</f>
        <v>Servicios comerciales de distribución; alojamiento, servicios de suministro de comidas y bebidas; servicios de transporte; y servicios de distribución de electricidad, gas y agua</v>
      </c>
      <c r="S120" s="1" t="n">
        <f aca="false">VLOOKUP(K120,clasif_filas!$A$1:$J$39,9,FALSE())</f>
        <v>3</v>
      </c>
      <c r="T120" s="1" t="str">
        <f aca="false">VLOOKUP(K120,clasif_filas!$A$1:$J$39,10,FALSE())</f>
        <v>No bioeconomía</v>
      </c>
      <c r="U120" s="61"/>
    </row>
    <row r="121" customFormat="false" ht="14.25" hidden="false" customHeight="false" outlineLevel="0" collapsed="false">
      <c r="A121" s="24" t="s">
        <v>241</v>
      </c>
      <c r="B121" s="9" t="s">
        <v>1786</v>
      </c>
      <c r="C121" s="9" t="str">
        <f aca="false">VLOOKUP(B121, AT_FILAS!$A$2:$C$8,2,FALSE())</f>
        <v>Producción</v>
      </c>
      <c r="D121" s="9" t="str">
        <f aca="false">VLOOKUP(B121, AT_FILAS!$A$2:$C$8,3,FALSE())</f>
        <v>P1</v>
      </c>
      <c r="E121" s="9" t="s">
        <v>2061</v>
      </c>
      <c r="F121" s="9" t="s">
        <v>2062</v>
      </c>
      <c r="G121" s="9" t="s">
        <v>1750</v>
      </c>
      <c r="H121" s="9" t="n">
        <v>4</v>
      </c>
      <c r="I121" s="9" t="s">
        <v>1750</v>
      </c>
      <c r="J121" s="9" t="s">
        <v>1750</v>
      </c>
      <c r="K121" s="1" t="n">
        <v>6</v>
      </c>
      <c r="L121" s="1" t="str">
        <f aca="false">VLOOKUP(K121,clasif_filas!$A$1:$J$39,2,FALSE())</f>
        <v>Otros servicios</v>
      </c>
      <c r="M121" s="1" t="n">
        <f aca="false">VLOOKUP(K121,clasif_filas!$A$1:$J$39,3,FALSE())</f>
        <v>6</v>
      </c>
      <c r="N121" s="1" t="str">
        <f aca="false">VLOOKUP(K121,clasif_filas!$A$1:$J$39,4,FALSE())</f>
        <v>Otros servicios</v>
      </c>
      <c r="O121" s="1" t="n">
        <f aca="false">VLOOKUP(K121,clasif_filas!$A$1:$J$39,5,FALSE())</f>
        <v>99</v>
      </c>
      <c r="P121" s="1" t="str">
        <f aca="false">VLOOKUP(K121,clasif_filas!$A$1:$J$39,6,FALSE())</f>
        <v>No Bioeconomía</v>
      </c>
      <c r="Q121" s="1" t="n">
        <f aca="false">VLOOKUP(K121,clasif_filas!$A$1:$J$39,7,FALSE())</f>
        <v>6</v>
      </c>
      <c r="R121" s="1" t="str">
        <f aca="false">VLOOKUP(K121,clasif_filas!$A$1:$J$39,8,FALSE())</f>
        <v>Servicios comerciales de distribución; alojamiento, servicios de suministro de comidas y bebidas; servicios de transporte; y servicios de distribución de electricidad, gas y agua</v>
      </c>
      <c r="S121" s="1" t="n">
        <f aca="false">VLOOKUP(K121,clasif_filas!$A$1:$J$39,9,FALSE())</f>
        <v>3</v>
      </c>
      <c r="T121" s="1" t="str">
        <f aca="false">VLOOKUP(K121,clasif_filas!$A$1:$J$39,10,FALSE())</f>
        <v>No bioeconomía</v>
      </c>
      <c r="U121" s="61"/>
    </row>
    <row r="122" customFormat="false" ht="14.25" hidden="false" customHeight="false" outlineLevel="0" collapsed="false">
      <c r="A122" s="24" t="s">
        <v>243</v>
      </c>
      <c r="B122" s="9" t="s">
        <v>1786</v>
      </c>
      <c r="C122" s="9" t="str">
        <f aca="false">VLOOKUP(B122, AT_FILAS!$A$2:$C$8,2,FALSE())</f>
        <v>Producción</v>
      </c>
      <c r="D122" s="9" t="str">
        <f aca="false">VLOOKUP(B122, AT_FILAS!$A$2:$C$8,3,FALSE())</f>
        <v>P1</v>
      </c>
      <c r="E122" s="9" t="s">
        <v>2063</v>
      </c>
      <c r="F122" s="9" t="s">
        <v>2064</v>
      </c>
      <c r="G122" s="9" t="s">
        <v>1750</v>
      </c>
      <c r="H122" s="9" t="n">
        <v>4</v>
      </c>
      <c r="I122" s="9" t="s">
        <v>1750</v>
      </c>
      <c r="J122" s="9" t="s">
        <v>1750</v>
      </c>
      <c r="K122" s="1" t="n">
        <v>6</v>
      </c>
      <c r="L122" s="1" t="str">
        <f aca="false">VLOOKUP(K122,clasif_filas!$A$1:$J$39,2,FALSE())</f>
        <v>Otros servicios</v>
      </c>
      <c r="M122" s="1" t="n">
        <f aca="false">VLOOKUP(K122,clasif_filas!$A$1:$J$39,3,FALSE())</f>
        <v>6</v>
      </c>
      <c r="N122" s="1" t="str">
        <f aca="false">VLOOKUP(K122,clasif_filas!$A$1:$J$39,4,FALSE())</f>
        <v>Otros servicios</v>
      </c>
      <c r="O122" s="1" t="n">
        <f aca="false">VLOOKUP(K122,clasif_filas!$A$1:$J$39,5,FALSE())</f>
        <v>99</v>
      </c>
      <c r="P122" s="1" t="str">
        <f aca="false">VLOOKUP(K122,clasif_filas!$A$1:$J$39,6,FALSE())</f>
        <v>No Bioeconomía</v>
      </c>
      <c r="Q122" s="1" t="n">
        <f aca="false">VLOOKUP(K122,clasif_filas!$A$1:$J$39,7,FALSE())</f>
        <v>6</v>
      </c>
      <c r="R122" s="1" t="str">
        <f aca="false">VLOOKUP(K122,clasif_filas!$A$1:$J$39,8,FALSE())</f>
        <v>Servicios comerciales de distribución; alojamiento, servicios de suministro de comidas y bebidas; servicios de transporte; y servicios de distribución de electricidad, gas y agua</v>
      </c>
      <c r="S122" s="1" t="n">
        <f aca="false">VLOOKUP(K122,clasif_filas!$A$1:$J$39,9,FALSE())</f>
        <v>3</v>
      </c>
      <c r="T122" s="1" t="str">
        <f aca="false">VLOOKUP(K122,clasif_filas!$A$1:$J$39,10,FALSE())</f>
        <v>No bioeconomía</v>
      </c>
      <c r="U122" s="61"/>
    </row>
    <row r="123" customFormat="false" ht="14.25" hidden="false" customHeight="false" outlineLevel="0" collapsed="false">
      <c r="A123" s="24" t="s">
        <v>245</v>
      </c>
      <c r="B123" s="9" t="s">
        <v>1786</v>
      </c>
      <c r="C123" s="9" t="str">
        <f aca="false">VLOOKUP(B123, AT_FILAS!$A$2:$C$8,2,FALSE())</f>
        <v>Producción</v>
      </c>
      <c r="D123" s="9" t="str">
        <f aca="false">VLOOKUP(B123, AT_FILAS!$A$2:$C$8,3,FALSE())</f>
        <v>P1</v>
      </c>
      <c r="E123" s="9" t="s">
        <v>2065</v>
      </c>
      <c r="F123" s="9" t="s">
        <v>2066</v>
      </c>
      <c r="G123" s="9" t="s">
        <v>1750</v>
      </c>
      <c r="H123" s="9" t="n">
        <v>4</v>
      </c>
      <c r="I123" s="9" t="s">
        <v>1750</v>
      </c>
      <c r="J123" s="9" t="s">
        <v>1750</v>
      </c>
      <c r="K123" s="1" t="n">
        <v>6</v>
      </c>
      <c r="L123" s="1" t="str">
        <f aca="false">VLOOKUP(K123,clasif_filas!$A$1:$J$39,2,FALSE())</f>
        <v>Otros servicios</v>
      </c>
      <c r="M123" s="1" t="n">
        <f aca="false">VLOOKUP(K123,clasif_filas!$A$1:$J$39,3,FALSE())</f>
        <v>6</v>
      </c>
      <c r="N123" s="1" t="str">
        <f aca="false">VLOOKUP(K123,clasif_filas!$A$1:$J$39,4,FALSE())</f>
        <v>Otros servicios</v>
      </c>
      <c r="O123" s="1" t="n">
        <f aca="false">VLOOKUP(K123,clasif_filas!$A$1:$J$39,5,FALSE())</f>
        <v>99</v>
      </c>
      <c r="P123" s="1" t="str">
        <f aca="false">VLOOKUP(K123,clasif_filas!$A$1:$J$39,6,FALSE())</f>
        <v>No Bioeconomía</v>
      </c>
      <c r="Q123" s="1" t="n">
        <f aca="false">VLOOKUP(K123,clasif_filas!$A$1:$J$39,7,FALSE())</f>
        <v>6</v>
      </c>
      <c r="R123" s="1" t="str">
        <f aca="false">VLOOKUP(K123,clasif_filas!$A$1:$J$39,8,FALSE())</f>
        <v>Servicios comerciales de distribución; alojamiento, servicios de suministro de comidas y bebidas; servicios de transporte; y servicios de distribución de electricidad, gas y agua</v>
      </c>
      <c r="S123" s="1" t="n">
        <f aca="false">VLOOKUP(K123,clasif_filas!$A$1:$J$39,9,FALSE())</f>
        <v>3</v>
      </c>
      <c r="T123" s="1" t="str">
        <f aca="false">VLOOKUP(K123,clasif_filas!$A$1:$J$39,10,FALSE())</f>
        <v>No bioeconomía</v>
      </c>
      <c r="U123" s="61"/>
    </row>
    <row r="124" customFormat="false" ht="14.25" hidden="false" customHeight="false" outlineLevel="0" collapsed="false">
      <c r="A124" s="24" t="s">
        <v>247</v>
      </c>
      <c r="B124" s="9" t="s">
        <v>1786</v>
      </c>
      <c r="C124" s="9" t="str">
        <f aca="false">VLOOKUP(B124, AT_FILAS!$A$2:$C$8,2,FALSE())</f>
        <v>Producción</v>
      </c>
      <c r="D124" s="9" t="str">
        <f aca="false">VLOOKUP(B124, AT_FILAS!$A$2:$C$8,3,FALSE())</f>
        <v>P1</v>
      </c>
      <c r="E124" s="9" t="s">
        <v>2067</v>
      </c>
      <c r="F124" s="9" t="s">
        <v>2068</v>
      </c>
      <c r="G124" s="9" t="s">
        <v>1750</v>
      </c>
      <c r="H124" s="9" t="n">
        <v>4</v>
      </c>
      <c r="I124" s="9" t="s">
        <v>1750</v>
      </c>
      <c r="J124" s="9" t="s">
        <v>1750</v>
      </c>
      <c r="K124" s="1" t="n">
        <v>6</v>
      </c>
      <c r="L124" s="1" t="str">
        <f aca="false">VLOOKUP(K124,clasif_filas!$A$1:$J$39,2,FALSE())</f>
        <v>Otros servicios</v>
      </c>
      <c r="M124" s="1" t="n">
        <f aca="false">VLOOKUP(K124,clasif_filas!$A$1:$J$39,3,FALSE())</f>
        <v>6</v>
      </c>
      <c r="N124" s="1" t="str">
        <f aca="false">VLOOKUP(K124,clasif_filas!$A$1:$J$39,4,FALSE())</f>
        <v>Otros servicios</v>
      </c>
      <c r="O124" s="1" t="n">
        <f aca="false">VLOOKUP(K124,clasif_filas!$A$1:$J$39,5,FALSE())</f>
        <v>99</v>
      </c>
      <c r="P124" s="1" t="str">
        <f aca="false">VLOOKUP(K124,clasif_filas!$A$1:$J$39,6,FALSE())</f>
        <v>No Bioeconomía</v>
      </c>
      <c r="Q124" s="1" t="n">
        <f aca="false">VLOOKUP(K124,clasif_filas!$A$1:$J$39,7,FALSE())</f>
        <v>6</v>
      </c>
      <c r="R124" s="1" t="str">
        <f aca="false">VLOOKUP(K124,clasif_filas!$A$1:$J$39,8,FALSE())</f>
        <v>Servicios comerciales de distribución; alojamiento, servicios de suministro de comidas y bebidas; servicios de transporte; y servicios de distribución de electricidad, gas y agua</v>
      </c>
      <c r="S124" s="1" t="n">
        <f aca="false">VLOOKUP(K124,clasif_filas!$A$1:$J$39,9,FALSE())</f>
        <v>3</v>
      </c>
      <c r="T124" s="1" t="str">
        <f aca="false">VLOOKUP(K124,clasif_filas!$A$1:$J$39,10,FALSE())</f>
        <v>No bioeconomía</v>
      </c>
      <c r="U124" s="61"/>
    </row>
    <row r="125" customFormat="false" ht="14.25" hidden="false" customHeight="false" outlineLevel="0" collapsed="false">
      <c r="A125" s="24" t="s">
        <v>249</v>
      </c>
      <c r="B125" s="9" t="s">
        <v>1786</v>
      </c>
      <c r="C125" s="9" t="str">
        <f aca="false">VLOOKUP(B125, AT_FILAS!$A$2:$C$8,2,FALSE())</f>
        <v>Producción</v>
      </c>
      <c r="D125" s="9" t="str">
        <f aca="false">VLOOKUP(B125, AT_FILAS!$A$2:$C$8,3,FALSE())</f>
        <v>P1</v>
      </c>
      <c r="E125" s="9" t="s">
        <v>2069</v>
      </c>
      <c r="F125" s="9" t="s">
        <v>2070</v>
      </c>
      <c r="G125" s="9" t="s">
        <v>1750</v>
      </c>
      <c r="H125" s="9" t="n">
        <v>4</v>
      </c>
      <c r="I125" s="9" t="s">
        <v>1750</v>
      </c>
      <c r="J125" s="9" t="s">
        <v>1750</v>
      </c>
      <c r="K125" s="1" t="n">
        <v>6</v>
      </c>
      <c r="L125" s="1" t="str">
        <f aca="false">VLOOKUP(K125,clasif_filas!$A$1:$J$39,2,FALSE())</f>
        <v>Otros servicios</v>
      </c>
      <c r="M125" s="1" t="n">
        <f aca="false">VLOOKUP(K125,clasif_filas!$A$1:$J$39,3,FALSE())</f>
        <v>6</v>
      </c>
      <c r="N125" s="1" t="str">
        <f aca="false">VLOOKUP(K125,clasif_filas!$A$1:$J$39,4,FALSE())</f>
        <v>Otros servicios</v>
      </c>
      <c r="O125" s="1" t="n">
        <f aca="false">VLOOKUP(K125,clasif_filas!$A$1:$J$39,5,FALSE())</f>
        <v>99</v>
      </c>
      <c r="P125" s="1" t="str">
        <f aca="false">VLOOKUP(K125,clasif_filas!$A$1:$J$39,6,FALSE())</f>
        <v>No Bioeconomía</v>
      </c>
      <c r="Q125" s="1" t="n">
        <f aca="false">VLOOKUP(K125,clasif_filas!$A$1:$J$39,7,FALSE())</f>
        <v>6</v>
      </c>
      <c r="R125" s="1" t="str">
        <f aca="false">VLOOKUP(K125,clasif_filas!$A$1:$J$39,8,FALSE())</f>
        <v>Servicios comerciales de distribución; alojamiento, servicios de suministro de comidas y bebidas; servicios de transporte; y servicios de distribución de electricidad, gas y agua</v>
      </c>
      <c r="S125" s="1" t="n">
        <f aca="false">VLOOKUP(K125,clasif_filas!$A$1:$J$39,9,FALSE())</f>
        <v>3</v>
      </c>
      <c r="T125" s="1" t="str">
        <f aca="false">VLOOKUP(K125,clasif_filas!$A$1:$J$39,10,FALSE())</f>
        <v>No bioeconomía</v>
      </c>
      <c r="U125" s="61"/>
    </row>
    <row r="126" customFormat="false" ht="14.25" hidden="false" customHeight="false" outlineLevel="0" collapsed="false">
      <c r="A126" s="24" t="s">
        <v>251</v>
      </c>
      <c r="B126" s="9" t="s">
        <v>1786</v>
      </c>
      <c r="C126" s="9" t="str">
        <f aca="false">VLOOKUP(B126, AT_FILAS!$A$2:$C$8,2,FALSE())</f>
        <v>Producción</v>
      </c>
      <c r="D126" s="9" t="str">
        <f aca="false">VLOOKUP(B126, AT_FILAS!$A$2:$C$8,3,FALSE())</f>
        <v>P1</v>
      </c>
      <c r="E126" s="9" t="s">
        <v>2071</v>
      </c>
      <c r="F126" s="9" t="s">
        <v>2072</v>
      </c>
      <c r="G126" s="9" t="s">
        <v>1750</v>
      </c>
      <c r="H126" s="9" t="n">
        <v>4</v>
      </c>
      <c r="I126" s="9" t="s">
        <v>1750</v>
      </c>
      <c r="J126" s="9" t="s">
        <v>1750</v>
      </c>
      <c r="K126" s="1" t="n">
        <v>6</v>
      </c>
      <c r="L126" s="1" t="str">
        <f aca="false">VLOOKUP(K126,clasif_filas!$A$1:$J$39,2,FALSE())</f>
        <v>Otros servicios</v>
      </c>
      <c r="M126" s="1" t="n">
        <f aca="false">VLOOKUP(K126,clasif_filas!$A$1:$J$39,3,FALSE())</f>
        <v>6</v>
      </c>
      <c r="N126" s="1" t="str">
        <f aca="false">VLOOKUP(K126,clasif_filas!$A$1:$J$39,4,FALSE())</f>
        <v>Otros servicios</v>
      </c>
      <c r="O126" s="1" t="n">
        <f aca="false">VLOOKUP(K126,clasif_filas!$A$1:$J$39,5,FALSE())</f>
        <v>99</v>
      </c>
      <c r="P126" s="1" t="str">
        <f aca="false">VLOOKUP(K126,clasif_filas!$A$1:$J$39,6,FALSE())</f>
        <v>No Bioeconomía</v>
      </c>
      <c r="Q126" s="1" t="n">
        <f aca="false">VLOOKUP(K126,clasif_filas!$A$1:$J$39,7,FALSE())</f>
        <v>6</v>
      </c>
      <c r="R126" s="1" t="str">
        <f aca="false">VLOOKUP(K126,clasif_filas!$A$1:$J$39,8,FALSE())</f>
        <v>Servicios comerciales de distribución; alojamiento, servicios de suministro de comidas y bebidas; servicios de transporte; y servicios de distribución de electricidad, gas y agua</v>
      </c>
      <c r="S126" s="1" t="n">
        <f aca="false">VLOOKUP(K126,clasif_filas!$A$1:$J$39,9,FALSE())</f>
        <v>3</v>
      </c>
      <c r="T126" s="1" t="str">
        <f aca="false">VLOOKUP(K126,clasif_filas!$A$1:$J$39,10,FALSE())</f>
        <v>No bioeconomía</v>
      </c>
      <c r="U126" s="61"/>
    </row>
    <row r="127" customFormat="false" ht="14.25" hidden="false" customHeight="false" outlineLevel="0" collapsed="false">
      <c r="A127" s="24" t="s">
        <v>253</v>
      </c>
      <c r="B127" s="9" t="s">
        <v>1786</v>
      </c>
      <c r="C127" s="9" t="str">
        <f aca="false">VLOOKUP(B127, AT_FILAS!$A$2:$C$8,2,FALSE())</f>
        <v>Producción</v>
      </c>
      <c r="D127" s="9" t="str">
        <f aca="false">VLOOKUP(B127, AT_FILAS!$A$2:$C$8,3,FALSE())</f>
        <v>P1</v>
      </c>
      <c r="E127" s="9" t="s">
        <v>2073</v>
      </c>
      <c r="F127" s="9" t="s">
        <v>2074</v>
      </c>
      <c r="G127" s="9" t="s">
        <v>1750</v>
      </c>
      <c r="H127" s="9" t="n">
        <v>4</v>
      </c>
      <c r="I127" s="9" t="s">
        <v>1750</v>
      </c>
      <c r="J127" s="9" t="s">
        <v>1750</v>
      </c>
      <c r="K127" s="1" t="n">
        <v>6</v>
      </c>
      <c r="L127" s="1" t="str">
        <f aca="false">VLOOKUP(K127,clasif_filas!$A$1:$J$39,2,FALSE())</f>
        <v>Otros servicios</v>
      </c>
      <c r="M127" s="1" t="n">
        <f aca="false">VLOOKUP(K127,clasif_filas!$A$1:$J$39,3,FALSE())</f>
        <v>6</v>
      </c>
      <c r="N127" s="1" t="str">
        <f aca="false">VLOOKUP(K127,clasif_filas!$A$1:$J$39,4,FALSE())</f>
        <v>Otros servicios</v>
      </c>
      <c r="O127" s="1" t="n">
        <f aca="false">VLOOKUP(K127,clasif_filas!$A$1:$J$39,5,FALSE())</f>
        <v>99</v>
      </c>
      <c r="P127" s="1" t="str">
        <f aca="false">VLOOKUP(K127,clasif_filas!$A$1:$J$39,6,FALSE())</f>
        <v>No Bioeconomía</v>
      </c>
      <c r="Q127" s="1" t="n">
        <f aca="false">VLOOKUP(K127,clasif_filas!$A$1:$J$39,7,FALSE())</f>
        <v>6</v>
      </c>
      <c r="R127" s="1" t="str">
        <f aca="false">VLOOKUP(K127,clasif_filas!$A$1:$J$39,8,FALSE())</f>
        <v>Servicios comerciales de distribución; alojamiento, servicios de suministro de comidas y bebidas; servicios de transporte; y servicios de distribución de electricidad, gas y agua</v>
      </c>
      <c r="S127" s="1" t="n">
        <f aca="false">VLOOKUP(K127,clasif_filas!$A$1:$J$39,9,FALSE())</f>
        <v>3</v>
      </c>
      <c r="T127" s="1" t="str">
        <f aca="false">VLOOKUP(K127,clasif_filas!$A$1:$J$39,10,FALSE())</f>
        <v>No bioeconomía</v>
      </c>
      <c r="U127" s="61"/>
    </row>
    <row r="128" customFormat="false" ht="14.25" hidden="false" customHeight="false" outlineLevel="0" collapsed="false">
      <c r="A128" s="24" t="s">
        <v>255</v>
      </c>
      <c r="B128" s="9" t="s">
        <v>1786</v>
      </c>
      <c r="C128" s="9" t="str">
        <f aca="false">VLOOKUP(B128, AT_FILAS!$A$2:$C$8,2,FALSE())</f>
        <v>Producción</v>
      </c>
      <c r="D128" s="9" t="str">
        <f aca="false">VLOOKUP(B128, AT_FILAS!$A$2:$C$8,3,FALSE())</f>
        <v>P1</v>
      </c>
      <c r="E128" s="9" t="s">
        <v>2075</v>
      </c>
      <c r="F128" s="9" t="s">
        <v>2076</v>
      </c>
      <c r="G128" s="9" t="s">
        <v>1750</v>
      </c>
      <c r="H128" s="9" t="n">
        <v>4</v>
      </c>
      <c r="I128" s="9" t="s">
        <v>1750</v>
      </c>
      <c r="J128" s="9" t="s">
        <v>1750</v>
      </c>
      <c r="K128" s="1" t="n">
        <v>6</v>
      </c>
      <c r="L128" s="1" t="str">
        <f aca="false">VLOOKUP(K128,clasif_filas!$A$1:$J$39,2,FALSE())</f>
        <v>Otros servicios</v>
      </c>
      <c r="M128" s="1" t="n">
        <f aca="false">VLOOKUP(K128,clasif_filas!$A$1:$J$39,3,FALSE())</f>
        <v>6</v>
      </c>
      <c r="N128" s="1" t="str">
        <f aca="false">VLOOKUP(K128,clasif_filas!$A$1:$J$39,4,FALSE())</f>
        <v>Otros servicios</v>
      </c>
      <c r="O128" s="1" t="n">
        <f aca="false">VLOOKUP(K128,clasif_filas!$A$1:$J$39,5,FALSE())</f>
        <v>99</v>
      </c>
      <c r="P128" s="1" t="str">
        <f aca="false">VLOOKUP(K128,clasif_filas!$A$1:$J$39,6,FALSE())</f>
        <v>No Bioeconomía</v>
      </c>
      <c r="Q128" s="1" t="n">
        <f aca="false">VLOOKUP(K128,clasif_filas!$A$1:$J$39,7,FALSE())</f>
        <v>6</v>
      </c>
      <c r="R128" s="1" t="str">
        <f aca="false">VLOOKUP(K128,clasif_filas!$A$1:$J$39,8,FALSE())</f>
        <v>Servicios comerciales de distribución; alojamiento, servicios de suministro de comidas y bebidas; servicios de transporte; y servicios de distribución de electricidad, gas y agua</v>
      </c>
      <c r="S128" s="1" t="n">
        <f aca="false">VLOOKUP(K128,clasif_filas!$A$1:$J$39,9,FALSE())</f>
        <v>3</v>
      </c>
      <c r="T128" s="1" t="str">
        <f aca="false">VLOOKUP(K128,clasif_filas!$A$1:$J$39,10,FALSE())</f>
        <v>No bioeconomía</v>
      </c>
      <c r="U128" s="61"/>
    </row>
    <row r="129" customFormat="false" ht="14.25" hidden="false" customHeight="false" outlineLevel="0" collapsed="false">
      <c r="A129" s="63" t="s">
        <v>257</v>
      </c>
      <c r="B129" s="64" t="s">
        <v>1786</v>
      </c>
      <c r="C129" s="64" t="str">
        <f aca="false">VLOOKUP(B129, AT_FILAS!$A$2:$C$8,2,FALSE())</f>
        <v>Producción</v>
      </c>
      <c r="D129" s="64" t="str">
        <f aca="false">VLOOKUP(B129, AT_FILAS!$A$2:$C$8,3,FALSE())</f>
        <v>P1</v>
      </c>
      <c r="E129" s="64" t="s">
        <v>2077</v>
      </c>
      <c r="F129" s="64" t="s">
        <v>2078</v>
      </c>
      <c r="G129" s="9" t="s">
        <v>1750</v>
      </c>
      <c r="H129" s="9" t="n">
        <v>4</v>
      </c>
      <c r="I129" s="9" t="s">
        <v>1750</v>
      </c>
      <c r="J129" s="9" t="s">
        <v>1750</v>
      </c>
      <c r="K129" s="1" t="n">
        <v>6</v>
      </c>
      <c r="L129" s="1" t="str">
        <f aca="false">VLOOKUP(K129,clasif_filas!$A$1:$J$39,2,FALSE())</f>
        <v>Otros servicios</v>
      </c>
      <c r="M129" s="1" t="n">
        <f aca="false">VLOOKUP(K129,clasif_filas!$A$1:$J$39,3,FALSE())</f>
        <v>6</v>
      </c>
      <c r="N129" s="1" t="str">
        <f aca="false">VLOOKUP(K129,clasif_filas!$A$1:$J$39,4,FALSE())</f>
        <v>Otros servicios</v>
      </c>
      <c r="O129" s="1" t="n">
        <f aca="false">VLOOKUP(K129,clasif_filas!$A$1:$J$39,5,FALSE())</f>
        <v>99</v>
      </c>
      <c r="P129" s="1" t="str">
        <f aca="false">VLOOKUP(K129,clasif_filas!$A$1:$J$39,6,FALSE())</f>
        <v>No Bioeconomía</v>
      </c>
      <c r="Q129" s="1" t="n">
        <f aca="false">VLOOKUP(K129,clasif_filas!$A$1:$J$39,7,FALSE())</f>
        <v>6</v>
      </c>
      <c r="R129" s="1" t="str">
        <f aca="false">VLOOKUP(K129,clasif_filas!$A$1:$J$39,8,FALSE())</f>
        <v>Servicios comerciales de distribución; alojamiento, servicios de suministro de comidas y bebidas; servicios de transporte; y servicios de distribución de electricidad, gas y agua</v>
      </c>
      <c r="S129" s="1" t="n">
        <f aca="false">VLOOKUP(K129,clasif_filas!$A$1:$J$39,9,FALSE())</f>
        <v>3</v>
      </c>
      <c r="T129" s="1" t="str">
        <f aca="false">VLOOKUP(K129,clasif_filas!$A$1:$J$39,10,FALSE())</f>
        <v>No bioeconomía</v>
      </c>
      <c r="U129" s="65"/>
    </row>
    <row r="130" customFormat="false" ht="14.25" hidden="false" customHeight="false" outlineLevel="0" collapsed="false">
      <c r="A130" s="24" t="s">
        <v>521</v>
      </c>
      <c r="B130" s="9" t="s">
        <v>2079</v>
      </c>
      <c r="C130" s="9" t="str">
        <f aca="false">VLOOKUP(B130, AT_FILAS!$A$2:$C$8,2,FALSE())</f>
        <v>Consumo intermedio</v>
      </c>
      <c r="D130" s="9" t="str">
        <f aca="false">VLOOKUP(B130, AT_FILAS!$A$2:$C$8,3,FALSE())</f>
        <v>P2</v>
      </c>
      <c r="E130" s="9" t="s">
        <v>1787</v>
      </c>
      <c r="F130" s="9" t="s">
        <v>1788</v>
      </c>
      <c r="G130" s="9" t="s">
        <v>1789</v>
      </c>
      <c r="H130" s="9" t="n">
        <v>1</v>
      </c>
      <c r="I130" s="9" t="s">
        <v>1790</v>
      </c>
      <c r="J130" s="9" t="s">
        <v>1791</v>
      </c>
      <c r="K130" s="1" t="n">
        <v>1</v>
      </c>
      <c r="L130" s="1" t="str">
        <f aca="false">VLOOKUP(K130,clasif_filas!$A$1:$J$39,2,FALSE())</f>
        <v>Productos de la agricultura, la horticultura y la jardinería comercial</v>
      </c>
      <c r="M130" s="1" t="n">
        <f aca="false">VLOOKUP(K130,clasif_filas!$A$1:$J$39,3,FALSE())</f>
        <v>1</v>
      </c>
      <c r="N130" s="1" t="str">
        <f aca="false">VLOOKUP(K130,clasif_filas!$A$1:$J$39,4,FALSE())</f>
        <v>Productos de la agricultura, la horticultura y la jardinería comercial</v>
      </c>
      <c r="O130" s="1" t="n">
        <f aca="false">VLOOKUP(K130,clasif_filas!$A$1:$J$39,5,FALSE())</f>
        <v>1</v>
      </c>
      <c r="P130" s="1" t="str">
        <f aca="false">VLOOKUP(K130,clasif_filas!$A$1:$J$39,6,FALSE())</f>
        <v>Biomasa que se cultiva para producir alimentos, forrajes, fibras y energía</v>
      </c>
      <c r="Q130" s="1" t="n">
        <f aca="false">VLOOKUP(K130,clasif_filas!$A$1:$J$39,7,FALSE())</f>
        <v>0</v>
      </c>
      <c r="R130" s="1" t="str">
        <f aca="false">VLOOKUP(K130,clasif_filas!$A$1:$J$39,8,FALSE())</f>
        <v>Productos de la agricultura, la silvicultura yla pesca</v>
      </c>
      <c r="S130" s="1" t="n">
        <f aca="false">VLOOKUP(K130,clasif_filas!$A$1:$J$39,9,FALSE())</f>
        <v>1</v>
      </c>
      <c r="T130" s="1" t="str">
        <f aca="false">VLOOKUP(K130,clasif_filas!$A$1:$J$39,10,FALSE())</f>
        <v>Bioeconomía</v>
      </c>
      <c r="U130" s="61"/>
    </row>
    <row r="131" customFormat="false" ht="14.25" hidden="false" customHeight="false" outlineLevel="0" collapsed="false">
      <c r="A131" s="24" t="s">
        <v>523</v>
      </c>
      <c r="B131" s="9" t="s">
        <v>2079</v>
      </c>
      <c r="C131" s="9" t="str">
        <f aca="false">VLOOKUP(B131, AT_FILAS!$A$2:$C$8,2,FALSE())</f>
        <v>Consumo intermedio</v>
      </c>
      <c r="D131" s="9" t="str">
        <f aca="false">VLOOKUP(B131, AT_FILAS!$A$2:$C$8,3,FALSE())</f>
        <v>P2</v>
      </c>
      <c r="E131" s="9" t="s">
        <v>1792</v>
      </c>
      <c r="F131" s="9" t="s">
        <v>1793</v>
      </c>
      <c r="G131" s="9" t="s">
        <v>1789</v>
      </c>
      <c r="H131" s="9" t="n">
        <v>1</v>
      </c>
      <c r="I131" s="9" t="s">
        <v>1790</v>
      </c>
      <c r="J131" s="9" t="s">
        <v>1791</v>
      </c>
      <c r="K131" s="1" t="n">
        <v>1</v>
      </c>
      <c r="L131" s="1" t="str">
        <f aca="false">VLOOKUP(K131,clasif_filas!$A$1:$J$39,2,FALSE())</f>
        <v>Productos de la agricultura, la horticultura y la jardinería comercial</v>
      </c>
      <c r="M131" s="1" t="n">
        <f aca="false">VLOOKUP(K131,clasif_filas!$A$1:$J$39,3,FALSE())</f>
        <v>1</v>
      </c>
      <c r="N131" s="1" t="str">
        <f aca="false">VLOOKUP(K131,clasif_filas!$A$1:$J$39,4,FALSE())</f>
        <v>Productos de la agricultura, la horticultura y la jardinería comercial</v>
      </c>
      <c r="O131" s="1" t="n">
        <f aca="false">VLOOKUP(K131,clasif_filas!$A$1:$J$39,5,FALSE())</f>
        <v>1</v>
      </c>
      <c r="P131" s="1" t="str">
        <f aca="false">VLOOKUP(K131,clasif_filas!$A$1:$J$39,6,FALSE())</f>
        <v>Biomasa que se cultiva para producir alimentos, forrajes, fibras y energía</v>
      </c>
      <c r="Q131" s="1" t="n">
        <f aca="false">VLOOKUP(K131,clasif_filas!$A$1:$J$39,7,FALSE())</f>
        <v>0</v>
      </c>
      <c r="R131" s="1" t="str">
        <f aca="false">VLOOKUP(K131,clasif_filas!$A$1:$J$39,8,FALSE())</f>
        <v>Productos de la agricultura, la silvicultura yla pesca</v>
      </c>
      <c r="S131" s="1" t="n">
        <f aca="false">VLOOKUP(K131,clasif_filas!$A$1:$J$39,9,FALSE())</f>
        <v>1</v>
      </c>
      <c r="T131" s="1" t="str">
        <f aca="false">VLOOKUP(K131,clasif_filas!$A$1:$J$39,10,FALSE())</f>
        <v>Bioeconomía</v>
      </c>
      <c r="U131" s="61"/>
    </row>
    <row r="132" customFormat="false" ht="14.25" hidden="false" customHeight="false" outlineLevel="0" collapsed="false">
      <c r="A132" s="24" t="s">
        <v>525</v>
      </c>
      <c r="B132" s="9" t="s">
        <v>2079</v>
      </c>
      <c r="C132" s="9" t="str">
        <f aca="false">VLOOKUP(B132, AT_FILAS!$A$2:$C$8,2,FALSE())</f>
        <v>Consumo intermedio</v>
      </c>
      <c r="D132" s="9" t="str">
        <f aca="false">VLOOKUP(B132, AT_FILAS!$A$2:$C$8,3,FALSE())</f>
        <v>P2</v>
      </c>
      <c r="E132" s="9" t="s">
        <v>1794</v>
      </c>
      <c r="F132" s="9" t="s">
        <v>1795</v>
      </c>
      <c r="G132" s="9" t="s">
        <v>1796</v>
      </c>
      <c r="H132" s="9" t="n">
        <v>1</v>
      </c>
      <c r="I132" s="9" t="s">
        <v>1790</v>
      </c>
      <c r="J132" s="9" t="s">
        <v>1791</v>
      </c>
      <c r="K132" s="1" t="n">
        <v>1</v>
      </c>
      <c r="L132" s="1" t="str">
        <f aca="false">VLOOKUP(K132,clasif_filas!$A$1:$J$39,2,FALSE())</f>
        <v>Productos de la agricultura, la horticultura y la jardinería comercial</v>
      </c>
      <c r="M132" s="1" t="n">
        <f aca="false">VLOOKUP(K132,clasif_filas!$A$1:$J$39,3,FALSE())</f>
        <v>1</v>
      </c>
      <c r="N132" s="1" t="str">
        <f aca="false">VLOOKUP(K132,clasif_filas!$A$1:$J$39,4,FALSE())</f>
        <v>Productos de la agricultura, la horticultura y la jardinería comercial</v>
      </c>
      <c r="O132" s="1" t="n">
        <f aca="false">VLOOKUP(K132,clasif_filas!$A$1:$J$39,5,FALSE())</f>
        <v>1</v>
      </c>
      <c r="P132" s="1" t="str">
        <f aca="false">VLOOKUP(K132,clasif_filas!$A$1:$J$39,6,FALSE())</f>
        <v>Biomasa que se cultiva para producir alimentos, forrajes, fibras y energía</v>
      </c>
      <c r="Q132" s="1" t="n">
        <f aca="false">VLOOKUP(K132,clasif_filas!$A$1:$J$39,7,FALSE())</f>
        <v>0</v>
      </c>
      <c r="R132" s="1" t="str">
        <f aca="false">VLOOKUP(K132,clasif_filas!$A$1:$J$39,8,FALSE())</f>
        <v>Productos de la agricultura, la silvicultura yla pesca</v>
      </c>
      <c r="S132" s="1" t="n">
        <f aca="false">VLOOKUP(K132,clasif_filas!$A$1:$J$39,9,FALSE())</f>
        <v>1</v>
      </c>
      <c r="T132" s="1" t="str">
        <f aca="false">VLOOKUP(K132,clasif_filas!$A$1:$J$39,10,FALSE())</f>
        <v>Bioeconomía</v>
      </c>
      <c r="U132" s="61"/>
    </row>
    <row r="133" customFormat="false" ht="14.25" hidden="false" customHeight="false" outlineLevel="0" collapsed="false">
      <c r="A133" s="24" t="s">
        <v>527</v>
      </c>
      <c r="B133" s="9" t="s">
        <v>2079</v>
      </c>
      <c r="C133" s="9" t="str">
        <f aca="false">VLOOKUP(B133, AT_FILAS!$A$2:$C$8,2,FALSE())</f>
        <v>Consumo intermedio</v>
      </c>
      <c r="D133" s="9" t="str">
        <f aca="false">VLOOKUP(B133, AT_FILAS!$A$2:$C$8,3,FALSE())</f>
        <v>P2</v>
      </c>
      <c r="E133" s="9" t="s">
        <v>1797</v>
      </c>
      <c r="F133" s="9" t="s">
        <v>1798</v>
      </c>
      <c r="G133" s="9" t="s">
        <v>1799</v>
      </c>
      <c r="H133" s="9" t="n">
        <v>1</v>
      </c>
      <c r="I133" s="9" t="s">
        <v>1790</v>
      </c>
      <c r="J133" s="9" t="s">
        <v>1791</v>
      </c>
      <c r="K133" s="1" t="n">
        <v>1</v>
      </c>
      <c r="L133" s="1" t="str">
        <f aca="false">VLOOKUP(K133,clasif_filas!$A$1:$J$39,2,FALSE())</f>
        <v>Productos de la agricultura, la horticultura y la jardinería comercial</v>
      </c>
      <c r="M133" s="1" t="n">
        <f aca="false">VLOOKUP(K133,clasif_filas!$A$1:$J$39,3,FALSE())</f>
        <v>1</v>
      </c>
      <c r="N133" s="1" t="str">
        <f aca="false">VLOOKUP(K133,clasif_filas!$A$1:$J$39,4,FALSE())</f>
        <v>Productos de la agricultura, la horticultura y la jardinería comercial</v>
      </c>
      <c r="O133" s="1" t="n">
        <f aca="false">VLOOKUP(K133,clasif_filas!$A$1:$J$39,5,FALSE())</f>
        <v>1</v>
      </c>
      <c r="P133" s="1" t="str">
        <f aca="false">VLOOKUP(K133,clasif_filas!$A$1:$J$39,6,FALSE())</f>
        <v>Biomasa que se cultiva para producir alimentos, forrajes, fibras y energía</v>
      </c>
      <c r="Q133" s="1" t="n">
        <f aca="false">VLOOKUP(K133,clasif_filas!$A$1:$J$39,7,FALSE())</f>
        <v>0</v>
      </c>
      <c r="R133" s="1" t="str">
        <f aca="false">VLOOKUP(K133,clasif_filas!$A$1:$J$39,8,FALSE())</f>
        <v>Productos de la agricultura, la silvicultura yla pesca</v>
      </c>
      <c r="S133" s="1" t="n">
        <f aca="false">VLOOKUP(K133,clasif_filas!$A$1:$J$39,9,FALSE())</f>
        <v>1</v>
      </c>
      <c r="T133" s="1" t="str">
        <f aca="false">VLOOKUP(K133,clasif_filas!$A$1:$J$39,10,FALSE())</f>
        <v>Bioeconomía</v>
      </c>
      <c r="U133" s="61"/>
    </row>
    <row r="134" customFormat="false" ht="14.25" hidden="false" customHeight="false" outlineLevel="0" collapsed="false">
      <c r="A134" s="24" t="s">
        <v>529</v>
      </c>
      <c r="B134" s="9" t="s">
        <v>2079</v>
      </c>
      <c r="C134" s="9" t="str">
        <f aca="false">VLOOKUP(B134, AT_FILAS!$A$2:$C$8,2,FALSE())</f>
        <v>Consumo intermedio</v>
      </c>
      <c r="D134" s="9" t="str">
        <f aca="false">VLOOKUP(B134, AT_FILAS!$A$2:$C$8,3,FALSE())</f>
        <v>P2</v>
      </c>
      <c r="E134" s="9" t="s">
        <v>1800</v>
      </c>
      <c r="F134" s="9" t="s">
        <v>1801</v>
      </c>
      <c r="G134" s="9" t="s">
        <v>1796</v>
      </c>
      <c r="H134" s="9" t="n">
        <v>1</v>
      </c>
      <c r="I134" s="9" t="s">
        <v>1790</v>
      </c>
      <c r="J134" s="9" t="s">
        <v>1791</v>
      </c>
      <c r="K134" s="1" t="n">
        <v>1</v>
      </c>
      <c r="L134" s="1" t="str">
        <f aca="false">VLOOKUP(K134,clasif_filas!$A$1:$J$39,2,FALSE())</f>
        <v>Productos de la agricultura, la horticultura y la jardinería comercial</v>
      </c>
      <c r="M134" s="1" t="n">
        <f aca="false">VLOOKUP(K134,clasif_filas!$A$1:$J$39,3,FALSE())</f>
        <v>1</v>
      </c>
      <c r="N134" s="1" t="str">
        <f aca="false">VLOOKUP(K134,clasif_filas!$A$1:$J$39,4,FALSE())</f>
        <v>Productos de la agricultura, la horticultura y la jardinería comercial</v>
      </c>
      <c r="O134" s="1" t="n">
        <f aca="false">VLOOKUP(K134,clasif_filas!$A$1:$J$39,5,FALSE())</f>
        <v>1</v>
      </c>
      <c r="P134" s="1" t="str">
        <f aca="false">VLOOKUP(K134,clasif_filas!$A$1:$J$39,6,FALSE())</f>
        <v>Biomasa que se cultiva para producir alimentos, forrajes, fibras y energía</v>
      </c>
      <c r="Q134" s="1" t="n">
        <f aca="false">VLOOKUP(K134,clasif_filas!$A$1:$J$39,7,FALSE())</f>
        <v>0</v>
      </c>
      <c r="R134" s="1" t="str">
        <f aca="false">VLOOKUP(K134,clasif_filas!$A$1:$J$39,8,FALSE())</f>
        <v>Productos de la agricultura, la silvicultura yla pesca</v>
      </c>
      <c r="S134" s="1" t="n">
        <f aca="false">VLOOKUP(K134,clasif_filas!$A$1:$J$39,9,FALSE())</f>
        <v>1</v>
      </c>
      <c r="T134" s="1" t="str">
        <f aca="false">VLOOKUP(K134,clasif_filas!$A$1:$J$39,10,FALSE())</f>
        <v>Bioeconomía</v>
      </c>
      <c r="U134" s="61"/>
    </row>
    <row r="135" customFormat="false" ht="14.25" hidden="false" customHeight="false" outlineLevel="0" collapsed="false">
      <c r="A135" s="24" t="s">
        <v>531</v>
      </c>
      <c r="B135" s="9" t="s">
        <v>2079</v>
      </c>
      <c r="C135" s="9" t="str">
        <f aca="false">VLOOKUP(B135, AT_FILAS!$A$2:$C$8,2,FALSE())</f>
        <v>Consumo intermedio</v>
      </c>
      <c r="D135" s="9" t="str">
        <f aca="false">VLOOKUP(B135, AT_FILAS!$A$2:$C$8,3,FALSE())</f>
        <v>P2</v>
      </c>
      <c r="E135" s="9" t="s">
        <v>1802</v>
      </c>
      <c r="F135" s="9" t="s">
        <v>1803</v>
      </c>
      <c r="G135" s="9" t="s">
        <v>1804</v>
      </c>
      <c r="H135" s="9" t="n">
        <v>1</v>
      </c>
      <c r="I135" s="9" t="s">
        <v>1790</v>
      </c>
      <c r="J135" s="9" t="s">
        <v>1791</v>
      </c>
      <c r="K135" s="1" t="n">
        <v>1</v>
      </c>
      <c r="L135" s="1" t="str">
        <f aca="false">VLOOKUP(K135,clasif_filas!$A$1:$J$39,2,FALSE())</f>
        <v>Productos de la agricultura, la horticultura y la jardinería comercial</v>
      </c>
      <c r="M135" s="1" t="n">
        <f aca="false">VLOOKUP(K135,clasif_filas!$A$1:$J$39,3,FALSE())</f>
        <v>1</v>
      </c>
      <c r="N135" s="1" t="str">
        <f aca="false">VLOOKUP(K135,clasif_filas!$A$1:$J$39,4,FALSE())</f>
        <v>Productos de la agricultura, la horticultura y la jardinería comercial</v>
      </c>
      <c r="O135" s="1" t="n">
        <f aca="false">VLOOKUP(K135,clasif_filas!$A$1:$J$39,5,FALSE())</f>
        <v>1</v>
      </c>
      <c r="P135" s="1" t="str">
        <f aca="false">VLOOKUP(K135,clasif_filas!$A$1:$J$39,6,FALSE())</f>
        <v>Biomasa que se cultiva para producir alimentos, forrajes, fibras y energía</v>
      </c>
      <c r="Q135" s="1" t="n">
        <f aca="false">VLOOKUP(K135,clasif_filas!$A$1:$J$39,7,FALSE())</f>
        <v>0</v>
      </c>
      <c r="R135" s="1" t="str">
        <f aca="false">VLOOKUP(K135,clasif_filas!$A$1:$J$39,8,FALSE())</f>
        <v>Productos de la agricultura, la silvicultura yla pesca</v>
      </c>
      <c r="S135" s="1" t="n">
        <f aca="false">VLOOKUP(K135,clasif_filas!$A$1:$J$39,9,FALSE())</f>
        <v>1</v>
      </c>
      <c r="T135" s="1" t="str">
        <f aca="false">VLOOKUP(K135,clasif_filas!$A$1:$J$39,10,FALSE())</f>
        <v>Bioeconomía</v>
      </c>
      <c r="U135" s="61"/>
    </row>
    <row r="136" customFormat="false" ht="14.25" hidden="false" customHeight="false" outlineLevel="0" collapsed="false">
      <c r="A136" s="24" t="s">
        <v>533</v>
      </c>
      <c r="B136" s="9" t="s">
        <v>2079</v>
      </c>
      <c r="C136" s="9" t="str">
        <f aca="false">VLOOKUP(B136, AT_FILAS!$A$2:$C$8,2,FALSE())</f>
        <v>Consumo intermedio</v>
      </c>
      <c r="D136" s="9" t="str">
        <f aca="false">VLOOKUP(B136, AT_FILAS!$A$2:$C$8,3,FALSE())</f>
        <v>P2</v>
      </c>
      <c r="E136" s="9" t="s">
        <v>1805</v>
      </c>
      <c r="F136" s="9" t="s">
        <v>1806</v>
      </c>
      <c r="G136" s="9" t="s">
        <v>1807</v>
      </c>
      <c r="H136" s="9" t="n">
        <v>1</v>
      </c>
      <c r="I136" s="9" t="s">
        <v>1790</v>
      </c>
      <c r="J136" s="9" t="s">
        <v>1791</v>
      </c>
      <c r="K136" s="1" t="n">
        <v>1</v>
      </c>
      <c r="L136" s="1" t="str">
        <f aca="false">VLOOKUP(K136,clasif_filas!$A$1:$J$39,2,FALSE())</f>
        <v>Productos de la agricultura, la horticultura y la jardinería comercial</v>
      </c>
      <c r="M136" s="1" t="n">
        <f aca="false">VLOOKUP(K136,clasif_filas!$A$1:$J$39,3,FALSE())</f>
        <v>1</v>
      </c>
      <c r="N136" s="1" t="str">
        <f aca="false">VLOOKUP(K136,clasif_filas!$A$1:$J$39,4,FALSE())</f>
        <v>Productos de la agricultura, la horticultura y la jardinería comercial</v>
      </c>
      <c r="O136" s="1" t="n">
        <f aca="false">VLOOKUP(K136,clasif_filas!$A$1:$J$39,5,FALSE())</f>
        <v>1</v>
      </c>
      <c r="P136" s="1" t="str">
        <f aca="false">VLOOKUP(K136,clasif_filas!$A$1:$J$39,6,FALSE())</f>
        <v>Biomasa que se cultiva para producir alimentos, forrajes, fibras y energía</v>
      </c>
      <c r="Q136" s="1" t="n">
        <f aca="false">VLOOKUP(K136,clasif_filas!$A$1:$J$39,7,FALSE())</f>
        <v>0</v>
      </c>
      <c r="R136" s="1" t="str">
        <f aca="false">VLOOKUP(K136,clasif_filas!$A$1:$J$39,8,FALSE())</f>
        <v>Productos de la agricultura, la silvicultura yla pesca</v>
      </c>
      <c r="S136" s="1" t="n">
        <f aca="false">VLOOKUP(K136,clasif_filas!$A$1:$J$39,9,FALSE())</f>
        <v>1</v>
      </c>
      <c r="T136" s="1" t="str">
        <f aca="false">VLOOKUP(K136,clasif_filas!$A$1:$J$39,10,FALSE())</f>
        <v>Bioeconomía</v>
      </c>
      <c r="U136" s="61"/>
    </row>
    <row r="137" customFormat="false" ht="14.25" hidden="false" customHeight="false" outlineLevel="0" collapsed="false">
      <c r="A137" s="24" t="s">
        <v>535</v>
      </c>
      <c r="B137" s="9" t="s">
        <v>2079</v>
      </c>
      <c r="C137" s="9" t="str">
        <f aca="false">VLOOKUP(B137, AT_FILAS!$A$2:$C$8,2,FALSE())</f>
        <v>Consumo intermedio</v>
      </c>
      <c r="D137" s="9" t="str">
        <f aca="false">VLOOKUP(B137, AT_FILAS!$A$2:$C$8,3,FALSE())</f>
        <v>P2</v>
      </c>
      <c r="E137" s="9" t="s">
        <v>1808</v>
      </c>
      <c r="F137" s="9" t="s">
        <v>1809</v>
      </c>
      <c r="G137" s="9" t="s">
        <v>1810</v>
      </c>
      <c r="H137" s="9" t="n">
        <v>1</v>
      </c>
      <c r="I137" s="9" t="s">
        <v>1790</v>
      </c>
      <c r="J137" s="9" t="s">
        <v>1791</v>
      </c>
      <c r="K137" s="1" t="n">
        <v>1</v>
      </c>
      <c r="L137" s="1" t="str">
        <f aca="false">VLOOKUP(K137,clasif_filas!$A$1:$J$39,2,FALSE())</f>
        <v>Productos de la agricultura, la horticultura y la jardinería comercial</v>
      </c>
      <c r="M137" s="1" t="n">
        <f aca="false">VLOOKUP(K137,clasif_filas!$A$1:$J$39,3,FALSE())</f>
        <v>1</v>
      </c>
      <c r="N137" s="1" t="str">
        <f aca="false">VLOOKUP(K137,clasif_filas!$A$1:$J$39,4,FALSE())</f>
        <v>Productos de la agricultura, la horticultura y la jardinería comercial</v>
      </c>
      <c r="O137" s="1" t="n">
        <f aca="false">VLOOKUP(K137,clasif_filas!$A$1:$J$39,5,FALSE())</f>
        <v>1</v>
      </c>
      <c r="P137" s="1" t="str">
        <f aca="false">VLOOKUP(K137,clasif_filas!$A$1:$J$39,6,FALSE())</f>
        <v>Biomasa que se cultiva para producir alimentos, forrajes, fibras y energía</v>
      </c>
      <c r="Q137" s="1" t="n">
        <f aca="false">VLOOKUP(K137,clasif_filas!$A$1:$J$39,7,FALSE())</f>
        <v>0</v>
      </c>
      <c r="R137" s="1" t="str">
        <f aca="false">VLOOKUP(K137,clasif_filas!$A$1:$J$39,8,FALSE())</f>
        <v>Productos de la agricultura, la silvicultura yla pesca</v>
      </c>
      <c r="S137" s="1" t="n">
        <f aca="false">VLOOKUP(K137,clasif_filas!$A$1:$J$39,9,FALSE())</f>
        <v>1</v>
      </c>
      <c r="T137" s="1" t="str">
        <f aca="false">VLOOKUP(K137,clasif_filas!$A$1:$J$39,10,FALSE())</f>
        <v>Bioeconomía</v>
      </c>
      <c r="U137" s="61"/>
    </row>
    <row r="138" customFormat="false" ht="14.25" hidden="false" customHeight="false" outlineLevel="0" collapsed="false">
      <c r="A138" s="24" t="s">
        <v>537</v>
      </c>
      <c r="B138" s="9" t="s">
        <v>2079</v>
      </c>
      <c r="C138" s="9" t="str">
        <f aca="false">VLOOKUP(B138, AT_FILAS!$A$2:$C$8,2,FALSE())</f>
        <v>Consumo intermedio</v>
      </c>
      <c r="D138" s="9" t="str">
        <f aca="false">VLOOKUP(B138, AT_FILAS!$A$2:$C$8,3,FALSE())</f>
        <v>P2</v>
      </c>
      <c r="E138" s="9" t="s">
        <v>1811</v>
      </c>
      <c r="F138" s="9" t="s">
        <v>1812</v>
      </c>
      <c r="G138" s="9" t="s">
        <v>1813</v>
      </c>
      <c r="H138" s="9" t="n">
        <v>1</v>
      </c>
      <c r="I138" s="9" t="s">
        <v>1790</v>
      </c>
      <c r="J138" s="9" t="s">
        <v>1814</v>
      </c>
      <c r="K138" s="1" t="n">
        <v>1</v>
      </c>
      <c r="L138" s="1" t="str">
        <f aca="false">VLOOKUP(K138,clasif_filas!$A$1:$J$39,2,FALSE())</f>
        <v>Productos de la agricultura, la horticultura y la jardinería comercial</v>
      </c>
      <c r="M138" s="1" t="n">
        <f aca="false">VLOOKUP(K138,clasif_filas!$A$1:$J$39,3,FALSE())</f>
        <v>1</v>
      </c>
      <c r="N138" s="1" t="str">
        <f aca="false">VLOOKUP(K138,clasif_filas!$A$1:$J$39,4,FALSE())</f>
        <v>Productos de la agricultura, la horticultura y la jardinería comercial</v>
      </c>
      <c r="O138" s="1" t="n">
        <f aca="false">VLOOKUP(K138,clasif_filas!$A$1:$J$39,5,FALSE())</f>
        <v>1</v>
      </c>
      <c r="P138" s="1" t="str">
        <f aca="false">VLOOKUP(K138,clasif_filas!$A$1:$J$39,6,FALSE())</f>
        <v>Biomasa que se cultiva para producir alimentos, forrajes, fibras y energía</v>
      </c>
      <c r="Q138" s="1" t="n">
        <f aca="false">VLOOKUP(K138,clasif_filas!$A$1:$J$39,7,FALSE())</f>
        <v>0</v>
      </c>
      <c r="R138" s="1" t="str">
        <f aca="false">VLOOKUP(K138,clasif_filas!$A$1:$J$39,8,FALSE())</f>
        <v>Productos de la agricultura, la silvicultura yla pesca</v>
      </c>
      <c r="S138" s="1" t="n">
        <f aca="false">VLOOKUP(K138,clasif_filas!$A$1:$J$39,9,FALSE())</f>
        <v>1</v>
      </c>
      <c r="T138" s="1" t="str">
        <f aca="false">VLOOKUP(K138,clasif_filas!$A$1:$J$39,10,FALSE())</f>
        <v>Bioeconomía</v>
      </c>
      <c r="U138" s="61"/>
    </row>
    <row r="139" customFormat="false" ht="14.25" hidden="false" customHeight="false" outlineLevel="0" collapsed="false">
      <c r="A139" s="24" t="s">
        <v>539</v>
      </c>
      <c r="B139" s="9" t="s">
        <v>2079</v>
      </c>
      <c r="C139" s="9" t="str">
        <f aca="false">VLOOKUP(B139, AT_FILAS!$A$2:$C$8,2,FALSE())</f>
        <v>Consumo intermedio</v>
      </c>
      <c r="D139" s="9" t="str">
        <f aca="false">VLOOKUP(B139, AT_FILAS!$A$2:$C$8,3,FALSE())</f>
        <v>P2</v>
      </c>
      <c r="E139" s="9" t="s">
        <v>1815</v>
      </c>
      <c r="F139" s="9" t="s">
        <v>1816</v>
      </c>
      <c r="G139" s="9" t="s">
        <v>1817</v>
      </c>
      <c r="H139" s="9" t="n">
        <v>1</v>
      </c>
      <c r="I139" s="9" t="s">
        <v>1790</v>
      </c>
      <c r="J139" s="9" t="s">
        <v>1791</v>
      </c>
      <c r="K139" s="1" t="n">
        <v>2</v>
      </c>
      <c r="L139" s="1" t="str">
        <f aca="false">VLOOKUP(K139,clasif_filas!$A$1:$J$39,2,FALSE())</f>
        <v>Animales vivos y productos animales (excepto la carne)</v>
      </c>
      <c r="M139" s="1" t="n">
        <f aca="false">VLOOKUP(K139,clasif_filas!$A$1:$J$39,3,FALSE())</f>
        <v>2</v>
      </c>
      <c r="N139" s="1" t="str">
        <f aca="false">VLOOKUP(K139,clasif_filas!$A$1:$J$39,4,FALSE())</f>
        <v>Animales vivos y productos animales (excepto la carne)</v>
      </c>
      <c r="O139" s="1" t="n">
        <f aca="false">VLOOKUP(K139,clasif_filas!$A$1:$J$39,5,FALSE())</f>
        <v>1</v>
      </c>
      <c r="P139" s="1" t="str">
        <f aca="false">VLOOKUP(K139,clasif_filas!$A$1:$J$39,6,FALSE())</f>
        <v>Biomasa que se cultiva para producir alimentos, forrajes, fibras y energía</v>
      </c>
      <c r="Q139" s="1" t="n">
        <f aca="false">VLOOKUP(K139,clasif_filas!$A$1:$J$39,7,FALSE())</f>
        <v>0</v>
      </c>
      <c r="R139" s="1" t="str">
        <f aca="false">VLOOKUP(K139,clasif_filas!$A$1:$J$39,8,FALSE())</f>
        <v>Productos de la agricultura, la silvicultura yla pesca</v>
      </c>
      <c r="S139" s="1" t="n">
        <f aca="false">VLOOKUP(K139,clasif_filas!$A$1:$J$39,9,FALSE())</f>
        <v>1</v>
      </c>
      <c r="T139" s="1" t="str">
        <f aca="false">VLOOKUP(K139,clasif_filas!$A$1:$J$39,10,FALSE())</f>
        <v>Bioeconomía</v>
      </c>
      <c r="U139" s="61"/>
    </row>
    <row r="140" customFormat="false" ht="14.25" hidden="false" customHeight="false" outlineLevel="0" collapsed="false">
      <c r="A140" s="24" t="s">
        <v>541</v>
      </c>
      <c r="B140" s="9" t="s">
        <v>2079</v>
      </c>
      <c r="C140" s="9" t="str">
        <f aca="false">VLOOKUP(B140, AT_FILAS!$A$2:$C$8,2,FALSE())</f>
        <v>Consumo intermedio</v>
      </c>
      <c r="D140" s="9" t="str">
        <f aca="false">VLOOKUP(B140, AT_FILAS!$A$2:$C$8,3,FALSE())</f>
        <v>P2</v>
      </c>
      <c r="E140" s="9" t="s">
        <v>1818</v>
      </c>
      <c r="F140" s="9" t="s">
        <v>1819</v>
      </c>
      <c r="G140" s="9" t="s">
        <v>1820</v>
      </c>
      <c r="H140" s="9" t="n">
        <v>1</v>
      </c>
      <c r="I140" s="9" t="s">
        <v>1790</v>
      </c>
      <c r="J140" s="9" t="s">
        <v>1791</v>
      </c>
      <c r="K140" s="1" t="n">
        <v>2</v>
      </c>
      <c r="L140" s="1" t="str">
        <f aca="false">VLOOKUP(K140,clasif_filas!$A$1:$J$39,2,FALSE())</f>
        <v>Animales vivos y productos animales (excepto la carne)</v>
      </c>
      <c r="M140" s="1" t="n">
        <f aca="false">VLOOKUP(K140,clasif_filas!$A$1:$J$39,3,FALSE())</f>
        <v>2</v>
      </c>
      <c r="N140" s="1" t="str">
        <f aca="false">VLOOKUP(K140,clasif_filas!$A$1:$J$39,4,FALSE())</f>
        <v>Animales vivos y productos animales (excepto la carne)</v>
      </c>
      <c r="O140" s="1" t="n">
        <f aca="false">VLOOKUP(K140,clasif_filas!$A$1:$J$39,5,FALSE())</f>
        <v>1</v>
      </c>
      <c r="P140" s="1" t="str">
        <f aca="false">VLOOKUP(K140,clasif_filas!$A$1:$J$39,6,FALSE())</f>
        <v>Biomasa que se cultiva para producir alimentos, forrajes, fibras y energía</v>
      </c>
      <c r="Q140" s="1" t="n">
        <f aca="false">VLOOKUP(K140,clasif_filas!$A$1:$J$39,7,FALSE())</f>
        <v>0</v>
      </c>
      <c r="R140" s="1" t="str">
        <f aca="false">VLOOKUP(K140,clasif_filas!$A$1:$J$39,8,FALSE())</f>
        <v>Productos de la agricultura, la silvicultura yla pesca</v>
      </c>
      <c r="S140" s="1" t="n">
        <f aca="false">VLOOKUP(K140,clasif_filas!$A$1:$J$39,9,FALSE())</f>
        <v>1</v>
      </c>
      <c r="T140" s="1" t="str">
        <f aca="false">VLOOKUP(K140,clasif_filas!$A$1:$J$39,10,FALSE())</f>
        <v>Bioeconomía</v>
      </c>
      <c r="U140" s="61"/>
    </row>
    <row r="141" customFormat="false" ht="14.25" hidden="false" customHeight="false" outlineLevel="0" collapsed="false">
      <c r="A141" s="24" t="s">
        <v>543</v>
      </c>
      <c r="B141" s="9" t="s">
        <v>2079</v>
      </c>
      <c r="C141" s="9" t="str">
        <f aca="false">VLOOKUP(B141, AT_FILAS!$A$2:$C$8,2,FALSE())</f>
        <v>Consumo intermedio</v>
      </c>
      <c r="D141" s="9" t="str">
        <f aca="false">VLOOKUP(B141, AT_FILAS!$A$2:$C$8,3,FALSE())</f>
        <v>P2</v>
      </c>
      <c r="E141" s="9" t="s">
        <v>1821</v>
      </c>
      <c r="F141" s="9" t="s">
        <v>1822</v>
      </c>
      <c r="G141" s="9" t="s">
        <v>1817</v>
      </c>
      <c r="H141" s="9" t="n">
        <v>1</v>
      </c>
      <c r="I141" s="9" t="s">
        <v>1790</v>
      </c>
      <c r="J141" s="9" t="s">
        <v>1791</v>
      </c>
      <c r="K141" s="1" t="n">
        <v>2</v>
      </c>
      <c r="L141" s="1" t="str">
        <f aca="false">VLOOKUP(K141,clasif_filas!$A$1:$J$39,2,FALSE())</f>
        <v>Animales vivos y productos animales (excepto la carne)</v>
      </c>
      <c r="M141" s="1" t="n">
        <f aca="false">VLOOKUP(K141,clasif_filas!$A$1:$J$39,3,FALSE())</f>
        <v>2</v>
      </c>
      <c r="N141" s="1" t="str">
        <f aca="false">VLOOKUP(K141,clasif_filas!$A$1:$J$39,4,FALSE())</f>
        <v>Animales vivos y productos animales (excepto la carne)</v>
      </c>
      <c r="O141" s="1" t="n">
        <f aca="false">VLOOKUP(K141,clasif_filas!$A$1:$J$39,5,FALSE())</f>
        <v>1</v>
      </c>
      <c r="P141" s="1" t="str">
        <f aca="false">VLOOKUP(K141,clasif_filas!$A$1:$J$39,6,FALSE())</f>
        <v>Biomasa que se cultiva para producir alimentos, forrajes, fibras y energía</v>
      </c>
      <c r="Q141" s="1" t="n">
        <f aca="false">VLOOKUP(K141,clasif_filas!$A$1:$J$39,7,FALSE())</f>
        <v>0</v>
      </c>
      <c r="R141" s="1" t="str">
        <f aca="false">VLOOKUP(K141,clasif_filas!$A$1:$J$39,8,FALSE())</f>
        <v>Productos de la agricultura, la silvicultura yla pesca</v>
      </c>
      <c r="S141" s="1" t="n">
        <f aca="false">VLOOKUP(K141,clasif_filas!$A$1:$J$39,9,FALSE())</f>
        <v>1</v>
      </c>
      <c r="T141" s="1" t="str">
        <f aca="false">VLOOKUP(K141,clasif_filas!$A$1:$J$39,10,FALSE())</f>
        <v>Bioeconomía</v>
      </c>
      <c r="U141" s="61"/>
    </row>
    <row r="142" customFormat="false" ht="14.25" hidden="false" customHeight="false" outlineLevel="0" collapsed="false">
      <c r="A142" s="24" t="s">
        <v>545</v>
      </c>
      <c r="B142" s="9" t="s">
        <v>2079</v>
      </c>
      <c r="C142" s="9" t="str">
        <f aca="false">VLOOKUP(B142, AT_FILAS!$A$2:$C$8,2,FALSE())</f>
        <v>Consumo intermedio</v>
      </c>
      <c r="D142" s="9" t="str">
        <f aca="false">VLOOKUP(B142, AT_FILAS!$A$2:$C$8,3,FALSE())</f>
        <v>P2</v>
      </c>
      <c r="E142" s="9" t="s">
        <v>1823</v>
      </c>
      <c r="F142" s="9" t="s">
        <v>1824</v>
      </c>
      <c r="G142" s="9" t="s">
        <v>1817</v>
      </c>
      <c r="H142" s="9" t="n">
        <v>1</v>
      </c>
      <c r="I142" s="9" t="s">
        <v>1790</v>
      </c>
      <c r="J142" s="9" t="s">
        <v>1791</v>
      </c>
      <c r="K142" s="1" t="n">
        <v>2</v>
      </c>
      <c r="L142" s="1" t="str">
        <f aca="false">VLOOKUP(K142,clasif_filas!$A$1:$J$39,2,FALSE())</f>
        <v>Animales vivos y productos animales (excepto la carne)</v>
      </c>
      <c r="M142" s="1" t="n">
        <f aca="false">VLOOKUP(K142,clasif_filas!$A$1:$J$39,3,FALSE())</f>
        <v>2</v>
      </c>
      <c r="N142" s="1" t="str">
        <f aca="false">VLOOKUP(K142,clasif_filas!$A$1:$J$39,4,FALSE())</f>
        <v>Animales vivos y productos animales (excepto la carne)</v>
      </c>
      <c r="O142" s="1" t="n">
        <f aca="false">VLOOKUP(K142,clasif_filas!$A$1:$J$39,5,FALSE())</f>
        <v>1</v>
      </c>
      <c r="P142" s="1" t="str">
        <f aca="false">VLOOKUP(K142,clasif_filas!$A$1:$J$39,6,FALSE())</f>
        <v>Biomasa que se cultiva para producir alimentos, forrajes, fibras y energía</v>
      </c>
      <c r="Q142" s="1" t="n">
        <f aca="false">VLOOKUP(K142,clasif_filas!$A$1:$J$39,7,FALSE())</f>
        <v>0</v>
      </c>
      <c r="R142" s="1" t="str">
        <f aca="false">VLOOKUP(K142,clasif_filas!$A$1:$J$39,8,FALSE())</f>
        <v>Productos de la agricultura, la silvicultura yla pesca</v>
      </c>
      <c r="S142" s="1" t="n">
        <f aca="false">VLOOKUP(K142,clasif_filas!$A$1:$J$39,9,FALSE())</f>
        <v>1</v>
      </c>
      <c r="T142" s="1" t="str">
        <f aca="false">VLOOKUP(K142,clasif_filas!$A$1:$J$39,10,FALSE())</f>
        <v>Bioeconomía</v>
      </c>
      <c r="U142" s="61"/>
    </row>
    <row r="143" customFormat="false" ht="14.25" hidden="false" customHeight="false" outlineLevel="0" collapsed="false">
      <c r="A143" s="24" t="s">
        <v>547</v>
      </c>
      <c r="B143" s="9" t="s">
        <v>2079</v>
      </c>
      <c r="C143" s="9" t="str">
        <f aca="false">VLOOKUP(B143, AT_FILAS!$A$2:$C$8,2,FALSE())</f>
        <v>Consumo intermedio</v>
      </c>
      <c r="D143" s="9" t="str">
        <f aca="false">VLOOKUP(B143, AT_FILAS!$A$2:$C$8,3,FALSE())</f>
        <v>P2</v>
      </c>
      <c r="E143" s="9" t="s">
        <v>1825</v>
      </c>
      <c r="F143" s="9" t="s">
        <v>1826</v>
      </c>
      <c r="G143" s="9" t="s">
        <v>1827</v>
      </c>
      <c r="H143" s="9" t="n">
        <v>1</v>
      </c>
      <c r="I143" s="9" t="s">
        <v>1790</v>
      </c>
      <c r="J143" s="9" t="s">
        <v>1827</v>
      </c>
      <c r="K143" s="1" t="n">
        <v>3</v>
      </c>
      <c r="L143" s="1" t="str">
        <f aca="false">VLOOKUP(K143,clasif_filas!$A$1:$J$39,2,FALSE())</f>
        <v>Productos forestales y de la tala</v>
      </c>
      <c r="M143" s="1" t="n">
        <f aca="false">VLOOKUP(K143,clasif_filas!$A$1:$J$39,3,FALSE())</f>
        <v>3</v>
      </c>
      <c r="N143" s="1" t="str">
        <f aca="false">VLOOKUP(K143,clasif_filas!$A$1:$J$39,4,FALSE())</f>
        <v>Productos forestales y de la tala</v>
      </c>
      <c r="O143" s="1" t="n">
        <f aca="false">VLOOKUP(K143,clasif_filas!$A$1:$J$39,5,FALSE())</f>
        <v>3</v>
      </c>
      <c r="P143" s="1" t="str">
        <f aca="false">VLOOKUP(K143,clasif_filas!$A$1:$J$39,6,FALSE())</f>
        <v>Biomasa forestal, sobre todo la que se cultiva para su aprovechamiento en las industrias forestal y del papel, y aquella extraída legalmente de ecosistemas naturales</v>
      </c>
      <c r="Q143" s="1" t="n">
        <f aca="false">VLOOKUP(K143,clasif_filas!$A$1:$J$39,7,FALSE())</f>
        <v>0</v>
      </c>
      <c r="R143" s="1" t="str">
        <f aca="false">VLOOKUP(K143,clasif_filas!$A$1:$J$39,8,FALSE())</f>
        <v>Productos de la agricultura, la silvicultura yla pesca</v>
      </c>
      <c r="S143" s="1" t="n">
        <f aca="false">VLOOKUP(K143,clasif_filas!$A$1:$J$39,9,FALSE())</f>
        <v>1</v>
      </c>
      <c r="T143" s="1" t="str">
        <f aca="false">VLOOKUP(K143,clasif_filas!$A$1:$J$39,10,FALSE())</f>
        <v>Bioeconomía</v>
      </c>
      <c r="U143" s="61"/>
    </row>
    <row r="144" customFormat="false" ht="14.25" hidden="false" customHeight="false" outlineLevel="0" collapsed="false">
      <c r="A144" s="24" t="s">
        <v>549</v>
      </c>
      <c r="B144" s="9" t="s">
        <v>2079</v>
      </c>
      <c r="C144" s="9" t="str">
        <f aca="false">VLOOKUP(B144, AT_FILAS!$A$2:$C$8,2,FALSE())</f>
        <v>Consumo intermedio</v>
      </c>
      <c r="D144" s="9" t="str">
        <f aca="false">VLOOKUP(B144, AT_FILAS!$A$2:$C$8,3,FALSE())</f>
        <v>P2</v>
      </c>
      <c r="E144" s="9" t="s">
        <v>1828</v>
      </c>
      <c r="F144" s="9" t="s">
        <v>1829</v>
      </c>
      <c r="G144" s="9" t="s">
        <v>1830</v>
      </c>
      <c r="H144" s="9" t="n">
        <v>1</v>
      </c>
      <c r="I144" s="9" t="s">
        <v>1790</v>
      </c>
      <c r="J144" s="9" t="s">
        <v>1791</v>
      </c>
      <c r="K144" s="1" t="n">
        <v>4</v>
      </c>
      <c r="L144" s="1" t="str">
        <f aca="false">VLOOKUP(K144,clasif_filas!$A$1:$J$39,2,FALSE())</f>
        <v>Pescado y otros productos de la pesca</v>
      </c>
      <c r="M144" s="1" t="n">
        <f aca="false">VLOOKUP(K144,clasif_filas!$A$1:$J$39,3,FALSE())</f>
        <v>4</v>
      </c>
      <c r="N144" s="1" t="str">
        <f aca="false">VLOOKUP(K144,clasif_filas!$A$1:$J$39,4,FALSE())</f>
        <v>Pescado y otros productos de la pesca</v>
      </c>
      <c r="O144" s="1" t="n">
        <f aca="false">VLOOKUP(K144,clasif_filas!$A$1:$J$39,5,FALSE())</f>
        <v>2</v>
      </c>
      <c r="P144" s="1" t="str">
        <f aca="false">VLOOKUP(K144,clasif_filas!$A$1:$J$39,6,FALSE())</f>
        <v>Biomasa de los recursos marinos y la producida mediante la acuicultura</v>
      </c>
      <c r="Q144" s="1" t="n">
        <f aca="false">VLOOKUP(K144,clasif_filas!$A$1:$J$39,7,FALSE())</f>
        <v>0</v>
      </c>
      <c r="R144" s="1" t="str">
        <f aca="false">VLOOKUP(K144,clasif_filas!$A$1:$J$39,8,FALSE())</f>
        <v>Productos de la agricultura, la silvicultura yla pesca</v>
      </c>
      <c r="S144" s="1" t="n">
        <f aca="false">VLOOKUP(K144,clasif_filas!$A$1:$J$39,9,FALSE())</f>
        <v>1</v>
      </c>
      <c r="T144" s="1" t="str">
        <f aca="false">VLOOKUP(K144,clasif_filas!$A$1:$J$39,10,FALSE())</f>
        <v>Bioeconomía</v>
      </c>
      <c r="U144" s="61"/>
    </row>
    <row r="145" customFormat="false" ht="14.25" hidden="false" customHeight="false" outlineLevel="0" collapsed="false">
      <c r="A145" s="24" t="s">
        <v>551</v>
      </c>
      <c r="B145" s="9" t="s">
        <v>2079</v>
      </c>
      <c r="C145" s="9" t="str">
        <f aca="false">VLOOKUP(B145, AT_FILAS!$A$2:$C$8,2,FALSE())</f>
        <v>Consumo intermedio</v>
      </c>
      <c r="D145" s="9" t="str">
        <f aca="false">VLOOKUP(B145, AT_FILAS!$A$2:$C$8,3,FALSE())</f>
        <v>P2</v>
      </c>
      <c r="E145" s="9" t="s">
        <v>1831</v>
      </c>
      <c r="F145" s="9" t="s">
        <v>1832</v>
      </c>
      <c r="G145" s="9" t="s">
        <v>1750</v>
      </c>
      <c r="H145" s="9" t="n">
        <v>4</v>
      </c>
      <c r="I145" s="9" t="s">
        <v>1750</v>
      </c>
      <c r="J145" s="9" t="s">
        <v>1750</v>
      </c>
      <c r="K145" s="1" t="n">
        <v>11</v>
      </c>
      <c r="L145" s="1" t="str">
        <f aca="false">VLOOKUP(K145,clasif_filas!$A$1:$J$39,2,FALSE())</f>
        <v>Minerales, combustibles y derivados</v>
      </c>
      <c r="M145" s="1" t="n">
        <f aca="false">VLOOKUP(K145,clasif_filas!$A$1:$J$39,3,FALSE())</f>
        <v>11</v>
      </c>
      <c r="N145" s="1" t="str">
        <f aca="false">VLOOKUP(K145,clasif_filas!$A$1:$J$39,4,FALSE())</f>
        <v>Minerales, combustibles y derivados</v>
      </c>
      <c r="O145" s="1" t="n">
        <f aca="false">VLOOKUP(K145,clasif_filas!$A$1:$J$39,5,FALSE())</f>
        <v>99</v>
      </c>
      <c r="P145" s="1" t="str">
        <f aca="false">VLOOKUP(K145,clasif_filas!$A$1:$J$39,6,FALSE())</f>
        <v>No Bioeconomía</v>
      </c>
      <c r="Q145" s="1" t="n">
        <f aca="false">VLOOKUP(K145,clasif_filas!$A$1:$J$39,7,FALSE())</f>
        <v>1</v>
      </c>
      <c r="R145" s="1" t="str">
        <f aca="false">VLOOKUP(K145,clasif_filas!$A$1:$J$39,8,FALSE())</f>
        <v>Minerales; electricidad, gas y agua</v>
      </c>
      <c r="S145" s="1" t="n">
        <f aca="false">VLOOKUP(K145,clasif_filas!$A$1:$J$39,9,FALSE())</f>
        <v>3</v>
      </c>
      <c r="T145" s="1" t="str">
        <f aca="false">VLOOKUP(K145,clasif_filas!$A$1:$J$39,10,FALSE())</f>
        <v>No bioeconomía</v>
      </c>
      <c r="U145" s="61"/>
    </row>
    <row r="146" customFormat="false" ht="14.25" hidden="false" customHeight="false" outlineLevel="0" collapsed="false">
      <c r="A146" s="24" t="s">
        <v>553</v>
      </c>
      <c r="B146" s="9" t="s">
        <v>2079</v>
      </c>
      <c r="C146" s="9" t="str">
        <f aca="false">VLOOKUP(B146, AT_FILAS!$A$2:$C$8,2,FALSE())</f>
        <v>Consumo intermedio</v>
      </c>
      <c r="D146" s="9" t="str">
        <f aca="false">VLOOKUP(B146, AT_FILAS!$A$2:$C$8,3,FALSE())</f>
        <v>P2</v>
      </c>
      <c r="E146" s="9" t="s">
        <v>1833</v>
      </c>
      <c r="F146" s="9" t="s">
        <v>1834</v>
      </c>
      <c r="G146" s="9" t="s">
        <v>1750</v>
      </c>
      <c r="H146" s="9" t="n">
        <v>4</v>
      </c>
      <c r="I146" s="9" t="s">
        <v>1750</v>
      </c>
      <c r="J146" s="9" t="s">
        <v>1750</v>
      </c>
      <c r="K146" s="1" t="n">
        <v>11</v>
      </c>
      <c r="L146" s="1" t="str">
        <f aca="false">VLOOKUP(K146,clasif_filas!$A$1:$J$39,2,FALSE())</f>
        <v>Minerales, combustibles y derivados</v>
      </c>
      <c r="M146" s="1" t="n">
        <f aca="false">VLOOKUP(K146,clasif_filas!$A$1:$J$39,3,FALSE())</f>
        <v>11</v>
      </c>
      <c r="N146" s="1" t="str">
        <f aca="false">VLOOKUP(K146,clasif_filas!$A$1:$J$39,4,FALSE())</f>
        <v>Minerales, combustibles y derivados</v>
      </c>
      <c r="O146" s="1" t="n">
        <f aca="false">VLOOKUP(K146,clasif_filas!$A$1:$J$39,5,FALSE())</f>
        <v>99</v>
      </c>
      <c r="P146" s="1" t="str">
        <f aca="false">VLOOKUP(K146,clasif_filas!$A$1:$J$39,6,FALSE())</f>
        <v>No Bioeconomía</v>
      </c>
      <c r="Q146" s="1" t="n">
        <f aca="false">VLOOKUP(K146,clasif_filas!$A$1:$J$39,7,FALSE())</f>
        <v>1</v>
      </c>
      <c r="R146" s="1" t="str">
        <f aca="false">VLOOKUP(K146,clasif_filas!$A$1:$J$39,8,FALSE())</f>
        <v>Minerales; electricidad, gas y agua</v>
      </c>
      <c r="S146" s="1" t="n">
        <f aca="false">VLOOKUP(K146,clasif_filas!$A$1:$J$39,9,FALSE())</f>
        <v>3</v>
      </c>
      <c r="T146" s="1" t="str">
        <f aca="false">VLOOKUP(K146,clasif_filas!$A$1:$J$39,10,FALSE())</f>
        <v>No bioeconomía</v>
      </c>
      <c r="U146" s="61"/>
    </row>
    <row r="147" customFormat="false" ht="14.25" hidden="false" customHeight="false" outlineLevel="0" collapsed="false">
      <c r="A147" s="24" t="s">
        <v>555</v>
      </c>
      <c r="B147" s="9" t="s">
        <v>2079</v>
      </c>
      <c r="C147" s="9" t="str">
        <f aca="false">VLOOKUP(B147, AT_FILAS!$A$2:$C$8,2,FALSE())</f>
        <v>Consumo intermedio</v>
      </c>
      <c r="D147" s="9" t="str">
        <f aca="false">VLOOKUP(B147, AT_FILAS!$A$2:$C$8,3,FALSE())</f>
        <v>P2</v>
      </c>
      <c r="E147" s="9" t="s">
        <v>1835</v>
      </c>
      <c r="F147" s="9" t="s">
        <v>1836</v>
      </c>
      <c r="G147" s="9" t="s">
        <v>1750</v>
      </c>
      <c r="H147" s="9" t="n">
        <v>4</v>
      </c>
      <c r="I147" s="9" t="s">
        <v>1750</v>
      </c>
      <c r="J147" s="9" t="s">
        <v>1750</v>
      </c>
      <c r="K147" s="1" t="n">
        <v>11</v>
      </c>
      <c r="L147" s="1" t="str">
        <f aca="false">VLOOKUP(K147,clasif_filas!$A$1:$J$39,2,FALSE())</f>
        <v>Minerales, combustibles y derivados</v>
      </c>
      <c r="M147" s="1" t="n">
        <f aca="false">VLOOKUP(K147,clasif_filas!$A$1:$J$39,3,FALSE())</f>
        <v>11</v>
      </c>
      <c r="N147" s="1" t="str">
        <f aca="false">VLOOKUP(K147,clasif_filas!$A$1:$J$39,4,FALSE())</f>
        <v>Minerales, combustibles y derivados</v>
      </c>
      <c r="O147" s="1" t="n">
        <f aca="false">VLOOKUP(K147,clasif_filas!$A$1:$J$39,5,FALSE())</f>
        <v>99</v>
      </c>
      <c r="P147" s="1" t="str">
        <f aca="false">VLOOKUP(K147,clasif_filas!$A$1:$J$39,6,FALSE())</f>
        <v>No Bioeconomía</v>
      </c>
      <c r="Q147" s="1" t="n">
        <f aca="false">VLOOKUP(K147,clasif_filas!$A$1:$J$39,7,FALSE())</f>
        <v>1</v>
      </c>
      <c r="R147" s="1" t="str">
        <f aca="false">VLOOKUP(K147,clasif_filas!$A$1:$J$39,8,FALSE())</f>
        <v>Minerales; electricidad, gas y agua</v>
      </c>
      <c r="S147" s="1" t="n">
        <f aca="false">VLOOKUP(K147,clasif_filas!$A$1:$J$39,9,FALSE())</f>
        <v>3</v>
      </c>
      <c r="T147" s="1" t="str">
        <f aca="false">VLOOKUP(K147,clasif_filas!$A$1:$J$39,10,FALSE())</f>
        <v>No bioeconomía</v>
      </c>
      <c r="U147" s="61"/>
    </row>
    <row r="148" customFormat="false" ht="14.25" hidden="false" customHeight="false" outlineLevel="0" collapsed="false">
      <c r="A148" s="24" t="s">
        <v>557</v>
      </c>
      <c r="B148" s="9" t="s">
        <v>2079</v>
      </c>
      <c r="C148" s="9" t="str">
        <f aca="false">VLOOKUP(B148, AT_FILAS!$A$2:$C$8,2,FALSE())</f>
        <v>Consumo intermedio</v>
      </c>
      <c r="D148" s="9" t="str">
        <f aca="false">VLOOKUP(B148, AT_FILAS!$A$2:$C$8,3,FALSE())</f>
        <v>P2</v>
      </c>
      <c r="E148" s="9" t="s">
        <v>1837</v>
      </c>
      <c r="F148" s="9" t="s">
        <v>1838</v>
      </c>
      <c r="G148" s="9" t="s">
        <v>1750</v>
      </c>
      <c r="H148" s="9" t="n">
        <v>4</v>
      </c>
      <c r="I148" s="9" t="s">
        <v>1750</v>
      </c>
      <c r="J148" s="9" t="s">
        <v>1750</v>
      </c>
      <c r="K148" s="1" t="n">
        <v>11</v>
      </c>
      <c r="L148" s="1" t="str">
        <f aca="false">VLOOKUP(K148,clasif_filas!$A$1:$J$39,2,FALSE())</f>
        <v>Minerales, combustibles y derivados</v>
      </c>
      <c r="M148" s="1" t="n">
        <f aca="false">VLOOKUP(K148,clasif_filas!$A$1:$J$39,3,FALSE())</f>
        <v>11</v>
      </c>
      <c r="N148" s="1" t="str">
        <f aca="false">VLOOKUP(K148,clasif_filas!$A$1:$J$39,4,FALSE())</f>
        <v>Minerales, combustibles y derivados</v>
      </c>
      <c r="O148" s="1" t="n">
        <f aca="false">VLOOKUP(K148,clasif_filas!$A$1:$J$39,5,FALSE())</f>
        <v>99</v>
      </c>
      <c r="P148" s="1" t="str">
        <f aca="false">VLOOKUP(K148,clasif_filas!$A$1:$J$39,6,FALSE())</f>
        <v>No Bioeconomía</v>
      </c>
      <c r="Q148" s="1" t="n">
        <f aca="false">VLOOKUP(K148,clasif_filas!$A$1:$J$39,7,FALSE())</f>
        <v>1</v>
      </c>
      <c r="R148" s="1" t="str">
        <f aca="false">VLOOKUP(K148,clasif_filas!$A$1:$J$39,8,FALSE())</f>
        <v>Minerales; electricidad, gas y agua</v>
      </c>
      <c r="S148" s="1" t="n">
        <f aca="false">VLOOKUP(K148,clasif_filas!$A$1:$J$39,9,FALSE())</f>
        <v>3</v>
      </c>
      <c r="T148" s="1" t="str">
        <f aca="false">VLOOKUP(K148,clasif_filas!$A$1:$J$39,10,FALSE())</f>
        <v>No bioeconomía</v>
      </c>
      <c r="U148" s="61"/>
    </row>
    <row r="149" customFormat="false" ht="14.25" hidden="false" customHeight="false" outlineLevel="0" collapsed="false">
      <c r="A149" s="24" t="s">
        <v>559</v>
      </c>
      <c r="B149" s="9" t="s">
        <v>2079</v>
      </c>
      <c r="C149" s="9" t="str">
        <f aca="false">VLOOKUP(B149, AT_FILAS!$A$2:$C$8,2,FALSE())</f>
        <v>Consumo intermedio</v>
      </c>
      <c r="D149" s="9" t="str">
        <f aca="false">VLOOKUP(B149, AT_FILAS!$A$2:$C$8,3,FALSE())</f>
        <v>P2</v>
      </c>
      <c r="E149" s="9" t="s">
        <v>1839</v>
      </c>
      <c r="F149" s="9" t="s">
        <v>1840</v>
      </c>
      <c r="G149" s="9" t="s">
        <v>1750</v>
      </c>
      <c r="H149" s="9" t="n">
        <v>4</v>
      </c>
      <c r="I149" s="9" t="s">
        <v>1750</v>
      </c>
      <c r="J149" s="9" t="s">
        <v>1750</v>
      </c>
      <c r="K149" s="1" t="n">
        <v>11</v>
      </c>
      <c r="L149" s="1" t="str">
        <f aca="false">VLOOKUP(K149,clasif_filas!$A$1:$J$39,2,FALSE())</f>
        <v>Minerales, combustibles y derivados</v>
      </c>
      <c r="M149" s="1" t="n">
        <f aca="false">VLOOKUP(K149,clasif_filas!$A$1:$J$39,3,FALSE())</f>
        <v>11</v>
      </c>
      <c r="N149" s="1" t="str">
        <f aca="false">VLOOKUP(K149,clasif_filas!$A$1:$J$39,4,FALSE())</f>
        <v>Minerales, combustibles y derivados</v>
      </c>
      <c r="O149" s="1" t="n">
        <f aca="false">VLOOKUP(K149,clasif_filas!$A$1:$J$39,5,FALSE())</f>
        <v>99</v>
      </c>
      <c r="P149" s="1" t="str">
        <f aca="false">VLOOKUP(K149,clasif_filas!$A$1:$J$39,6,FALSE())</f>
        <v>No Bioeconomía</v>
      </c>
      <c r="Q149" s="1" t="n">
        <f aca="false">VLOOKUP(K149,clasif_filas!$A$1:$J$39,7,FALSE())</f>
        <v>1</v>
      </c>
      <c r="R149" s="1" t="str">
        <f aca="false">VLOOKUP(K149,clasif_filas!$A$1:$J$39,8,FALSE())</f>
        <v>Minerales; electricidad, gas y agua</v>
      </c>
      <c r="S149" s="1" t="n">
        <f aca="false">VLOOKUP(K149,clasif_filas!$A$1:$J$39,9,FALSE())</f>
        <v>3</v>
      </c>
      <c r="T149" s="1" t="str">
        <f aca="false">VLOOKUP(K149,clasif_filas!$A$1:$J$39,10,FALSE())</f>
        <v>No bioeconomía</v>
      </c>
      <c r="U149" s="61"/>
    </row>
    <row r="150" customFormat="false" ht="14.25" hidden="false" customHeight="false" outlineLevel="0" collapsed="false">
      <c r="A150" s="24" t="s">
        <v>561</v>
      </c>
      <c r="B150" s="9" t="s">
        <v>2079</v>
      </c>
      <c r="C150" s="9" t="str">
        <f aca="false">VLOOKUP(B150, AT_FILAS!$A$2:$C$8,2,FALSE())</f>
        <v>Consumo intermedio</v>
      </c>
      <c r="D150" s="9" t="str">
        <f aca="false">VLOOKUP(B150, AT_FILAS!$A$2:$C$8,3,FALSE())</f>
        <v>P2</v>
      </c>
      <c r="E150" s="9" t="s">
        <v>1841</v>
      </c>
      <c r="F150" s="9" t="s">
        <v>1842</v>
      </c>
      <c r="G150" s="9" t="s">
        <v>1843</v>
      </c>
      <c r="H150" s="9" t="n">
        <v>2</v>
      </c>
      <c r="I150" s="9" t="s">
        <v>1844</v>
      </c>
      <c r="J150" s="9" t="s">
        <v>1814</v>
      </c>
      <c r="K150" s="1" t="n">
        <v>21</v>
      </c>
      <c r="L150" s="1" t="str">
        <f aca="false">VLOOKUP(K150,clasif_filas!$A$1:$J$39,2,FALSE())</f>
        <v>Carne, pescado, frutas, vegetales, aceites y grasas</v>
      </c>
      <c r="M150" s="1" t="n">
        <f aca="false">VLOOKUP(K150,clasif_filas!$A$1:$J$39,3,FALSE())</f>
        <v>21</v>
      </c>
      <c r="N150" s="1" t="str">
        <f aca="false">VLOOKUP(K150,clasif_filas!$A$1:$J$39,4,FALSE())</f>
        <v>Carne, pescado, frutas, vegetales, aceites y grasas</v>
      </c>
      <c r="O150" s="1" t="n">
        <f aca="false">VLOOKUP(K150,clasif_filas!$A$1:$J$39,5,FALSE())</f>
        <v>6</v>
      </c>
      <c r="P150" s="1" t="str">
        <f aca="false">VLOOKUP(K150,clasif_filas!$A$1:$J$39,6,FALSE())</f>
        <v>Conocimiento, procesos y servicios relacionados</v>
      </c>
      <c r="Q150" s="1" t="n">
        <f aca="false">VLOOKUP(K150,clasif_filas!$A$1:$J$39,7,FALSE())</f>
        <v>2</v>
      </c>
      <c r="R150" s="1" t="str">
        <f aca="false">VLOOKUP(K150,clasif_filas!$A$1:$J$39,8,FALSE())</f>
        <v>Productos alimenticios, bebidas y tabaco; textiles, prendas de vestir y productos de cuero</v>
      </c>
      <c r="S150" s="1" t="n">
        <f aca="false">VLOOKUP(K150,clasif_filas!$A$1:$J$39,9,FALSE())</f>
        <v>1</v>
      </c>
      <c r="T150" s="1" t="str">
        <f aca="false">VLOOKUP(K150,clasif_filas!$A$1:$J$39,10,FALSE())</f>
        <v>Bioeconomía</v>
      </c>
      <c r="U150" s="61"/>
    </row>
    <row r="151" customFormat="false" ht="14.25" hidden="false" customHeight="false" outlineLevel="0" collapsed="false">
      <c r="A151" s="24" t="s">
        <v>563</v>
      </c>
      <c r="B151" s="9" t="s">
        <v>2079</v>
      </c>
      <c r="C151" s="9" t="str">
        <f aca="false">VLOOKUP(B151, AT_FILAS!$A$2:$C$8,2,FALSE())</f>
        <v>Consumo intermedio</v>
      </c>
      <c r="D151" s="9" t="str">
        <f aca="false">VLOOKUP(B151, AT_FILAS!$A$2:$C$8,3,FALSE())</f>
        <v>P2</v>
      </c>
      <c r="E151" s="9" t="s">
        <v>1845</v>
      </c>
      <c r="F151" s="9" t="s">
        <v>1846</v>
      </c>
      <c r="G151" s="9" t="s">
        <v>1843</v>
      </c>
      <c r="H151" s="9" t="n">
        <v>2</v>
      </c>
      <c r="I151" s="9" t="s">
        <v>1844</v>
      </c>
      <c r="J151" s="9" t="s">
        <v>1814</v>
      </c>
      <c r="K151" s="1" t="n">
        <v>21</v>
      </c>
      <c r="L151" s="1" t="str">
        <f aca="false">VLOOKUP(K151,clasif_filas!$A$1:$J$39,2,FALSE())</f>
        <v>Carne, pescado, frutas, vegetales, aceites y grasas</v>
      </c>
      <c r="M151" s="1" t="n">
        <f aca="false">VLOOKUP(K151,clasif_filas!$A$1:$J$39,3,FALSE())</f>
        <v>21</v>
      </c>
      <c r="N151" s="1" t="str">
        <f aca="false">VLOOKUP(K151,clasif_filas!$A$1:$J$39,4,FALSE())</f>
        <v>Carne, pescado, frutas, vegetales, aceites y grasas</v>
      </c>
      <c r="O151" s="1" t="n">
        <f aca="false">VLOOKUP(K151,clasif_filas!$A$1:$J$39,5,FALSE())</f>
        <v>6</v>
      </c>
      <c r="P151" s="1" t="str">
        <f aca="false">VLOOKUP(K151,clasif_filas!$A$1:$J$39,6,FALSE())</f>
        <v>Conocimiento, procesos y servicios relacionados</v>
      </c>
      <c r="Q151" s="1" t="n">
        <f aca="false">VLOOKUP(K151,clasif_filas!$A$1:$J$39,7,FALSE())</f>
        <v>2</v>
      </c>
      <c r="R151" s="1" t="str">
        <f aca="false">VLOOKUP(K151,clasif_filas!$A$1:$J$39,8,FALSE())</f>
        <v>Productos alimenticios, bebidas y tabaco; textiles, prendas de vestir y productos de cuero</v>
      </c>
      <c r="S151" s="1" t="n">
        <f aca="false">VLOOKUP(K151,clasif_filas!$A$1:$J$39,9,FALSE())</f>
        <v>1</v>
      </c>
      <c r="T151" s="1" t="str">
        <f aca="false">VLOOKUP(K151,clasif_filas!$A$1:$J$39,10,FALSE())</f>
        <v>Bioeconomía</v>
      </c>
      <c r="U151" s="61"/>
    </row>
    <row r="152" customFormat="false" ht="14.25" hidden="false" customHeight="false" outlineLevel="0" collapsed="false">
      <c r="A152" s="24" t="s">
        <v>565</v>
      </c>
      <c r="B152" s="9" t="s">
        <v>2079</v>
      </c>
      <c r="C152" s="9" t="str">
        <f aca="false">VLOOKUP(B152, AT_FILAS!$A$2:$C$8,2,FALSE())</f>
        <v>Consumo intermedio</v>
      </c>
      <c r="D152" s="9" t="str">
        <f aca="false">VLOOKUP(B152, AT_FILAS!$A$2:$C$8,3,FALSE())</f>
        <v>P2</v>
      </c>
      <c r="E152" s="9" t="s">
        <v>1847</v>
      </c>
      <c r="F152" s="9" t="s">
        <v>1848</v>
      </c>
      <c r="G152" s="9" t="s">
        <v>1843</v>
      </c>
      <c r="H152" s="9" t="n">
        <v>2</v>
      </c>
      <c r="I152" s="9" t="s">
        <v>1844</v>
      </c>
      <c r="J152" s="9" t="s">
        <v>1814</v>
      </c>
      <c r="K152" s="1" t="n">
        <v>21</v>
      </c>
      <c r="L152" s="1" t="str">
        <f aca="false">VLOOKUP(K152,clasif_filas!$A$1:$J$39,2,FALSE())</f>
        <v>Carne, pescado, frutas, vegetales, aceites y grasas</v>
      </c>
      <c r="M152" s="1" t="n">
        <f aca="false">VLOOKUP(K152,clasif_filas!$A$1:$J$39,3,FALSE())</f>
        <v>21</v>
      </c>
      <c r="N152" s="1" t="str">
        <f aca="false">VLOOKUP(K152,clasif_filas!$A$1:$J$39,4,FALSE())</f>
        <v>Carne, pescado, frutas, vegetales, aceites y grasas</v>
      </c>
      <c r="O152" s="1" t="n">
        <f aca="false">VLOOKUP(K152,clasif_filas!$A$1:$J$39,5,FALSE())</f>
        <v>6</v>
      </c>
      <c r="P152" s="1" t="str">
        <f aca="false">VLOOKUP(K152,clasif_filas!$A$1:$J$39,6,FALSE())</f>
        <v>Conocimiento, procesos y servicios relacionados</v>
      </c>
      <c r="Q152" s="1" t="n">
        <f aca="false">VLOOKUP(K152,clasif_filas!$A$1:$J$39,7,FALSE())</f>
        <v>2</v>
      </c>
      <c r="R152" s="1" t="str">
        <f aca="false">VLOOKUP(K152,clasif_filas!$A$1:$J$39,8,FALSE())</f>
        <v>Productos alimenticios, bebidas y tabaco; textiles, prendas de vestir y productos de cuero</v>
      </c>
      <c r="S152" s="1" t="n">
        <f aca="false">VLOOKUP(K152,clasif_filas!$A$1:$J$39,9,FALSE())</f>
        <v>1</v>
      </c>
      <c r="T152" s="1" t="str">
        <f aca="false">VLOOKUP(K152,clasif_filas!$A$1:$J$39,10,FALSE())</f>
        <v>Bioeconomía</v>
      </c>
      <c r="U152" s="61"/>
    </row>
    <row r="153" customFormat="false" ht="14.25" hidden="false" customHeight="false" outlineLevel="0" collapsed="false">
      <c r="A153" s="24" t="s">
        <v>567</v>
      </c>
      <c r="B153" s="9" t="s">
        <v>2079</v>
      </c>
      <c r="C153" s="9" t="str">
        <f aca="false">VLOOKUP(B153, AT_FILAS!$A$2:$C$8,2,FALSE())</f>
        <v>Consumo intermedio</v>
      </c>
      <c r="D153" s="9" t="str">
        <f aca="false">VLOOKUP(B153, AT_FILAS!$A$2:$C$8,3,FALSE())</f>
        <v>P2</v>
      </c>
      <c r="E153" s="9" t="s">
        <v>1849</v>
      </c>
      <c r="F153" s="9" t="s">
        <v>1850</v>
      </c>
      <c r="G153" s="9" t="s">
        <v>1843</v>
      </c>
      <c r="H153" s="9" t="n">
        <v>2</v>
      </c>
      <c r="I153" s="9" t="s">
        <v>1844</v>
      </c>
      <c r="J153" s="9" t="s">
        <v>1814</v>
      </c>
      <c r="K153" s="1" t="n">
        <v>21</v>
      </c>
      <c r="L153" s="1" t="str">
        <f aca="false">VLOOKUP(K153,clasif_filas!$A$1:$J$39,2,FALSE())</f>
        <v>Carne, pescado, frutas, vegetales, aceites y grasas</v>
      </c>
      <c r="M153" s="1" t="n">
        <f aca="false">VLOOKUP(K153,clasif_filas!$A$1:$J$39,3,FALSE())</f>
        <v>21</v>
      </c>
      <c r="N153" s="1" t="str">
        <f aca="false">VLOOKUP(K153,clasif_filas!$A$1:$J$39,4,FALSE())</f>
        <v>Carne, pescado, frutas, vegetales, aceites y grasas</v>
      </c>
      <c r="O153" s="1" t="n">
        <f aca="false">VLOOKUP(K153,clasif_filas!$A$1:$J$39,5,FALSE())</f>
        <v>6</v>
      </c>
      <c r="P153" s="1" t="str">
        <f aca="false">VLOOKUP(K153,clasif_filas!$A$1:$J$39,6,FALSE())</f>
        <v>Conocimiento, procesos y servicios relacionados</v>
      </c>
      <c r="Q153" s="1" t="n">
        <f aca="false">VLOOKUP(K153,clasif_filas!$A$1:$J$39,7,FALSE())</f>
        <v>2</v>
      </c>
      <c r="R153" s="1" t="str">
        <f aca="false">VLOOKUP(K153,clasif_filas!$A$1:$J$39,8,FALSE())</f>
        <v>Productos alimenticios, bebidas y tabaco; textiles, prendas de vestir y productos de cuero</v>
      </c>
      <c r="S153" s="1" t="n">
        <f aca="false">VLOOKUP(K153,clasif_filas!$A$1:$J$39,9,FALSE())</f>
        <v>1</v>
      </c>
      <c r="T153" s="1" t="str">
        <f aca="false">VLOOKUP(K153,clasif_filas!$A$1:$J$39,10,FALSE())</f>
        <v>Bioeconomía</v>
      </c>
      <c r="U153" s="61"/>
    </row>
    <row r="154" customFormat="false" ht="14.25" hidden="false" customHeight="false" outlineLevel="0" collapsed="false">
      <c r="A154" s="24" t="s">
        <v>569</v>
      </c>
      <c r="B154" s="9" t="s">
        <v>2079</v>
      </c>
      <c r="C154" s="9" t="str">
        <f aca="false">VLOOKUP(B154, AT_FILAS!$A$2:$C$8,2,FALSE())</f>
        <v>Consumo intermedio</v>
      </c>
      <c r="D154" s="9" t="str">
        <f aca="false">VLOOKUP(B154, AT_FILAS!$A$2:$C$8,3,FALSE())</f>
        <v>P2</v>
      </c>
      <c r="E154" s="9" t="s">
        <v>1851</v>
      </c>
      <c r="F154" s="9" t="s">
        <v>1852</v>
      </c>
      <c r="G154" s="9" t="s">
        <v>1853</v>
      </c>
      <c r="H154" s="9" t="n">
        <v>2</v>
      </c>
      <c r="I154" s="9" t="s">
        <v>1844</v>
      </c>
      <c r="J154" s="9" t="s">
        <v>1814</v>
      </c>
      <c r="K154" s="1" t="n">
        <v>22</v>
      </c>
      <c r="L154" s="1" t="str">
        <f aca="false">VLOOKUP(K154,clasif_filas!$A$1:$J$39,2,FALSE())</f>
        <v>Productos lácteos y productos de huevo</v>
      </c>
      <c r="M154" s="1" t="n">
        <f aca="false">VLOOKUP(K154,clasif_filas!$A$1:$J$39,3,FALSE())</f>
        <v>22</v>
      </c>
      <c r="N154" s="1" t="str">
        <f aca="false">VLOOKUP(K154,clasif_filas!$A$1:$J$39,4,FALSE())</f>
        <v>Productos lácteos y productos de huevo</v>
      </c>
      <c r="O154" s="1" t="n">
        <f aca="false">VLOOKUP(K154,clasif_filas!$A$1:$J$39,5,FALSE())</f>
        <v>6</v>
      </c>
      <c r="P154" s="1" t="str">
        <f aca="false">VLOOKUP(K154,clasif_filas!$A$1:$J$39,6,FALSE())</f>
        <v>Conocimiento, procesos y servicios relacionados</v>
      </c>
      <c r="Q154" s="1" t="n">
        <f aca="false">VLOOKUP(K154,clasif_filas!$A$1:$J$39,7,FALSE())</f>
        <v>2</v>
      </c>
      <c r="R154" s="1" t="str">
        <f aca="false">VLOOKUP(K154,clasif_filas!$A$1:$J$39,8,FALSE())</f>
        <v>Productos alimenticios, bebidas y tabaco; textiles, prendas de vestir y productos de cuero</v>
      </c>
      <c r="S154" s="1" t="n">
        <f aca="false">VLOOKUP(K154,clasif_filas!$A$1:$J$39,9,FALSE())</f>
        <v>1</v>
      </c>
      <c r="T154" s="1" t="str">
        <f aca="false">VLOOKUP(K154,clasif_filas!$A$1:$J$39,10,FALSE())</f>
        <v>Bioeconomía</v>
      </c>
      <c r="U154" s="61"/>
    </row>
    <row r="155" customFormat="false" ht="14.25" hidden="false" customHeight="false" outlineLevel="0" collapsed="false">
      <c r="A155" s="24" t="s">
        <v>571</v>
      </c>
      <c r="B155" s="9" t="s">
        <v>2079</v>
      </c>
      <c r="C155" s="9" t="str">
        <f aca="false">VLOOKUP(B155, AT_FILAS!$A$2:$C$8,2,FALSE())</f>
        <v>Consumo intermedio</v>
      </c>
      <c r="D155" s="9" t="str">
        <f aca="false">VLOOKUP(B155, AT_FILAS!$A$2:$C$8,3,FALSE())</f>
        <v>P2</v>
      </c>
      <c r="E155" s="9" t="s">
        <v>1854</v>
      </c>
      <c r="F155" s="9" t="s">
        <v>1855</v>
      </c>
      <c r="G155" s="9" t="s">
        <v>1853</v>
      </c>
      <c r="H155" s="9" t="n">
        <v>2</v>
      </c>
      <c r="I155" s="9" t="s">
        <v>1844</v>
      </c>
      <c r="J155" s="9" t="s">
        <v>1814</v>
      </c>
      <c r="K155" s="1" t="n">
        <v>22</v>
      </c>
      <c r="L155" s="1" t="str">
        <f aca="false">VLOOKUP(K155,clasif_filas!$A$1:$J$39,2,FALSE())</f>
        <v>Productos lácteos y productos de huevo</v>
      </c>
      <c r="M155" s="1" t="n">
        <f aca="false">VLOOKUP(K155,clasif_filas!$A$1:$J$39,3,FALSE())</f>
        <v>22</v>
      </c>
      <c r="N155" s="1" t="str">
        <f aca="false">VLOOKUP(K155,clasif_filas!$A$1:$J$39,4,FALSE())</f>
        <v>Productos lácteos y productos de huevo</v>
      </c>
      <c r="O155" s="1" t="n">
        <f aca="false">VLOOKUP(K155,clasif_filas!$A$1:$J$39,5,FALSE())</f>
        <v>6</v>
      </c>
      <c r="P155" s="1" t="str">
        <f aca="false">VLOOKUP(K155,clasif_filas!$A$1:$J$39,6,FALSE())</f>
        <v>Conocimiento, procesos y servicios relacionados</v>
      </c>
      <c r="Q155" s="1" t="n">
        <f aca="false">VLOOKUP(K155,clasif_filas!$A$1:$J$39,7,FALSE())</f>
        <v>2</v>
      </c>
      <c r="R155" s="1" t="str">
        <f aca="false">VLOOKUP(K155,clasif_filas!$A$1:$J$39,8,FALSE())</f>
        <v>Productos alimenticios, bebidas y tabaco; textiles, prendas de vestir y productos de cuero</v>
      </c>
      <c r="S155" s="1" t="n">
        <f aca="false">VLOOKUP(K155,clasif_filas!$A$1:$J$39,9,FALSE())</f>
        <v>1</v>
      </c>
      <c r="T155" s="1" t="str">
        <f aca="false">VLOOKUP(K155,clasif_filas!$A$1:$J$39,10,FALSE())</f>
        <v>Bioeconomía</v>
      </c>
      <c r="U155" s="61"/>
    </row>
    <row r="156" customFormat="false" ht="14.25" hidden="false" customHeight="false" outlineLevel="0" collapsed="false">
      <c r="A156" s="24" t="s">
        <v>573</v>
      </c>
      <c r="B156" s="9" t="s">
        <v>2079</v>
      </c>
      <c r="C156" s="9" t="str">
        <f aca="false">VLOOKUP(B156, AT_FILAS!$A$2:$C$8,2,FALSE())</f>
        <v>Consumo intermedio</v>
      </c>
      <c r="D156" s="9" t="str">
        <f aca="false">VLOOKUP(B156, AT_FILAS!$A$2:$C$8,3,FALSE())</f>
        <v>P2</v>
      </c>
      <c r="E156" s="9" t="s">
        <v>1856</v>
      </c>
      <c r="F156" s="9" t="s">
        <v>1857</v>
      </c>
      <c r="G156" s="9" t="s">
        <v>1858</v>
      </c>
      <c r="H156" s="9" t="n">
        <v>2</v>
      </c>
      <c r="I156" s="9" t="s">
        <v>1844</v>
      </c>
      <c r="J156" s="9" t="s">
        <v>1814</v>
      </c>
      <c r="K156" s="1" t="n">
        <v>23</v>
      </c>
      <c r="L156" s="1" t="str">
        <f aca="false">VLOOKUP(K156,clasif_filas!$A$1:$J$39,2,FALSE())</f>
        <v>Productos de molienda, productos con almidón o maicena; otros productos de alimenticios</v>
      </c>
      <c r="M156" s="1" t="n">
        <f aca="false">VLOOKUP(K156,clasif_filas!$A$1:$J$39,3,FALSE())</f>
        <v>23</v>
      </c>
      <c r="N156" s="1" t="str">
        <f aca="false">VLOOKUP(K156,clasif_filas!$A$1:$J$39,4,FALSE())</f>
        <v>Productos de molienda, productos con almidón o maicena; otros productos de alimenticios</v>
      </c>
      <c r="O156" s="1" t="n">
        <f aca="false">VLOOKUP(K156,clasif_filas!$A$1:$J$39,5,FALSE())</f>
        <v>6</v>
      </c>
      <c r="P156" s="1" t="str">
        <f aca="false">VLOOKUP(K156,clasif_filas!$A$1:$J$39,6,FALSE())</f>
        <v>Conocimiento, procesos y servicios relacionados</v>
      </c>
      <c r="Q156" s="1" t="n">
        <f aca="false">VLOOKUP(K156,clasif_filas!$A$1:$J$39,7,FALSE())</f>
        <v>2</v>
      </c>
      <c r="R156" s="1" t="str">
        <f aca="false">VLOOKUP(K156,clasif_filas!$A$1:$J$39,8,FALSE())</f>
        <v>Productos alimenticios, bebidas y tabaco; textiles, prendas de vestir y productos de cuero</v>
      </c>
      <c r="S156" s="1" t="n">
        <f aca="false">VLOOKUP(K156,clasif_filas!$A$1:$J$39,9,FALSE())</f>
        <v>1</v>
      </c>
      <c r="T156" s="1" t="str">
        <f aca="false">VLOOKUP(K156,clasif_filas!$A$1:$J$39,10,FALSE())</f>
        <v>Bioeconomía</v>
      </c>
      <c r="U156" s="61"/>
    </row>
    <row r="157" customFormat="false" ht="14.25" hidden="false" customHeight="false" outlineLevel="0" collapsed="false">
      <c r="A157" s="24" t="s">
        <v>575</v>
      </c>
      <c r="B157" s="9" t="s">
        <v>2079</v>
      </c>
      <c r="C157" s="9" t="str">
        <f aca="false">VLOOKUP(B157, AT_FILAS!$A$2:$C$8,2,FALSE())</f>
        <v>Consumo intermedio</v>
      </c>
      <c r="D157" s="9" t="str">
        <f aca="false">VLOOKUP(B157, AT_FILAS!$A$2:$C$8,3,FALSE())</f>
        <v>P2</v>
      </c>
      <c r="E157" s="9" t="s">
        <v>1859</v>
      </c>
      <c r="F157" s="9" t="s">
        <v>1860</v>
      </c>
      <c r="G157" s="9" t="s">
        <v>1804</v>
      </c>
      <c r="H157" s="9" t="n">
        <v>2</v>
      </c>
      <c r="I157" s="9" t="s">
        <v>1844</v>
      </c>
      <c r="J157" s="9" t="s">
        <v>1814</v>
      </c>
      <c r="K157" s="1" t="n">
        <v>23</v>
      </c>
      <c r="L157" s="1" t="str">
        <f aca="false">VLOOKUP(K157,clasif_filas!$A$1:$J$39,2,FALSE())</f>
        <v>Productos de molienda, productos con almidón o maicena; otros productos de alimenticios</v>
      </c>
      <c r="M157" s="1" t="n">
        <f aca="false">VLOOKUP(K157,clasif_filas!$A$1:$J$39,3,FALSE())</f>
        <v>23</v>
      </c>
      <c r="N157" s="1" t="str">
        <f aca="false">VLOOKUP(K157,clasif_filas!$A$1:$J$39,4,FALSE())</f>
        <v>Productos de molienda, productos con almidón o maicena; otros productos de alimenticios</v>
      </c>
      <c r="O157" s="1" t="n">
        <f aca="false">VLOOKUP(K157,clasif_filas!$A$1:$J$39,5,FALSE())</f>
        <v>6</v>
      </c>
      <c r="P157" s="1" t="str">
        <f aca="false">VLOOKUP(K157,clasif_filas!$A$1:$J$39,6,FALSE())</f>
        <v>Conocimiento, procesos y servicios relacionados</v>
      </c>
      <c r="Q157" s="1" t="n">
        <f aca="false">VLOOKUP(K157,clasif_filas!$A$1:$J$39,7,FALSE())</f>
        <v>2</v>
      </c>
      <c r="R157" s="1" t="str">
        <f aca="false">VLOOKUP(K157,clasif_filas!$A$1:$J$39,8,FALSE())</f>
        <v>Productos alimenticios, bebidas y tabaco; textiles, prendas de vestir y productos de cuero</v>
      </c>
      <c r="S157" s="1" t="n">
        <f aca="false">VLOOKUP(K157,clasif_filas!$A$1:$J$39,9,FALSE())</f>
        <v>1</v>
      </c>
      <c r="T157" s="1" t="str">
        <f aca="false">VLOOKUP(K157,clasif_filas!$A$1:$J$39,10,FALSE())</f>
        <v>Bioeconomía</v>
      </c>
      <c r="U157" s="61"/>
    </row>
    <row r="158" customFormat="false" ht="14.25" hidden="false" customHeight="false" outlineLevel="0" collapsed="false">
      <c r="A158" s="24" t="s">
        <v>577</v>
      </c>
      <c r="B158" s="9" t="s">
        <v>2079</v>
      </c>
      <c r="C158" s="9" t="str">
        <f aca="false">VLOOKUP(B158, AT_FILAS!$A$2:$C$8,2,FALSE())</f>
        <v>Consumo intermedio</v>
      </c>
      <c r="D158" s="9" t="str">
        <f aca="false">VLOOKUP(B158, AT_FILAS!$A$2:$C$8,3,FALSE())</f>
        <v>P2</v>
      </c>
      <c r="E158" s="9" t="s">
        <v>1861</v>
      </c>
      <c r="F158" s="9" t="s">
        <v>1862</v>
      </c>
      <c r="G158" s="9" t="s">
        <v>1863</v>
      </c>
      <c r="H158" s="9" t="n">
        <v>2</v>
      </c>
      <c r="I158" s="9" t="s">
        <v>1844</v>
      </c>
      <c r="J158" s="9" t="s">
        <v>1814</v>
      </c>
      <c r="K158" s="1" t="n">
        <v>23</v>
      </c>
      <c r="L158" s="1" t="str">
        <f aca="false">VLOOKUP(K158,clasif_filas!$A$1:$J$39,2,FALSE())</f>
        <v>Productos de molienda, productos con almidón o maicena; otros productos de alimenticios</v>
      </c>
      <c r="M158" s="1" t="n">
        <f aca="false">VLOOKUP(K158,clasif_filas!$A$1:$J$39,3,FALSE())</f>
        <v>23</v>
      </c>
      <c r="N158" s="1" t="str">
        <f aca="false">VLOOKUP(K158,clasif_filas!$A$1:$J$39,4,FALSE())</f>
        <v>Productos de molienda, productos con almidón o maicena; otros productos de alimenticios</v>
      </c>
      <c r="O158" s="1" t="n">
        <f aca="false">VLOOKUP(K158,clasif_filas!$A$1:$J$39,5,FALSE())</f>
        <v>6</v>
      </c>
      <c r="P158" s="1" t="str">
        <f aca="false">VLOOKUP(K158,clasif_filas!$A$1:$J$39,6,FALSE())</f>
        <v>Conocimiento, procesos y servicios relacionados</v>
      </c>
      <c r="Q158" s="1" t="n">
        <f aca="false">VLOOKUP(K158,clasif_filas!$A$1:$J$39,7,FALSE())</f>
        <v>2</v>
      </c>
      <c r="R158" s="1" t="str">
        <f aca="false">VLOOKUP(K158,clasif_filas!$A$1:$J$39,8,FALSE())</f>
        <v>Productos alimenticios, bebidas y tabaco; textiles, prendas de vestir y productos de cuero</v>
      </c>
      <c r="S158" s="1" t="n">
        <f aca="false">VLOOKUP(K158,clasif_filas!$A$1:$J$39,9,FALSE())</f>
        <v>1</v>
      </c>
      <c r="T158" s="1" t="str">
        <f aca="false">VLOOKUP(K158,clasif_filas!$A$1:$J$39,10,FALSE())</f>
        <v>Bioeconomía</v>
      </c>
      <c r="U158" s="61"/>
    </row>
    <row r="159" customFormat="false" ht="14.25" hidden="false" customHeight="false" outlineLevel="0" collapsed="false">
      <c r="A159" s="24" t="s">
        <v>579</v>
      </c>
      <c r="B159" s="9" t="s">
        <v>2079</v>
      </c>
      <c r="C159" s="9" t="str">
        <f aca="false">VLOOKUP(B159, AT_FILAS!$A$2:$C$8,2,FALSE())</f>
        <v>Consumo intermedio</v>
      </c>
      <c r="D159" s="9" t="str">
        <f aca="false">VLOOKUP(B159, AT_FILAS!$A$2:$C$8,3,FALSE())</f>
        <v>P2</v>
      </c>
      <c r="E159" s="9" t="s">
        <v>1864</v>
      </c>
      <c r="F159" s="9" t="s">
        <v>1865</v>
      </c>
      <c r="G159" s="9" t="s">
        <v>1804</v>
      </c>
      <c r="H159" s="9" t="n">
        <v>2</v>
      </c>
      <c r="I159" s="9" t="s">
        <v>1844</v>
      </c>
      <c r="J159" s="9" t="s">
        <v>1814</v>
      </c>
      <c r="K159" s="1" t="n">
        <v>23</v>
      </c>
      <c r="L159" s="1" t="str">
        <f aca="false">VLOOKUP(K159,clasif_filas!$A$1:$J$39,2,FALSE())</f>
        <v>Productos de molienda, productos con almidón o maicena; otros productos de alimenticios</v>
      </c>
      <c r="M159" s="1" t="n">
        <f aca="false">VLOOKUP(K159,clasif_filas!$A$1:$J$39,3,FALSE())</f>
        <v>23</v>
      </c>
      <c r="N159" s="1" t="str">
        <f aca="false">VLOOKUP(K159,clasif_filas!$A$1:$J$39,4,FALSE())</f>
        <v>Productos de molienda, productos con almidón o maicena; otros productos de alimenticios</v>
      </c>
      <c r="O159" s="1" t="n">
        <f aca="false">VLOOKUP(K159,clasif_filas!$A$1:$J$39,5,FALSE())</f>
        <v>6</v>
      </c>
      <c r="P159" s="1" t="str">
        <f aca="false">VLOOKUP(K159,clasif_filas!$A$1:$J$39,6,FALSE())</f>
        <v>Conocimiento, procesos y servicios relacionados</v>
      </c>
      <c r="Q159" s="1" t="n">
        <f aca="false">VLOOKUP(K159,clasif_filas!$A$1:$J$39,7,FALSE())</f>
        <v>2</v>
      </c>
      <c r="R159" s="1" t="str">
        <f aca="false">VLOOKUP(K159,clasif_filas!$A$1:$J$39,8,FALSE())</f>
        <v>Productos alimenticios, bebidas y tabaco; textiles, prendas de vestir y productos de cuero</v>
      </c>
      <c r="S159" s="1" t="n">
        <f aca="false">VLOOKUP(K159,clasif_filas!$A$1:$J$39,9,FALSE())</f>
        <v>1</v>
      </c>
      <c r="T159" s="1" t="str">
        <f aca="false">VLOOKUP(K159,clasif_filas!$A$1:$J$39,10,FALSE())</f>
        <v>Bioeconomía</v>
      </c>
      <c r="U159" s="61"/>
    </row>
    <row r="160" customFormat="false" ht="14.25" hidden="false" customHeight="false" outlineLevel="0" collapsed="false">
      <c r="A160" s="24" t="s">
        <v>581</v>
      </c>
      <c r="B160" s="9" t="s">
        <v>2079</v>
      </c>
      <c r="C160" s="9" t="str">
        <f aca="false">VLOOKUP(B160, AT_FILAS!$A$2:$C$8,2,FALSE())</f>
        <v>Consumo intermedio</v>
      </c>
      <c r="D160" s="9" t="str">
        <f aca="false">VLOOKUP(B160, AT_FILAS!$A$2:$C$8,3,FALSE())</f>
        <v>P2</v>
      </c>
      <c r="E160" s="9" t="s">
        <v>1866</v>
      </c>
      <c r="F160" s="9" t="s">
        <v>1867</v>
      </c>
      <c r="G160" s="9" t="s">
        <v>1868</v>
      </c>
      <c r="H160" s="9" t="n">
        <v>2</v>
      </c>
      <c r="I160" s="9" t="s">
        <v>1844</v>
      </c>
      <c r="J160" s="9" t="s">
        <v>1814</v>
      </c>
      <c r="K160" s="1" t="n">
        <v>23</v>
      </c>
      <c r="L160" s="1" t="str">
        <f aca="false">VLOOKUP(K160,clasif_filas!$A$1:$J$39,2,FALSE())</f>
        <v>Productos de molienda, productos con almidón o maicena; otros productos de alimenticios</v>
      </c>
      <c r="M160" s="1" t="n">
        <f aca="false">VLOOKUP(K160,clasif_filas!$A$1:$J$39,3,FALSE())</f>
        <v>23</v>
      </c>
      <c r="N160" s="1" t="str">
        <f aca="false">VLOOKUP(K160,clasif_filas!$A$1:$J$39,4,FALSE())</f>
        <v>Productos de molienda, productos con almidón o maicena; otros productos de alimenticios</v>
      </c>
      <c r="O160" s="1" t="n">
        <f aca="false">VLOOKUP(K160,clasif_filas!$A$1:$J$39,5,FALSE())</f>
        <v>6</v>
      </c>
      <c r="P160" s="1" t="str">
        <f aca="false">VLOOKUP(K160,clasif_filas!$A$1:$J$39,6,FALSE())</f>
        <v>Conocimiento, procesos y servicios relacionados</v>
      </c>
      <c r="Q160" s="1" t="n">
        <f aca="false">VLOOKUP(K160,clasif_filas!$A$1:$J$39,7,FALSE())</f>
        <v>2</v>
      </c>
      <c r="R160" s="1" t="str">
        <f aca="false">VLOOKUP(K160,clasif_filas!$A$1:$J$39,8,FALSE())</f>
        <v>Productos alimenticios, bebidas y tabaco; textiles, prendas de vestir y productos de cuero</v>
      </c>
      <c r="S160" s="1" t="n">
        <f aca="false">VLOOKUP(K160,clasif_filas!$A$1:$J$39,9,FALSE())</f>
        <v>1</v>
      </c>
      <c r="T160" s="1" t="str">
        <f aca="false">VLOOKUP(K160,clasif_filas!$A$1:$J$39,10,FALSE())</f>
        <v>Bioeconomía</v>
      </c>
      <c r="U160" s="61"/>
    </row>
    <row r="161" customFormat="false" ht="14.25" hidden="false" customHeight="false" outlineLevel="0" collapsed="false">
      <c r="A161" s="24" t="s">
        <v>583</v>
      </c>
      <c r="B161" s="9" t="s">
        <v>2079</v>
      </c>
      <c r="C161" s="9" t="str">
        <f aca="false">VLOOKUP(B161, AT_FILAS!$A$2:$C$8,2,FALSE())</f>
        <v>Consumo intermedio</v>
      </c>
      <c r="D161" s="9" t="str">
        <f aca="false">VLOOKUP(B161, AT_FILAS!$A$2:$C$8,3,FALSE())</f>
        <v>P2</v>
      </c>
      <c r="E161" s="9" t="s">
        <v>1869</v>
      </c>
      <c r="F161" s="9" t="s">
        <v>1870</v>
      </c>
      <c r="G161" s="9" t="s">
        <v>1868</v>
      </c>
      <c r="H161" s="9" t="n">
        <v>2</v>
      </c>
      <c r="I161" s="9" t="s">
        <v>1844</v>
      </c>
      <c r="J161" s="9" t="s">
        <v>1814</v>
      </c>
      <c r="K161" s="1" t="n">
        <v>23</v>
      </c>
      <c r="L161" s="1" t="str">
        <f aca="false">VLOOKUP(K161,clasif_filas!$A$1:$J$39,2,FALSE())</f>
        <v>Productos de molienda, productos con almidón o maicena; otros productos de alimenticios</v>
      </c>
      <c r="M161" s="1" t="n">
        <f aca="false">VLOOKUP(K161,clasif_filas!$A$1:$J$39,3,FALSE())</f>
        <v>23</v>
      </c>
      <c r="N161" s="1" t="str">
        <f aca="false">VLOOKUP(K161,clasif_filas!$A$1:$J$39,4,FALSE())</f>
        <v>Productos de molienda, productos con almidón o maicena; otros productos de alimenticios</v>
      </c>
      <c r="O161" s="1" t="n">
        <f aca="false">VLOOKUP(K161,clasif_filas!$A$1:$J$39,5,FALSE())</f>
        <v>6</v>
      </c>
      <c r="P161" s="1" t="str">
        <f aca="false">VLOOKUP(K161,clasif_filas!$A$1:$J$39,6,FALSE())</f>
        <v>Conocimiento, procesos y servicios relacionados</v>
      </c>
      <c r="Q161" s="1" t="n">
        <f aca="false">VLOOKUP(K161,clasif_filas!$A$1:$J$39,7,FALSE())</f>
        <v>2</v>
      </c>
      <c r="R161" s="1" t="str">
        <f aca="false">VLOOKUP(K161,clasif_filas!$A$1:$J$39,8,FALSE())</f>
        <v>Productos alimenticios, bebidas y tabaco; textiles, prendas de vestir y productos de cuero</v>
      </c>
      <c r="S161" s="1" t="n">
        <f aca="false">VLOOKUP(K161,clasif_filas!$A$1:$J$39,9,FALSE())</f>
        <v>1</v>
      </c>
      <c r="T161" s="1" t="str">
        <f aca="false">VLOOKUP(K161,clasif_filas!$A$1:$J$39,10,FALSE())</f>
        <v>Bioeconomía</v>
      </c>
      <c r="U161" s="61"/>
    </row>
    <row r="162" customFormat="false" ht="14.25" hidden="false" customHeight="false" outlineLevel="0" collapsed="false">
      <c r="A162" s="24" t="s">
        <v>585</v>
      </c>
      <c r="B162" s="9" t="s">
        <v>2079</v>
      </c>
      <c r="C162" s="9" t="str">
        <f aca="false">VLOOKUP(B162, AT_FILAS!$A$2:$C$8,2,FALSE())</f>
        <v>Consumo intermedio</v>
      </c>
      <c r="D162" s="9" t="str">
        <f aca="false">VLOOKUP(B162, AT_FILAS!$A$2:$C$8,3,FALSE())</f>
        <v>P2</v>
      </c>
      <c r="E162" s="9" t="s">
        <v>1871</v>
      </c>
      <c r="F162" s="9" t="s">
        <v>1872</v>
      </c>
      <c r="G162" s="9" t="s">
        <v>1873</v>
      </c>
      <c r="H162" s="9" t="n">
        <v>2</v>
      </c>
      <c r="I162" s="9" t="s">
        <v>1844</v>
      </c>
      <c r="J162" s="9" t="s">
        <v>1873</v>
      </c>
      <c r="K162" s="1" t="n">
        <v>23</v>
      </c>
      <c r="L162" s="1" t="str">
        <f aca="false">VLOOKUP(K162,clasif_filas!$A$1:$J$39,2,FALSE())</f>
        <v>Productos de molienda, productos con almidón o maicena; otros productos de alimenticios</v>
      </c>
      <c r="M162" s="1" t="n">
        <f aca="false">VLOOKUP(K162,clasif_filas!$A$1:$J$39,3,FALSE())</f>
        <v>23</v>
      </c>
      <c r="N162" s="1" t="str">
        <f aca="false">VLOOKUP(K162,clasif_filas!$A$1:$J$39,4,FALSE())</f>
        <v>Productos de molienda, productos con almidón o maicena; otros productos de alimenticios</v>
      </c>
      <c r="O162" s="1" t="n">
        <f aca="false">VLOOKUP(K162,clasif_filas!$A$1:$J$39,5,FALSE())</f>
        <v>6</v>
      </c>
      <c r="P162" s="1" t="str">
        <f aca="false">VLOOKUP(K162,clasif_filas!$A$1:$J$39,6,FALSE())</f>
        <v>Conocimiento, procesos y servicios relacionados</v>
      </c>
      <c r="Q162" s="1" t="n">
        <f aca="false">VLOOKUP(K162,clasif_filas!$A$1:$J$39,7,FALSE())</f>
        <v>2</v>
      </c>
      <c r="R162" s="1" t="str">
        <f aca="false">VLOOKUP(K162,clasif_filas!$A$1:$J$39,8,FALSE())</f>
        <v>Productos alimenticios, bebidas y tabaco; textiles, prendas de vestir y productos de cuero</v>
      </c>
      <c r="S162" s="1" t="n">
        <f aca="false">VLOOKUP(K162,clasif_filas!$A$1:$J$39,9,FALSE())</f>
        <v>1</v>
      </c>
      <c r="T162" s="1" t="str">
        <f aca="false">VLOOKUP(K162,clasif_filas!$A$1:$J$39,10,FALSE())</f>
        <v>Bioeconomía</v>
      </c>
      <c r="U162" s="61"/>
    </row>
    <row r="163" customFormat="false" ht="14.25" hidden="false" customHeight="false" outlineLevel="0" collapsed="false">
      <c r="A163" s="24" t="s">
        <v>587</v>
      </c>
      <c r="B163" s="9" t="s">
        <v>2079</v>
      </c>
      <c r="C163" s="9" t="str">
        <f aca="false">VLOOKUP(B163, AT_FILAS!$A$2:$C$8,2,FALSE())</f>
        <v>Consumo intermedio</v>
      </c>
      <c r="D163" s="9" t="str">
        <f aca="false">VLOOKUP(B163, AT_FILAS!$A$2:$C$8,3,FALSE())</f>
        <v>P2</v>
      </c>
      <c r="E163" s="9" t="s">
        <v>1874</v>
      </c>
      <c r="F163" s="9" t="s">
        <v>1875</v>
      </c>
      <c r="G163" s="9" t="s">
        <v>1804</v>
      </c>
      <c r="H163" s="9" t="n">
        <v>2</v>
      </c>
      <c r="I163" s="9" t="s">
        <v>1844</v>
      </c>
      <c r="J163" s="9" t="s">
        <v>1814</v>
      </c>
      <c r="K163" s="1" t="n">
        <v>23</v>
      </c>
      <c r="L163" s="1" t="str">
        <f aca="false">VLOOKUP(K163,clasif_filas!$A$1:$J$39,2,FALSE())</f>
        <v>Productos de molienda, productos con almidón o maicena; otros productos de alimenticios</v>
      </c>
      <c r="M163" s="1" t="n">
        <f aca="false">VLOOKUP(K163,clasif_filas!$A$1:$J$39,3,FALSE())</f>
        <v>23</v>
      </c>
      <c r="N163" s="1" t="str">
        <f aca="false">VLOOKUP(K163,clasif_filas!$A$1:$J$39,4,FALSE())</f>
        <v>Productos de molienda, productos con almidón o maicena; otros productos de alimenticios</v>
      </c>
      <c r="O163" s="1" t="n">
        <f aca="false">VLOOKUP(K163,clasif_filas!$A$1:$J$39,5,FALSE())</f>
        <v>6</v>
      </c>
      <c r="P163" s="1" t="str">
        <f aca="false">VLOOKUP(K163,clasif_filas!$A$1:$J$39,6,FALSE())</f>
        <v>Conocimiento, procesos y servicios relacionados</v>
      </c>
      <c r="Q163" s="1" t="n">
        <f aca="false">VLOOKUP(K163,clasif_filas!$A$1:$J$39,7,FALSE())</f>
        <v>2</v>
      </c>
      <c r="R163" s="1" t="str">
        <f aca="false">VLOOKUP(K163,clasif_filas!$A$1:$J$39,8,FALSE())</f>
        <v>Productos alimenticios, bebidas y tabaco; textiles, prendas de vestir y productos de cuero</v>
      </c>
      <c r="S163" s="1" t="n">
        <f aca="false">VLOOKUP(K163,clasif_filas!$A$1:$J$39,9,FALSE())</f>
        <v>1</v>
      </c>
      <c r="T163" s="1" t="str">
        <f aca="false">VLOOKUP(K163,clasif_filas!$A$1:$J$39,10,FALSE())</f>
        <v>Bioeconomía</v>
      </c>
      <c r="U163" s="61"/>
    </row>
    <row r="164" customFormat="false" ht="14.25" hidden="false" customHeight="false" outlineLevel="0" collapsed="false">
      <c r="A164" s="24" t="s">
        <v>589</v>
      </c>
      <c r="B164" s="9" t="s">
        <v>2079</v>
      </c>
      <c r="C164" s="9" t="str">
        <f aca="false">VLOOKUP(B164, AT_FILAS!$A$2:$C$8,2,FALSE())</f>
        <v>Consumo intermedio</v>
      </c>
      <c r="D164" s="9" t="str">
        <f aca="false">VLOOKUP(B164, AT_FILAS!$A$2:$C$8,3,FALSE())</f>
        <v>P2</v>
      </c>
      <c r="E164" s="9" t="s">
        <v>1876</v>
      </c>
      <c r="F164" s="9" t="s">
        <v>1877</v>
      </c>
      <c r="G164" s="9" t="s">
        <v>1878</v>
      </c>
      <c r="H164" s="9" t="n">
        <v>2</v>
      </c>
      <c r="I164" s="9" t="s">
        <v>1844</v>
      </c>
      <c r="J164" s="9" t="s">
        <v>1814</v>
      </c>
      <c r="K164" s="1" t="n">
        <v>24</v>
      </c>
      <c r="L164" s="1" t="str">
        <f aca="false">VLOOKUP(K164,clasif_filas!$A$1:$J$39,2,FALSE())</f>
        <v>Bebidas</v>
      </c>
      <c r="M164" s="1" t="n">
        <f aca="false">VLOOKUP(K164,clasif_filas!$A$1:$J$39,3,FALSE())</f>
        <v>24</v>
      </c>
      <c r="N164" s="1" t="str">
        <f aca="false">VLOOKUP(K164,clasif_filas!$A$1:$J$39,4,FALSE())</f>
        <v>Bebidas</v>
      </c>
      <c r="O164" s="1" t="n">
        <f aca="false">VLOOKUP(K164,clasif_filas!$A$1:$J$39,5,FALSE())</f>
        <v>6</v>
      </c>
      <c r="P164" s="1" t="str">
        <f aca="false">VLOOKUP(K164,clasif_filas!$A$1:$J$39,6,FALSE())</f>
        <v>Conocimiento, procesos y servicios relacionados</v>
      </c>
      <c r="Q164" s="1" t="n">
        <f aca="false">VLOOKUP(K164,clasif_filas!$A$1:$J$39,7,FALSE())</f>
        <v>2</v>
      </c>
      <c r="R164" s="1" t="str">
        <f aca="false">VLOOKUP(K164,clasif_filas!$A$1:$J$39,8,FALSE())</f>
        <v>Productos alimenticios, bebidas y tabaco; textiles, prendas de vestir y productos de cuero</v>
      </c>
      <c r="S164" s="1" t="n">
        <f aca="false">VLOOKUP(K164,clasif_filas!$A$1:$J$39,9,FALSE())</f>
        <v>1</v>
      </c>
      <c r="T164" s="1" t="str">
        <f aca="false">VLOOKUP(K164,clasif_filas!$A$1:$J$39,10,FALSE())</f>
        <v>Bioeconomía</v>
      </c>
      <c r="U164" s="61"/>
    </row>
    <row r="165" customFormat="false" ht="14.25" hidden="false" customHeight="false" outlineLevel="0" collapsed="false">
      <c r="A165" s="24" t="s">
        <v>591</v>
      </c>
      <c r="B165" s="9" t="s">
        <v>2079</v>
      </c>
      <c r="C165" s="9" t="str">
        <f aca="false">VLOOKUP(B165, AT_FILAS!$A$2:$C$8,2,FALSE())</f>
        <v>Consumo intermedio</v>
      </c>
      <c r="D165" s="9" t="str">
        <f aca="false">VLOOKUP(B165, AT_FILAS!$A$2:$C$8,3,FALSE())</f>
        <v>P2</v>
      </c>
      <c r="E165" s="9" t="s">
        <v>1879</v>
      </c>
      <c r="F165" s="9" t="s">
        <v>1880</v>
      </c>
      <c r="G165" s="9" t="s">
        <v>1881</v>
      </c>
      <c r="H165" s="9" t="n">
        <v>2</v>
      </c>
      <c r="I165" s="9" t="s">
        <v>1844</v>
      </c>
      <c r="J165" s="9" t="s">
        <v>1881</v>
      </c>
      <c r="K165" s="1" t="n">
        <v>25</v>
      </c>
      <c r="L165" s="1" t="str">
        <f aca="false">VLOOKUP(K165,clasif_filas!$A$1:$J$39,2,FALSE())</f>
        <v>Productos del tabaco</v>
      </c>
      <c r="M165" s="1" t="n">
        <f aca="false">VLOOKUP(K165,clasif_filas!$A$1:$J$39,3,FALSE())</f>
        <v>25</v>
      </c>
      <c r="N165" s="1" t="str">
        <f aca="false">VLOOKUP(K165,clasif_filas!$A$1:$J$39,4,FALSE())</f>
        <v>Productos del tabaco</v>
      </c>
      <c r="O165" s="1" t="n">
        <f aca="false">VLOOKUP(K165,clasif_filas!$A$1:$J$39,5,FALSE())</f>
        <v>6</v>
      </c>
      <c r="P165" s="1" t="str">
        <f aca="false">VLOOKUP(K165,clasif_filas!$A$1:$J$39,6,FALSE())</f>
        <v>Conocimiento, procesos y servicios relacionados</v>
      </c>
      <c r="Q165" s="1" t="n">
        <f aca="false">VLOOKUP(K165,clasif_filas!$A$1:$J$39,7,FALSE())</f>
        <v>2</v>
      </c>
      <c r="R165" s="1" t="str">
        <f aca="false">VLOOKUP(K165,clasif_filas!$A$1:$J$39,8,FALSE())</f>
        <v>Productos alimenticios, bebidas y tabaco; textiles, prendas de vestir y productos de cuero</v>
      </c>
      <c r="S165" s="1" t="n">
        <f aca="false">VLOOKUP(K165,clasif_filas!$A$1:$J$39,9,FALSE())</f>
        <v>1</v>
      </c>
      <c r="T165" s="1" t="str">
        <f aca="false">VLOOKUP(K165,clasif_filas!$A$1:$J$39,10,FALSE())</f>
        <v>Bioeconomía</v>
      </c>
      <c r="U165" s="61"/>
    </row>
    <row r="166" customFormat="false" ht="14.25" hidden="false" customHeight="false" outlineLevel="0" collapsed="false">
      <c r="A166" s="24" t="s">
        <v>593</v>
      </c>
      <c r="B166" s="9" t="s">
        <v>2079</v>
      </c>
      <c r="C166" s="9" t="str">
        <f aca="false">VLOOKUP(B166, AT_FILAS!$A$2:$C$8,2,FALSE())</f>
        <v>Consumo intermedio</v>
      </c>
      <c r="D166" s="9" t="str">
        <f aca="false">VLOOKUP(B166, AT_FILAS!$A$2:$C$8,3,FALSE())</f>
        <v>P2</v>
      </c>
      <c r="E166" s="9" t="s">
        <v>1882</v>
      </c>
      <c r="F166" s="9" t="s">
        <v>1883</v>
      </c>
      <c r="G166" s="9" t="s">
        <v>1884</v>
      </c>
      <c r="H166" s="9" t="n">
        <v>2</v>
      </c>
      <c r="I166" s="9" t="s">
        <v>1844</v>
      </c>
      <c r="J166" s="9" t="s">
        <v>1884</v>
      </c>
      <c r="K166" s="1" t="n">
        <v>26</v>
      </c>
      <c r="L166" s="1" t="str">
        <f aca="false">VLOOKUP(K166,clasif_filas!$A$1:$J$39,2,FALSE())</f>
        <v>Hilados e hilos; tejidos y telas afelpadas</v>
      </c>
      <c r="M166" s="1" t="n">
        <f aca="false">VLOOKUP(K166,clasif_filas!$A$1:$J$39,3,FALSE())</f>
        <v>26</v>
      </c>
      <c r="N166" s="1" t="str">
        <f aca="false">VLOOKUP(K166,clasif_filas!$A$1:$J$39,4,FALSE())</f>
        <v>Hilados e hilos; tejidos y telas afelpadas</v>
      </c>
      <c r="O166" s="1" t="n">
        <f aca="false">VLOOKUP(K166,clasif_filas!$A$1:$J$39,5,FALSE())</f>
        <v>6</v>
      </c>
      <c r="P166" s="1" t="str">
        <f aca="false">VLOOKUP(K166,clasif_filas!$A$1:$J$39,6,FALSE())</f>
        <v>Conocimiento, procesos y servicios relacionados</v>
      </c>
      <c r="Q166" s="1" t="n">
        <f aca="false">VLOOKUP(K166,clasif_filas!$A$1:$J$39,7,FALSE())</f>
        <v>2</v>
      </c>
      <c r="R166" s="1" t="str">
        <f aca="false">VLOOKUP(K166,clasif_filas!$A$1:$J$39,8,FALSE())</f>
        <v>Productos alimenticios, bebidas y tabaco; textiles, prendas de vestir y productos de cuero</v>
      </c>
      <c r="S166" s="1" t="n">
        <f aca="false">VLOOKUP(K166,clasif_filas!$A$1:$J$39,9,FALSE())</f>
        <v>2</v>
      </c>
      <c r="T166" s="1" t="str">
        <f aca="false">VLOOKUP(K166,clasif_filas!$A$1:$J$39,10,FALSE())</f>
        <v>Bioeconomía extendida</v>
      </c>
      <c r="U166" s="61"/>
    </row>
    <row r="167" customFormat="false" ht="14.25" hidden="false" customHeight="false" outlineLevel="0" collapsed="false">
      <c r="A167" s="24" t="s">
        <v>595</v>
      </c>
      <c r="B167" s="9" t="s">
        <v>2079</v>
      </c>
      <c r="C167" s="9" t="str">
        <f aca="false">VLOOKUP(B167, AT_FILAS!$A$2:$C$8,2,FALSE())</f>
        <v>Consumo intermedio</v>
      </c>
      <c r="D167" s="9" t="str">
        <f aca="false">VLOOKUP(B167, AT_FILAS!$A$2:$C$8,3,FALSE())</f>
        <v>P2</v>
      </c>
      <c r="E167" s="9" t="s">
        <v>1885</v>
      </c>
      <c r="F167" s="9" t="s">
        <v>1886</v>
      </c>
      <c r="G167" s="9" t="s">
        <v>1884</v>
      </c>
      <c r="H167" s="9" t="n">
        <v>2</v>
      </c>
      <c r="I167" s="9" t="s">
        <v>1844</v>
      </c>
      <c r="J167" s="9" t="s">
        <v>1884</v>
      </c>
      <c r="K167" s="1" t="n">
        <v>26</v>
      </c>
      <c r="L167" s="1" t="str">
        <f aca="false">VLOOKUP(K167,clasif_filas!$A$1:$J$39,2,FALSE())</f>
        <v>Hilados e hilos; tejidos y telas afelpadas</v>
      </c>
      <c r="M167" s="1" t="n">
        <f aca="false">VLOOKUP(K167,clasif_filas!$A$1:$J$39,3,FALSE())</f>
        <v>26</v>
      </c>
      <c r="N167" s="1" t="str">
        <f aca="false">VLOOKUP(K167,clasif_filas!$A$1:$J$39,4,FALSE())</f>
        <v>Hilados e hilos; tejidos y telas afelpadas</v>
      </c>
      <c r="O167" s="1" t="n">
        <f aca="false">VLOOKUP(K167,clasif_filas!$A$1:$J$39,5,FALSE())</f>
        <v>6</v>
      </c>
      <c r="P167" s="1" t="str">
        <f aca="false">VLOOKUP(K167,clasif_filas!$A$1:$J$39,6,FALSE())</f>
        <v>Conocimiento, procesos y servicios relacionados</v>
      </c>
      <c r="Q167" s="1" t="n">
        <f aca="false">VLOOKUP(K167,clasif_filas!$A$1:$J$39,7,FALSE())</f>
        <v>2</v>
      </c>
      <c r="R167" s="1" t="str">
        <f aca="false">VLOOKUP(K167,clasif_filas!$A$1:$J$39,8,FALSE())</f>
        <v>Productos alimenticios, bebidas y tabaco; textiles, prendas de vestir y productos de cuero</v>
      </c>
      <c r="S167" s="1" t="n">
        <f aca="false">VLOOKUP(K167,clasif_filas!$A$1:$J$39,9,FALSE())</f>
        <v>2</v>
      </c>
      <c r="T167" s="1" t="str">
        <f aca="false">VLOOKUP(K167,clasif_filas!$A$1:$J$39,10,FALSE())</f>
        <v>Bioeconomía extendida</v>
      </c>
      <c r="U167" s="61"/>
    </row>
    <row r="168" customFormat="false" ht="14.25" hidden="false" customHeight="false" outlineLevel="0" collapsed="false">
      <c r="A168" s="24" t="s">
        <v>597</v>
      </c>
      <c r="B168" s="9" t="s">
        <v>2079</v>
      </c>
      <c r="C168" s="9" t="str">
        <f aca="false">VLOOKUP(B168, AT_FILAS!$A$2:$C$8,2,FALSE())</f>
        <v>Consumo intermedio</v>
      </c>
      <c r="D168" s="9" t="str">
        <f aca="false">VLOOKUP(B168, AT_FILAS!$A$2:$C$8,3,FALSE())</f>
        <v>P2</v>
      </c>
      <c r="E168" s="9" t="s">
        <v>1887</v>
      </c>
      <c r="F168" s="9" t="s">
        <v>1888</v>
      </c>
      <c r="G168" s="9" t="s">
        <v>1884</v>
      </c>
      <c r="H168" s="9" t="n">
        <v>2</v>
      </c>
      <c r="I168" s="9" t="s">
        <v>1844</v>
      </c>
      <c r="J168" s="9" t="s">
        <v>1884</v>
      </c>
      <c r="K168" s="1" t="n">
        <v>26</v>
      </c>
      <c r="L168" s="1" t="str">
        <f aca="false">VLOOKUP(K168,clasif_filas!$A$1:$J$39,2,FALSE())</f>
        <v>Hilados e hilos; tejidos y telas afelpadas</v>
      </c>
      <c r="M168" s="1" t="n">
        <f aca="false">VLOOKUP(K168,clasif_filas!$A$1:$J$39,3,FALSE())</f>
        <v>26</v>
      </c>
      <c r="N168" s="1" t="str">
        <f aca="false">VLOOKUP(K168,clasif_filas!$A$1:$J$39,4,FALSE())</f>
        <v>Hilados e hilos; tejidos y telas afelpadas</v>
      </c>
      <c r="O168" s="1" t="n">
        <f aca="false">VLOOKUP(K168,clasif_filas!$A$1:$J$39,5,FALSE())</f>
        <v>6</v>
      </c>
      <c r="P168" s="1" t="str">
        <f aca="false">VLOOKUP(K168,clasif_filas!$A$1:$J$39,6,FALSE())</f>
        <v>Conocimiento, procesos y servicios relacionados</v>
      </c>
      <c r="Q168" s="1" t="n">
        <f aca="false">VLOOKUP(K168,clasif_filas!$A$1:$J$39,7,FALSE())</f>
        <v>2</v>
      </c>
      <c r="R168" s="1" t="str">
        <f aca="false">VLOOKUP(K168,clasif_filas!$A$1:$J$39,8,FALSE())</f>
        <v>Productos alimenticios, bebidas y tabaco; textiles, prendas de vestir y productos de cuero</v>
      </c>
      <c r="S168" s="1" t="n">
        <f aca="false">VLOOKUP(K168,clasif_filas!$A$1:$J$39,9,FALSE())</f>
        <v>2</v>
      </c>
      <c r="T168" s="1" t="str">
        <f aca="false">VLOOKUP(K168,clasif_filas!$A$1:$J$39,10,FALSE())</f>
        <v>Bioeconomía extendida</v>
      </c>
      <c r="U168" s="61"/>
    </row>
    <row r="169" customFormat="false" ht="14.25" hidden="false" customHeight="false" outlineLevel="0" collapsed="false">
      <c r="A169" s="24" t="s">
        <v>599</v>
      </c>
      <c r="B169" s="9" t="s">
        <v>2079</v>
      </c>
      <c r="C169" s="9" t="str">
        <f aca="false">VLOOKUP(B169, AT_FILAS!$A$2:$C$8,2,FALSE())</f>
        <v>Consumo intermedio</v>
      </c>
      <c r="D169" s="9" t="str">
        <f aca="false">VLOOKUP(B169, AT_FILAS!$A$2:$C$8,3,FALSE())</f>
        <v>P2</v>
      </c>
      <c r="E169" s="9" t="s">
        <v>1889</v>
      </c>
      <c r="F169" s="9" t="s">
        <v>1890</v>
      </c>
      <c r="G169" s="9" t="s">
        <v>1884</v>
      </c>
      <c r="H169" s="9" t="n">
        <v>2</v>
      </c>
      <c r="I169" s="9" t="s">
        <v>1844</v>
      </c>
      <c r="J169" s="9" t="s">
        <v>1884</v>
      </c>
      <c r="K169" s="1" t="n">
        <v>26</v>
      </c>
      <c r="L169" s="1" t="str">
        <f aca="false">VLOOKUP(K169,clasif_filas!$A$1:$J$39,2,FALSE())</f>
        <v>Hilados e hilos; tejidos y telas afelpadas</v>
      </c>
      <c r="M169" s="1" t="n">
        <f aca="false">VLOOKUP(K169,clasif_filas!$A$1:$J$39,3,FALSE())</f>
        <v>26</v>
      </c>
      <c r="N169" s="1" t="str">
        <f aca="false">VLOOKUP(K169,clasif_filas!$A$1:$J$39,4,FALSE())</f>
        <v>Hilados e hilos; tejidos y telas afelpadas</v>
      </c>
      <c r="O169" s="1" t="n">
        <f aca="false">VLOOKUP(K169,clasif_filas!$A$1:$J$39,5,FALSE())</f>
        <v>6</v>
      </c>
      <c r="P169" s="1" t="str">
        <f aca="false">VLOOKUP(K169,clasif_filas!$A$1:$J$39,6,FALSE())</f>
        <v>Conocimiento, procesos y servicios relacionados</v>
      </c>
      <c r="Q169" s="1" t="n">
        <f aca="false">VLOOKUP(K169,clasif_filas!$A$1:$J$39,7,FALSE())</f>
        <v>2</v>
      </c>
      <c r="R169" s="1" t="str">
        <f aca="false">VLOOKUP(K169,clasif_filas!$A$1:$J$39,8,FALSE())</f>
        <v>Productos alimenticios, bebidas y tabaco; textiles, prendas de vestir y productos de cuero</v>
      </c>
      <c r="S169" s="1" t="n">
        <f aca="false">VLOOKUP(K169,clasif_filas!$A$1:$J$39,9,FALSE())</f>
        <v>2</v>
      </c>
      <c r="T169" s="1" t="str">
        <f aca="false">VLOOKUP(K169,clasif_filas!$A$1:$J$39,10,FALSE())</f>
        <v>Bioeconomía extendida</v>
      </c>
      <c r="U169" s="61"/>
    </row>
    <row r="170" customFormat="false" ht="14.25" hidden="false" customHeight="false" outlineLevel="0" collapsed="false">
      <c r="A170" s="24" t="s">
        <v>601</v>
      </c>
      <c r="B170" s="9" t="s">
        <v>2079</v>
      </c>
      <c r="C170" s="9" t="str">
        <f aca="false">VLOOKUP(B170, AT_FILAS!$A$2:$C$8,2,FALSE())</f>
        <v>Consumo intermedio</v>
      </c>
      <c r="D170" s="9" t="str">
        <f aca="false">VLOOKUP(B170, AT_FILAS!$A$2:$C$8,3,FALSE())</f>
        <v>P2</v>
      </c>
      <c r="E170" s="9" t="s">
        <v>1891</v>
      </c>
      <c r="F170" s="9" t="s">
        <v>1892</v>
      </c>
      <c r="G170" s="9" t="s">
        <v>1884</v>
      </c>
      <c r="H170" s="9" t="n">
        <v>2</v>
      </c>
      <c r="I170" s="9" t="s">
        <v>1844</v>
      </c>
      <c r="J170" s="9" t="s">
        <v>1884</v>
      </c>
      <c r="K170" s="1" t="n">
        <v>29</v>
      </c>
      <c r="L170" s="1" t="str">
        <f aca="false">VLOOKUP(K170,clasif_filas!$A$1:$J$39,2,FALSE())</f>
        <v>Cuero y productos de cuero; calzado</v>
      </c>
      <c r="M170" s="1" t="n">
        <f aca="false">VLOOKUP(K170,clasif_filas!$A$1:$J$39,3,FALSE())</f>
        <v>29</v>
      </c>
      <c r="N170" s="1" t="str">
        <f aca="false">VLOOKUP(K170,clasif_filas!$A$1:$J$39,4,FALSE())</f>
        <v>Cuero y productos de cuero; calzado</v>
      </c>
      <c r="O170" s="1" t="n">
        <f aca="false">VLOOKUP(K170,clasif_filas!$A$1:$J$39,5,FALSE())</f>
        <v>6</v>
      </c>
      <c r="P170" s="1" t="str">
        <f aca="false">VLOOKUP(K170,clasif_filas!$A$1:$J$39,6,FALSE())</f>
        <v>Conocimiento, procesos y servicios relacionados</v>
      </c>
      <c r="Q170" s="1" t="n">
        <f aca="false">VLOOKUP(K170,clasif_filas!$A$1:$J$39,7,FALSE())</f>
        <v>2</v>
      </c>
      <c r="R170" s="1" t="str">
        <f aca="false">VLOOKUP(K170,clasif_filas!$A$1:$J$39,8,FALSE())</f>
        <v>Productos alimenticios, bebidas y tabaco; textiles, prendas de vestir y productos de cuero</v>
      </c>
      <c r="S170" s="1" t="n">
        <f aca="false">VLOOKUP(K170,clasif_filas!$A$1:$J$39,9,FALSE())</f>
        <v>2</v>
      </c>
      <c r="T170" s="1" t="str">
        <f aca="false">VLOOKUP(K170,clasif_filas!$A$1:$J$39,10,FALSE())</f>
        <v>Bioeconomía extendida</v>
      </c>
      <c r="U170" s="61"/>
    </row>
    <row r="171" customFormat="false" ht="14.25" hidden="false" customHeight="false" outlineLevel="0" collapsed="false">
      <c r="A171" s="24" t="s">
        <v>603</v>
      </c>
      <c r="B171" s="9" t="s">
        <v>2079</v>
      </c>
      <c r="C171" s="9" t="str">
        <f aca="false">VLOOKUP(B171, AT_FILAS!$A$2:$C$8,2,FALSE())</f>
        <v>Consumo intermedio</v>
      </c>
      <c r="D171" s="9" t="str">
        <f aca="false">VLOOKUP(B171, AT_FILAS!$A$2:$C$8,3,FALSE())</f>
        <v>P2</v>
      </c>
      <c r="E171" s="9" t="s">
        <v>1893</v>
      </c>
      <c r="F171" s="9" t="s">
        <v>1894</v>
      </c>
      <c r="G171" s="9" t="s">
        <v>1895</v>
      </c>
      <c r="H171" s="9" t="n">
        <v>2</v>
      </c>
      <c r="I171" s="9" t="s">
        <v>1844</v>
      </c>
      <c r="J171" s="9" t="s">
        <v>1895</v>
      </c>
      <c r="K171" s="1" t="n">
        <v>31</v>
      </c>
      <c r="L171" s="1" t="str">
        <f aca="false">VLOOKUP(K171,clasif_filas!$A$1:$J$39,2,FALSE())</f>
        <v>Productos de materiales de madera, corcho, cestería y espartería</v>
      </c>
      <c r="M171" s="1" t="n">
        <f aca="false">VLOOKUP(K171,clasif_filas!$A$1:$J$39,3,FALSE())</f>
        <v>31</v>
      </c>
      <c r="N171" s="1" t="str">
        <f aca="false">VLOOKUP(K171,clasif_filas!$A$1:$J$39,4,FALSE())</f>
        <v>Productos de materiales de madera, corcho, cestería y espartería</v>
      </c>
      <c r="O171" s="1" t="n">
        <f aca="false">VLOOKUP(K171,clasif_filas!$A$1:$J$39,5,FALSE())</f>
        <v>6</v>
      </c>
      <c r="P171" s="1" t="str">
        <f aca="false">VLOOKUP(K171,clasif_filas!$A$1:$J$39,6,FALSE())</f>
        <v>Conocimiento, procesos y servicios relacionados</v>
      </c>
      <c r="Q171" s="1" t="n">
        <f aca="false">VLOOKUP(K171,clasif_filas!$A$1:$J$39,7,FALSE())</f>
        <v>3</v>
      </c>
      <c r="R171" s="1" t="str">
        <f aca="false">VLOOKUP(K171,clasif_filas!$A$1:$J$39,8,FALSE())</f>
        <v>Otros bienes transportables, excepto productos metálicos, maquinaria y equipo</v>
      </c>
      <c r="S171" s="1" t="n">
        <f aca="false">VLOOKUP(K171,clasif_filas!$A$1:$J$39,9,FALSE())</f>
        <v>1</v>
      </c>
      <c r="T171" s="1" t="str">
        <f aca="false">VLOOKUP(K171,clasif_filas!$A$1:$J$39,10,FALSE())</f>
        <v>Bioeconomía</v>
      </c>
      <c r="U171" s="61"/>
    </row>
    <row r="172" customFormat="false" ht="14.25" hidden="false" customHeight="false" outlineLevel="0" collapsed="false">
      <c r="A172" s="24" t="s">
        <v>605</v>
      </c>
      <c r="B172" s="9" t="s">
        <v>2079</v>
      </c>
      <c r="C172" s="9" t="str">
        <f aca="false">VLOOKUP(B172, AT_FILAS!$A$2:$C$8,2,FALSE())</f>
        <v>Consumo intermedio</v>
      </c>
      <c r="D172" s="9" t="str">
        <f aca="false">VLOOKUP(B172, AT_FILAS!$A$2:$C$8,3,FALSE())</f>
        <v>P2</v>
      </c>
      <c r="E172" s="9" t="s">
        <v>1896</v>
      </c>
      <c r="F172" s="9" t="s">
        <v>1897</v>
      </c>
      <c r="G172" s="9" t="s">
        <v>1898</v>
      </c>
      <c r="H172" s="9" t="n">
        <v>2</v>
      </c>
      <c r="I172" s="9" t="s">
        <v>1844</v>
      </c>
      <c r="J172" s="9" t="s">
        <v>1898</v>
      </c>
      <c r="K172" s="1" t="n">
        <v>32</v>
      </c>
      <c r="L172" s="1" t="str">
        <f aca="false">VLOOKUP(K172,clasif_filas!$A$1:$J$39,2,FALSE())</f>
        <v>Pulpa de papel, papel y productos de papel; impresos, y artículos similares</v>
      </c>
      <c r="M172" s="1" t="n">
        <f aca="false">VLOOKUP(K172,clasif_filas!$A$1:$J$39,3,FALSE())</f>
        <v>32</v>
      </c>
      <c r="N172" s="1" t="str">
        <f aca="false">VLOOKUP(K172,clasif_filas!$A$1:$J$39,4,FALSE())</f>
        <v>Pulpa de papel, papel y productos de papel; impresos, y artículos similares</v>
      </c>
      <c r="O172" s="1" t="n">
        <f aca="false">VLOOKUP(K172,clasif_filas!$A$1:$J$39,5,FALSE())</f>
        <v>6</v>
      </c>
      <c r="P172" s="1" t="str">
        <f aca="false">VLOOKUP(K172,clasif_filas!$A$1:$J$39,6,FALSE())</f>
        <v>Conocimiento, procesos y servicios relacionados</v>
      </c>
      <c r="Q172" s="1" t="n">
        <f aca="false">VLOOKUP(K172,clasif_filas!$A$1:$J$39,7,FALSE())</f>
        <v>3</v>
      </c>
      <c r="R172" s="1" t="str">
        <f aca="false">VLOOKUP(K172,clasif_filas!$A$1:$J$39,8,FALSE())</f>
        <v>Otros bienes transportables, excepto productos metálicos, maquinaria y equipo</v>
      </c>
      <c r="S172" s="1" t="n">
        <f aca="false">VLOOKUP(K172,clasif_filas!$A$1:$J$39,9,FALSE())</f>
        <v>1</v>
      </c>
      <c r="T172" s="1" t="str">
        <f aca="false">VLOOKUP(K172,clasif_filas!$A$1:$J$39,10,FALSE())</f>
        <v>Bioeconomía</v>
      </c>
      <c r="U172" s="61"/>
    </row>
    <row r="173" customFormat="false" ht="14.25" hidden="false" customHeight="false" outlineLevel="0" collapsed="false">
      <c r="A173" s="24" t="s">
        <v>607</v>
      </c>
      <c r="B173" s="9" t="s">
        <v>2079</v>
      </c>
      <c r="C173" s="9" t="str">
        <f aca="false">VLOOKUP(B173, AT_FILAS!$A$2:$C$8,2,FALSE())</f>
        <v>Consumo intermedio</v>
      </c>
      <c r="D173" s="9" t="str">
        <f aca="false">VLOOKUP(B173, AT_FILAS!$A$2:$C$8,3,FALSE())</f>
        <v>P2</v>
      </c>
      <c r="E173" s="9" t="s">
        <v>1899</v>
      </c>
      <c r="F173" s="9" t="s">
        <v>1900</v>
      </c>
      <c r="G173" s="9" t="s">
        <v>1898</v>
      </c>
      <c r="H173" s="9" t="n">
        <v>2</v>
      </c>
      <c r="I173" s="9" t="s">
        <v>1844</v>
      </c>
      <c r="J173" s="9" t="s">
        <v>1898</v>
      </c>
      <c r="K173" s="1" t="n">
        <v>32</v>
      </c>
      <c r="L173" s="1" t="str">
        <f aca="false">VLOOKUP(K173,clasif_filas!$A$1:$J$39,2,FALSE())</f>
        <v>Pulpa de papel, papel y productos de papel; impresos, y artículos similares</v>
      </c>
      <c r="M173" s="1" t="n">
        <f aca="false">VLOOKUP(K173,clasif_filas!$A$1:$J$39,3,FALSE())</f>
        <v>32</v>
      </c>
      <c r="N173" s="1" t="str">
        <f aca="false">VLOOKUP(K173,clasif_filas!$A$1:$J$39,4,FALSE())</f>
        <v>Pulpa de papel, papel y productos de papel; impresos, y artículos similares</v>
      </c>
      <c r="O173" s="1" t="n">
        <f aca="false">VLOOKUP(K173,clasif_filas!$A$1:$J$39,5,FALSE())</f>
        <v>6</v>
      </c>
      <c r="P173" s="1" t="str">
        <f aca="false">VLOOKUP(K173,clasif_filas!$A$1:$J$39,6,FALSE())</f>
        <v>Conocimiento, procesos y servicios relacionados</v>
      </c>
      <c r="Q173" s="1" t="n">
        <f aca="false">VLOOKUP(K173,clasif_filas!$A$1:$J$39,7,FALSE())</f>
        <v>3</v>
      </c>
      <c r="R173" s="1" t="str">
        <f aca="false">VLOOKUP(K173,clasif_filas!$A$1:$J$39,8,FALSE())</f>
        <v>Otros bienes transportables, excepto productos metálicos, maquinaria y equipo</v>
      </c>
      <c r="S173" s="1" t="n">
        <f aca="false">VLOOKUP(K173,clasif_filas!$A$1:$J$39,9,FALSE())</f>
        <v>1</v>
      </c>
      <c r="T173" s="1" t="str">
        <f aca="false">VLOOKUP(K173,clasif_filas!$A$1:$J$39,10,FALSE())</f>
        <v>Bioeconomía</v>
      </c>
      <c r="U173" s="61"/>
    </row>
    <row r="174" customFormat="false" ht="14.25" hidden="false" customHeight="false" outlineLevel="0" collapsed="false">
      <c r="A174" s="24" t="s">
        <v>609</v>
      </c>
      <c r="B174" s="9" t="s">
        <v>2079</v>
      </c>
      <c r="C174" s="9" t="str">
        <f aca="false">VLOOKUP(B174, AT_FILAS!$A$2:$C$8,2,FALSE())</f>
        <v>Consumo intermedio</v>
      </c>
      <c r="D174" s="9" t="str">
        <f aca="false">VLOOKUP(B174, AT_FILAS!$A$2:$C$8,3,FALSE())</f>
        <v>P2</v>
      </c>
      <c r="E174" s="9" t="s">
        <v>1901</v>
      </c>
      <c r="F174" s="9" t="s">
        <v>1902</v>
      </c>
      <c r="G174" s="9" t="s">
        <v>1903</v>
      </c>
      <c r="H174" s="9" t="n">
        <v>3</v>
      </c>
      <c r="I174" s="9" t="s">
        <v>1904</v>
      </c>
      <c r="J174" s="9" t="s">
        <v>1903</v>
      </c>
      <c r="K174" s="1" t="n">
        <v>32</v>
      </c>
      <c r="L174" s="1" t="str">
        <f aca="false">VLOOKUP(K174,clasif_filas!$A$1:$J$39,2,FALSE())</f>
        <v>Pulpa de papel, papel y productos de papel; impresos, y artículos similares</v>
      </c>
      <c r="M174" s="1" t="n">
        <f aca="false">VLOOKUP(K174,clasif_filas!$A$1:$J$39,3,FALSE())</f>
        <v>32</v>
      </c>
      <c r="N174" s="1" t="str">
        <f aca="false">VLOOKUP(K174,clasif_filas!$A$1:$J$39,4,FALSE())</f>
        <v>Pulpa de papel, papel y productos de papel; impresos, y artículos similares</v>
      </c>
      <c r="O174" s="1" t="n">
        <f aca="false">VLOOKUP(K174,clasif_filas!$A$1:$J$39,5,FALSE())</f>
        <v>6</v>
      </c>
      <c r="P174" s="1" t="str">
        <f aca="false">VLOOKUP(K174,clasif_filas!$A$1:$J$39,6,FALSE())</f>
        <v>Conocimiento, procesos y servicios relacionados</v>
      </c>
      <c r="Q174" s="1" t="n">
        <f aca="false">VLOOKUP(K174,clasif_filas!$A$1:$J$39,7,FALSE())</f>
        <v>3</v>
      </c>
      <c r="R174" s="1" t="str">
        <f aca="false">VLOOKUP(K174,clasif_filas!$A$1:$J$39,8,FALSE())</f>
        <v>Otros bienes transportables, excepto productos metálicos, maquinaria y equipo</v>
      </c>
      <c r="S174" s="1" t="n">
        <f aca="false">VLOOKUP(K174,clasif_filas!$A$1:$J$39,9,FALSE())</f>
        <v>1</v>
      </c>
      <c r="T174" s="1" t="str">
        <f aca="false">VLOOKUP(K174,clasif_filas!$A$1:$J$39,10,FALSE())</f>
        <v>Bioeconomía</v>
      </c>
      <c r="U174" s="61"/>
    </row>
    <row r="175" customFormat="false" ht="14.25" hidden="false" customHeight="false" outlineLevel="0" collapsed="false">
      <c r="A175" s="24" t="s">
        <v>611</v>
      </c>
      <c r="B175" s="9" t="s">
        <v>2079</v>
      </c>
      <c r="C175" s="9" t="str">
        <f aca="false">VLOOKUP(B175, AT_FILAS!$A$2:$C$8,2,FALSE())</f>
        <v>Consumo intermedio</v>
      </c>
      <c r="D175" s="9" t="str">
        <f aca="false">VLOOKUP(B175, AT_FILAS!$A$2:$C$8,3,FALSE())</f>
        <v>P2</v>
      </c>
      <c r="E175" s="9" t="s">
        <v>1905</v>
      </c>
      <c r="F175" s="9" t="s">
        <v>1906</v>
      </c>
      <c r="G175" s="9" t="s">
        <v>1750</v>
      </c>
      <c r="H175" s="9" t="n">
        <v>4</v>
      </c>
      <c r="I175" s="9" t="s">
        <v>1750</v>
      </c>
      <c r="J175" s="9" t="s">
        <v>1750</v>
      </c>
      <c r="K175" s="1" t="n">
        <v>11</v>
      </c>
      <c r="L175" s="1" t="str">
        <f aca="false">VLOOKUP(K175,clasif_filas!$A$1:$J$39,2,FALSE())</f>
        <v>Minerales, combustibles y derivados</v>
      </c>
      <c r="M175" s="1" t="n">
        <f aca="false">VLOOKUP(K175,clasif_filas!$A$1:$J$39,3,FALSE())</f>
        <v>11</v>
      </c>
      <c r="N175" s="1" t="str">
        <f aca="false">VLOOKUP(K175,clasif_filas!$A$1:$J$39,4,FALSE())</f>
        <v>Minerales, combustibles y derivados</v>
      </c>
      <c r="O175" s="1" t="n">
        <f aca="false">VLOOKUP(K175,clasif_filas!$A$1:$J$39,5,FALSE())</f>
        <v>99</v>
      </c>
      <c r="P175" s="1" t="str">
        <f aca="false">VLOOKUP(K175,clasif_filas!$A$1:$J$39,6,FALSE())</f>
        <v>No Bioeconomía</v>
      </c>
      <c r="Q175" s="1" t="n">
        <f aca="false">VLOOKUP(K175,clasif_filas!$A$1:$J$39,7,FALSE())</f>
        <v>1</v>
      </c>
      <c r="R175" s="1" t="str">
        <f aca="false">VLOOKUP(K175,clasif_filas!$A$1:$J$39,8,FALSE())</f>
        <v>Minerales; electricidad, gas y agua</v>
      </c>
      <c r="S175" s="1" t="n">
        <f aca="false">VLOOKUP(K175,clasif_filas!$A$1:$J$39,9,FALSE())</f>
        <v>3</v>
      </c>
      <c r="T175" s="1" t="str">
        <f aca="false">VLOOKUP(K175,clasif_filas!$A$1:$J$39,10,FALSE())</f>
        <v>No bioeconomía</v>
      </c>
      <c r="U175" s="61"/>
    </row>
    <row r="176" customFormat="false" ht="14.25" hidden="false" customHeight="false" outlineLevel="0" collapsed="false">
      <c r="A176" s="24" t="s">
        <v>613</v>
      </c>
      <c r="B176" s="9" t="s">
        <v>2079</v>
      </c>
      <c r="C176" s="9" t="str">
        <f aca="false">VLOOKUP(B176, AT_FILAS!$A$2:$C$8,2,FALSE())</f>
        <v>Consumo intermedio</v>
      </c>
      <c r="D176" s="9" t="str">
        <f aca="false">VLOOKUP(B176, AT_FILAS!$A$2:$C$8,3,FALSE())</f>
        <v>P2</v>
      </c>
      <c r="E176" s="9" t="s">
        <v>1907</v>
      </c>
      <c r="F176" s="9" t="s">
        <v>1908</v>
      </c>
      <c r="G176" s="9" t="s">
        <v>1750</v>
      </c>
      <c r="H176" s="9" t="n">
        <v>4</v>
      </c>
      <c r="I176" s="9" t="s">
        <v>1750</v>
      </c>
      <c r="J176" s="9" t="s">
        <v>1750</v>
      </c>
      <c r="K176" s="1" t="n">
        <v>11</v>
      </c>
      <c r="L176" s="1" t="str">
        <f aca="false">VLOOKUP(K176,clasif_filas!$A$1:$J$39,2,FALSE())</f>
        <v>Minerales, combustibles y derivados</v>
      </c>
      <c r="M176" s="1" t="n">
        <f aca="false">VLOOKUP(K176,clasif_filas!$A$1:$J$39,3,FALSE())</f>
        <v>11</v>
      </c>
      <c r="N176" s="1" t="str">
        <f aca="false">VLOOKUP(K176,clasif_filas!$A$1:$J$39,4,FALSE())</f>
        <v>Minerales, combustibles y derivados</v>
      </c>
      <c r="O176" s="1" t="n">
        <f aca="false">VLOOKUP(K176,clasif_filas!$A$1:$J$39,5,FALSE())</f>
        <v>99</v>
      </c>
      <c r="P176" s="1" t="str">
        <f aca="false">VLOOKUP(K176,clasif_filas!$A$1:$J$39,6,FALSE())</f>
        <v>No Bioeconomía</v>
      </c>
      <c r="Q176" s="1" t="n">
        <f aca="false">VLOOKUP(K176,clasif_filas!$A$1:$J$39,7,FALSE())</f>
        <v>1</v>
      </c>
      <c r="R176" s="1" t="str">
        <f aca="false">VLOOKUP(K176,clasif_filas!$A$1:$J$39,8,FALSE())</f>
        <v>Minerales; electricidad, gas y agua</v>
      </c>
      <c r="S176" s="1" t="n">
        <f aca="false">VLOOKUP(K176,clasif_filas!$A$1:$J$39,9,FALSE())</f>
        <v>3</v>
      </c>
      <c r="T176" s="1" t="str">
        <f aca="false">VLOOKUP(K176,clasif_filas!$A$1:$J$39,10,FALSE())</f>
        <v>No bioeconomía</v>
      </c>
      <c r="U176" s="61"/>
    </row>
    <row r="177" customFormat="false" ht="14.25" hidden="false" customHeight="false" outlineLevel="0" collapsed="false">
      <c r="A177" s="24" t="s">
        <v>615</v>
      </c>
      <c r="B177" s="9" t="s">
        <v>2079</v>
      </c>
      <c r="C177" s="9" t="str">
        <f aca="false">VLOOKUP(B177, AT_FILAS!$A$2:$C$8,2,FALSE())</f>
        <v>Consumo intermedio</v>
      </c>
      <c r="D177" s="9" t="str">
        <f aca="false">VLOOKUP(B177, AT_FILAS!$A$2:$C$8,3,FALSE())</f>
        <v>P2</v>
      </c>
      <c r="E177" s="9" t="s">
        <v>1909</v>
      </c>
      <c r="F177" s="9" t="s">
        <v>1910</v>
      </c>
      <c r="G177" s="9" t="s">
        <v>1750</v>
      </c>
      <c r="H177" s="9" t="n">
        <v>4</v>
      </c>
      <c r="I177" s="9" t="s">
        <v>1750</v>
      </c>
      <c r="J177" s="9" t="s">
        <v>1750</v>
      </c>
      <c r="K177" s="1" t="n">
        <v>11</v>
      </c>
      <c r="L177" s="1" t="str">
        <f aca="false">VLOOKUP(K177,clasif_filas!$A$1:$J$39,2,FALSE())</f>
        <v>Minerales, combustibles y derivados</v>
      </c>
      <c r="M177" s="1" t="n">
        <f aca="false">VLOOKUP(K177,clasif_filas!$A$1:$J$39,3,FALSE())</f>
        <v>11</v>
      </c>
      <c r="N177" s="1" t="str">
        <f aca="false">VLOOKUP(K177,clasif_filas!$A$1:$J$39,4,FALSE())</f>
        <v>Minerales, combustibles y derivados</v>
      </c>
      <c r="O177" s="1" t="n">
        <f aca="false">VLOOKUP(K177,clasif_filas!$A$1:$J$39,5,FALSE())</f>
        <v>99</v>
      </c>
      <c r="P177" s="1" t="str">
        <f aca="false">VLOOKUP(K177,clasif_filas!$A$1:$J$39,6,FALSE())</f>
        <v>No Bioeconomía</v>
      </c>
      <c r="Q177" s="1" t="n">
        <f aca="false">VLOOKUP(K177,clasif_filas!$A$1:$J$39,7,FALSE())</f>
        <v>1</v>
      </c>
      <c r="R177" s="1" t="str">
        <f aca="false">VLOOKUP(K177,clasif_filas!$A$1:$J$39,8,FALSE())</f>
        <v>Minerales; electricidad, gas y agua</v>
      </c>
      <c r="S177" s="1" t="n">
        <f aca="false">VLOOKUP(K177,clasif_filas!$A$1:$J$39,9,FALSE())</f>
        <v>3</v>
      </c>
      <c r="T177" s="1" t="str">
        <f aca="false">VLOOKUP(K177,clasif_filas!$A$1:$J$39,10,FALSE())</f>
        <v>No bioeconomía</v>
      </c>
      <c r="U177" s="61"/>
    </row>
    <row r="178" customFormat="false" ht="14.25" hidden="false" customHeight="false" outlineLevel="0" collapsed="false">
      <c r="A178" s="24" t="s">
        <v>617</v>
      </c>
      <c r="B178" s="9" t="s">
        <v>2079</v>
      </c>
      <c r="C178" s="9" t="str">
        <f aca="false">VLOOKUP(B178, AT_FILAS!$A$2:$C$8,2,FALSE())</f>
        <v>Consumo intermedio</v>
      </c>
      <c r="D178" s="9" t="str">
        <f aca="false">VLOOKUP(B178, AT_FILAS!$A$2:$C$8,3,FALSE())</f>
        <v>P2</v>
      </c>
      <c r="E178" s="9" t="s">
        <v>1911</v>
      </c>
      <c r="F178" s="9" t="s">
        <v>1912</v>
      </c>
      <c r="G178" s="9" t="s">
        <v>1750</v>
      </c>
      <c r="H178" s="9" t="n">
        <v>4</v>
      </c>
      <c r="I178" s="9" t="s">
        <v>1750</v>
      </c>
      <c r="J178" s="9" t="s">
        <v>1750</v>
      </c>
      <c r="K178" s="1" t="n">
        <v>11</v>
      </c>
      <c r="L178" s="1" t="str">
        <f aca="false">VLOOKUP(K178,clasif_filas!$A$1:$J$39,2,FALSE())</f>
        <v>Minerales, combustibles y derivados</v>
      </c>
      <c r="M178" s="1" t="n">
        <f aca="false">VLOOKUP(K178,clasif_filas!$A$1:$J$39,3,FALSE())</f>
        <v>11</v>
      </c>
      <c r="N178" s="1" t="str">
        <f aca="false">VLOOKUP(K178,clasif_filas!$A$1:$J$39,4,FALSE())</f>
        <v>Minerales, combustibles y derivados</v>
      </c>
      <c r="O178" s="1" t="n">
        <f aca="false">VLOOKUP(K178,clasif_filas!$A$1:$J$39,5,FALSE())</f>
        <v>99</v>
      </c>
      <c r="P178" s="1" t="str">
        <f aca="false">VLOOKUP(K178,clasif_filas!$A$1:$J$39,6,FALSE())</f>
        <v>No Bioeconomía</v>
      </c>
      <c r="Q178" s="1" t="n">
        <f aca="false">VLOOKUP(K178,clasif_filas!$A$1:$J$39,7,FALSE())</f>
        <v>1</v>
      </c>
      <c r="R178" s="1" t="str">
        <f aca="false">VLOOKUP(K178,clasif_filas!$A$1:$J$39,8,FALSE())</f>
        <v>Minerales; electricidad, gas y agua</v>
      </c>
      <c r="S178" s="1" t="n">
        <f aca="false">VLOOKUP(K178,clasif_filas!$A$1:$J$39,9,FALSE())</f>
        <v>3</v>
      </c>
      <c r="T178" s="1" t="str">
        <f aca="false">VLOOKUP(K178,clasif_filas!$A$1:$J$39,10,FALSE())</f>
        <v>No bioeconomía</v>
      </c>
      <c r="U178" s="61"/>
    </row>
    <row r="179" customFormat="false" ht="14.25" hidden="false" customHeight="false" outlineLevel="0" collapsed="false">
      <c r="A179" s="24" t="s">
        <v>619</v>
      </c>
      <c r="B179" s="9" t="s">
        <v>2079</v>
      </c>
      <c r="C179" s="9" t="str">
        <f aca="false">VLOOKUP(B179, AT_FILAS!$A$2:$C$8,2,FALSE())</f>
        <v>Consumo intermedio</v>
      </c>
      <c r="D179" s="9" t="str">
        <f aca="false">VLOOKUP(B179, AT_FILAS!$A$2:$C$8,3,FALSE())</f>
        <v>P2</v>
      </c>
      <c r="E179" s="9" t="s">
        <v>1913</v>
      </c>
      <c r="F179" s="9" t="s">
        <v>1914</v>
      </c>
      <c r="G179" s="9" t="s">
        <v>1915</v>
      </c>
      <c r="H179" s="9" t="n">
        <v>3</v>
      </c>
      <c r="I179" s="9" t="s">
        <v>1904</v>
      </c>
      <c r="J179" s="9" t="s">
        <v>1915</v>
      </c>
      <c r="K179" s="1" t="n">
        <v>23</v>
      </c>
      <c r="L179" s="1" t="str">
        <f aca="false">VLOOKUP(K179,clasif_filas!$A$1:$J$39,2,FALSE())</f>
        <v>Productos de molienda, productos con almidón o maicena; otros productos de alimenticios</v>
      </c>
      <c r="M179" s="1" t="n">
        <f aca="false">VLOOKUP(K179,clasif_filas!$A$1:$J$39,3,FALSE())</f>
        <v>23</v>
      </c>
      <c r="N179" s="1" t="str">
        <f aca="false">VLOOKUP(K179,clasif_filas!$A$1:$J$39,4,FALSE())</f>
        <v>Productos de molienda, productos con almidón o maicena; otros productos de alimenticios</v>
      </c>
      <c r="O179" s="1" t="n">
        <f aca="false">VLOOKUP(K179,clasif_filas!$A$1:$J$39,5,FALSE())</f>
        <v>6</v>
      </c>
      <c r="P179" s="1" t="str">
        <f aca="false">VLOOKUP(K179,clasif_filas!$A$1:$J$39,6,FALSE())</f>
        <v>Conocimiento, procesos y servicios relacionados</v>
      </c>
      <c r="Q179" s="1" t="n">
        <f aca="false">VLOOKUP(K179,clasif_filas!$A$1:$J$39,7,FALSE())</f>
        <v>2</v>
      </c>
      <c r="R179" s="1" t="str">
        <f aca="false">VLOOKUP(K179,clasif_filas!$A$1:$J$39,8,FALSE())</f>
        <v>Productos alimenticios, bebidas y tabaco; textiles, prendas de vestir y productos de cuero</v>
      </c>
      <c r="S179" s="1" t="n">
        <f aca="false">VLOOKUP(K179,clasif_filas!$A$1:$J$39,9,FALSE())</f>
        <v>1</v>
      </c>
      <c r="T179" s="1" t="str">
        <f aca="false">VLOOKUP(K179,clasif_filas!$A$1:$J$39,10,FALSE())</f>
        <v>Bioeconomía</v>
      </c>
      <c r="U179" s="61"/>
    </row>
    <row r="180" customFormat="false" ht="14.25" hidden="false" customHeight="false" outlineLevel="0" collapsed="false">
      <c r="A180" s="24" t="s">
        <v>621</v>
      </c>
      <c r="B180" s="9" t="s">
        <v>2079</v>
      </c>
      <c r="C180" s="9" t="str">
        <f aca="false">VLOOKUP(B180, AT_FILAS!$A$2:$C$8,2,FALSE())</f>
        <v>Consumo intermedio</v>
      </c>
      <c r="D180" s="9" t="str">
        <f aca="false">VLOOKUP(B180, AT_FILAS!$A$2:$C$8,3,FALSE())</f>
        <v>P2</v>
      </c>
      <c r="E180" s="9" t="s">
        <v>1916</v>
      </c>
      <c r="F180" s="9" t="s">
        <v>1917</v>
      </c>
      <c r="G180" s="9" t="s">
        <v>1750</v>
      </c>
      <c r="H180" s="9" t="n">
        <v>4</v>
      </c>
      <c r="I180" s="9" t="s">
        <v>1750</v>
      </c>
      <c r="J180" s="9" t="s">
        <v>1750</v>
      </c>
      <c r="K180" s="1" t="n">
        <v>11</v>
      </c>
      <c r="L180" s="1" t="str">
        <f aca="false">VLOOKUP(K180,clasif_filas!$A$1:$J$39,2,FALSE())</f>
        <v>Minerales, combustibles y derivados</v>
      </c>
      <c r="M180" s="1" t="n">
        <f aca="false">VLOOKUP(K180,clasif_filas!$A$1:$J$39,3,FALSE())</f>
        <v>11</v>
      </c>
      <c r="N180" s="1" t="str">
        <f aca="false">VLOOKUP(K180,clasif_filas!$A$1:$J$39,4,FALSE())</f>
        <v>Minerales, combustibles y derivados</v>
      </c>
      <c r="O180" s="1" t="n">
        <f aca="false">VLOOKUP(K180,clasif_filas!$A$1:$J$39,5,FALSE())</f>
        <v>99</v>
      </c>
      <c r="P180" s="1" t="str">
        <f aca="false">VLOOKUP(K180,clasif_filas!$A$1:$J$39,6,FALSE())</f>
        <v>No Bioeconomía</v>
      </c>
      <c r="Q180" s="1" t="n">
        <f aca="false">VLOOKUP(K180,clasif_filas!$A$1:$J$39,7,FALSE())</f>
        <v>1</v>
      </c>
      <c r="R180" s="1" t="str">
        <f aca="false">VLOOKUP(K180,clasif_filas!$A$1:$J$39,8,FALSE())</f>
        <v>Minerales; electricidad, gas y agua</v>
      </c>
      <c r="S180" s="1" t="n">
        <f aca="false">VLOOKUP(K180,clasif_filas!$A$1:$J$39,9,FALSE())</f>
        <v>3</v>
      </c>
      <c r="T180" s="1" t="str">
        <f aca="false">VLOOKUP(K180,clasif_filas!$A$1:$J$39,10,FALSE())</f>
        <v>No bioeconomía</v>
      </c>
      <c r="U180" s="61"/>
    </row>
    <row r="181" customFormat="false" ht="14.25" hidden="false" customHeight="false" outlineLevel="0" collapsed="false">
      <c r="A181" s="24" t="s">
        <v>623</v>
      </c>
      <c r="B181" s="9" t="s">
        <v>2079</v>
      </c>
      <c r="C181" s="9" t="str">
        <f aca="false">VLOOKUP(B181, AT_FILAS!$A$2:$C$8,2,FALSE())</f>
        <v>Consumo intermedio</v>
      </c>
      <c r="D181" s="9" t="str">
        <f aca="false">VLOOKUP(B181, AT_FILAS!$A$2:$C$8,3,FALSE())</f>
        <v>P2</v>
      </c>
      <c r="E181" s="9" t="s">
        <v>1918</v>
      </c>
      <c r="F181" s="9" t="s">
        <v>1919</v>
      </c>
      <c r="G181" s="9" t="s">
        <v>1915</v>
      </c>
      <c r="H181" s="9" t="n">
        <v>3</v>
      </c>
      <c r="I181" s="9" t="s">
        <v>1904</v>
      </c>
      <c r="J181" s="9" t="s">
        <v>1915</v>
      </c>
      <c r="K181" s="1" t="n">
        <v>23</v>
      </c>
      <c r="L181" s="1" t="str">
        <f aca="false">VLOOKUP(K181,clasif_filas!$A$1:$J$39,2,FALSE())</f>
        <v>Productos de molienda, productos con almidón o maicena; otros productos de alimenticios</v>
      </c>
      <c r="M181" s="1" t="n">
        <f aca="false">VLOOKUP(K181,clasif_filas!$A$1:$J$39,3,FALSE())</f>
        <v>23</v>
      </c>
      <c r="N181" s="1" t="str">
        <f aca="false">VLOOKUP(K181,clasif_filas!$A$1:$J$39,4,FALSE())</f>
        <v>Productos de molienda, productos con almidón o maicena; otros productos de alimenticios</v>
      </c>
      <c r="O181" s="1" t="n">
        <f aca="false">VLOOKUP(K181,clasif_filas!$A$1:$J$39,5,FALSE())</f>
        <v>6</v>
      </c>
      <c r="P181" s="1" t="str">
        <f aca="false">VLOOKUP(K181,clasif_filas!$A$1:$J$39,6,FALSE())</f>
        <v>Conocimiento, procesos y servicios relacionados</v>
      </c>
      <c r="Q181" s="1" t="n">
        <f aca="false">VLOOKUP(K181,clasif_filas!$A$1:$J$39,7,FALSE())</f>
        <v>2</v>
      </c>
      <c r="R181" s="1" t="str">
        <f aca="false">VLOOKUP(K181,clasif_filas!$A$1:$J$39,8,FALSE())</f>
        <v>Productos alimenticios, bebidas y tabaco; textiles, prendas de vestir y productos de cuero</v>
      </c>
      <c r="S181" s="1" t="n">
        <f aca="false">VLOOKUP(K181,clasif_filas!$A$1:$J$39,9,FALSE())</f>
        <v>1</v>
      </c>
      <c r="T181" s="1" t="str">
        <f aca="false">VLOOKUP(K181,clasif_filas!$A$1:$J$39,10,FALSE())</f>
        <v>Bioeconomía</v>
      </c>
      <c r="U181" s="61"/>
    </row>
    <row r="182" customFormat="false" ht="14.25" hidden="false" customHeight="false" outlineLevel="0" collapsed="false">
      <c r="A182" s="24" t="s">
        <v>625</v>
      </c>
      <c r="B182" s="9" t="s">
        <v>2079</v>
      </c>
      <c r="C182" s="9" t="str">
        <f aca="false">VLOOKUP(B182, AT_FILAS!$A$2:$C$8,2,FALSE())</f>
        <v>Consumo intermedio</v>
      </c>
      <c r="D182" s="9" t="str">
        <f aca="false">VLOOKUP(B182, AT_FILAS!$A$2:$C$8,3,FALSE())</f>
        <v>P2</v>
      </c>
      <c r="E182" s="9" t="s">
        <v>1920</v>
      </c>
      <c r="F182" s="9" t="s">
        <v>1921</v>
      </c>
      <c r="G182" s="9" t="s">
        <v>1750</v>
      </c>
      <c r="H182" s="9" t="n">
        <v>4</v>
      </c>
      <c r="I182" s="9" t="s">
        <v>1750</v>
      </c>
      <c r="J182" s="9" t="s">
        <v>1750</v>
      </c>
      <c r="K182" s="1" t="n">
        <v>342</v>
      </c>
      <c r="L182" s="1" t="str">
        <f aca="false">VLOOKUP(K182,clasif_filas!$A$1:$J$39,2,FALSE())</f>
        <v>Otros químicos, plásticos, caucho y fibras sintéticas</v>
      </c>
      <c r="M182" s="1" t="n">
        <f aca="false">VLOOKUP(K182,clasif_filas!$A$1:$J$39,3,FALSE())</f>
        <v>34</v>
      </c>
      <c r="N182" s="1" t="str">
        <f aca="false">VLOOKUP(K182,clasif_filas!$A$1:$J$39,4,FALSE())</f>
        <v>Químicos básicos</v>
      </c>
      <c r="O182" s="1" t="n">
        <f aca="false">VLOOKUP(K182,clasif_filas!$A$1:$J$39,5,FALSE())</f>
        <v>99</v>
      </c>
      <c r="P182" s="1" t="str">
        <f aca="false">VLOOKUP(K182,clasif_filas!$A$1:$J$39,6,FALSE())</f>
        <v>No Bioeconomía</v>
      </c>
      <c r="Q182" s="1" t="n">
        <f aca="false">VLOOKUP(K182,clasif_filas!$A$1:$J$39,7,FALSE())</f>
        <v>3</v>
      </c>
      <c r="R182" s="1" t="str">
        <f aca="false">VLOOKUP(K182,clasif_filas!$A$1:$J$39,8,FALSE())</f>
        <v>Otros bienes transportables, excepto productos metálicos, maquinaria y equipo</v>
      </c>
      <c r="S182" s="1" t="n">
        <f aca="false">VLOOKUP(K182,clasif_filas!$A$1:$J$39,9,FALSE())</f>
        <v>3</v>
      </c>
      <c r="T182" s="1" t="str">
        <f aca="false">VLOOKUP(K182,clasif_filas!$A$1:$J$39,10,FALSE())</f>
        <v>No bioeconomía</v>
      </c>
      <c r="U182" s="61"/>
    </row>
    <row r="183" customFormat="false" ht="14.25" hidden="false" customHeight="false" outlineLevel="0" collapsed="false">
      <c r="A183" s="24" t="s">
        <v>627</v>
      </c>
      <c r="B183" s="9" t="s">
        <v>2079</v>
      </c>
      <c r="C183" s="9" t="str">
        <f aca="false">VLOOKUP(B183, AT_FILAS!$A$2:$C$8,2,FALSE())</f>
        <v>Consumo intermedio</v>
      </c>
      <c r="D183" s="9" t="str">
        <f aca="false">VLOOKUP(B183, AT_FILAS!$A$2:$C$8,3,FALSE())</f>
        <v>P2</v>
      </c>
      <c r="E183" s="9" t="s">
        <v>1922</v>
      </c>
      <c r="F183" s="9" t="s">
        <v>1923</v>
      </c>
      <c r="G183" s="9" t="s">
        <v>1924</v>
      </c>
      <c r="H183" s="9" t="n">
        <v>3</v>
      </c>
      <c r="I183" s="9" t="s">
        <v>1904</v>
      </c>
      <c r="J183" s="9" t="s">
        <v>1924</v>
      </c>
      <c r="K183" s="1" t="n">
        <v>346</v>
      </c>
      <c r="L183" s="1" t="str">
        <f aca="false">VLOOKUP(K183,clasif_filas!$A$1:$J$39,2,FALSE())</f>
        <v>Fertilizantes y pesticidas</v>
      </c>
      <c r="M183" s="1" t="n">
        <f aca="false">VLOOKUP(K183,clasif_filas!$A$1:$J$39,3,FALSE())</f>
        <v>34</v>
      </c>
      <c r="N183" s="1" t="str">
        <f aca="false">VLOOKUP(K183,clasif_filas!$A$1:$J$39,4,FALSE())</f>
        <v>Químicos básicos</v>
      </c>
      <c r="O183" s="1" t="n">
        <f aca="false">VLOOKUP(K183,clasif_filas!$A$1:$J$39,5,FALSE())</f>
        <v>6</v>
      </c>
      <c r="P183" s="1" t="str">
        <f aca="false">VLOOKUP(K183,clasif_filas!$A$1:$J$39,6,FALSE())</f>
        <v>Conocimiento, procesos y servicios relacionados</v>
      </c>
      <c r="Q183" s="1" t="n">
        <f aca="false">VLOOKUP(K183,clasif_filas!$A$1:$J$39,7,FALSE())</f>
        <v>3</v>
      </c>
      <c r="R183" s="1" t="str">
        <f aca="false">VLOOKUP(K183,clasif_filas!$A$1:$J$39,8,FALSE())</f>
        <v>Otros bienes transportables, excepto productos metálicos, maquinaria y equipo</v>
      </c>
      <c r="S183" s="1" t="n">
        <f aca="false">VLOOKUP(K183,clasif_filas!$A$1:$J$39,9,FALSE())</f>
        <v>2</v>
      </c>
      <c r="T183" s="1" t="str">
        <f aca="false">VLOOKUP(K183,clasif_filas!$A$1:$J$39,10,FALSE())</f>
        <v>Bioeconomía extendida</v>
      </c>
      <c r="U183" s="61"/>
    </row>
    <row r="184" customFormat="false" ht="14.25" hidden="false" customHeight="false" outlineLevel="0" collapsed="false">
      <c r="A184" s="24" t="s">
        <v>629</v>
      </c>
      <c r="B184" s="9" t="s">
        <v>2079</v>
      </c>
      <c r="C184" s="9" t="str">
        <f aca="false">VLOOKUP(B184, AT_FILAS!$A$2:$C$8,2,FALSE())</f>
        <v>Consumo intermedio</v>
      </c>
      <c r="D184" s="9" t="str">
        <f aca="false">VLOOKUP(B184, AT_FILAS!$A$2:$C$8,3,FALSE())</f>
        <v>P2</v>
      </c>
      <c r="E184" s="9" t="s">
        <v>1925</v>
      </c>
      <c r="F184" s="9" t="s">
        <v>1926</v>
      </c>
      <c r="G184" s="25" t="s">
        <v>1927</v>
      </c>
      <c r="H184" s="9" t="n">
        <v>3</v>
      </c>
      <c r="I184" s="9" t="s">
        <v>1904</v>
      </c>
      <c r="J184" s="25" t="s">
        <v>1927</v>
      </c>
      <c r="K184" s="1" t="n">
        <v>341</v>
      </c>
      <c r="L184" s="1" t="str">
        <f aca="false">VLOOKUP(K184,clasif_filas!$A$1:$J$39,2,FALSE())</f>
        <v>Químicos orgánicos básicos</v>
      </c>
      <c r="M184" s="1" t="n">
        <f aca="false">VLOOKUP(K184,clasif_filas!$A$1:$J$39,3,FALSE())</f>
        <v>34</v>
      </c>
      <c r="N184" s="1" t="str">
        <f aca="false">VLOOKUP(K184,clasif_filas!$A$1:$J$39,4,FALSE())</f>
        <v>Químicos básicos</v>
      </c>
      <c r="O184" s="1" t="n">
        <f aca="false">VLOOKUP(K184,clasif_filas!$A$1:$J$39,5,FALSE())</f>
        <v>6</v>
      </c>
      <c r="P184" s="1" t="str">
        <f aca="false">VLOOKUP(K184,clasif_filas!$A$1:$J$39,6,FALSE())</f>
        <v>Conocimiento, procesos y servicios relacionados</v>
      </c>
      <c r="Q184" s="1" t="n">
        <f aca="false">VLOOKUP(K184,clasif_filas!$A$1:$J$39,7,FALSE())</f>
        <v>3</v>
      </c>
      <c r="R184" s="1" t="str">
        <f aca="false">VLOOKUP(K184,clasif_filas!$A$1:$J$39,8,FALSE())</f>
        <v>Otros bienes transportables, excepto productos metálicos, maquinaria y equipo</v>
      </c>
      <c r="S184" s="1" t="n">
        <f aca="false">VLOOKUP(K184,clasif_filas!$A$1:$J$39,9,FALSE())</f>
        <v>2</v>
      </c>
      <c r="T184" s="1" t="str">
        <f aca="false">VLOOKUP(K184,clasif_filas!$A$1:$J$39,10,FALSE())</f>
        <v>Bioeconomía extendida</v>
      </c>
      <c r="U184" s="61"/>
    </row>
    <row r="185" customFormat="false" ht="14.25" hidden="false" customHeight="false" outlineLevel="0" collapsed="false">
      <c r="A185" s="24" t="s">
        <v>631</v>
      </c>
      <c r="B185" s="9" t="s">
        <v>2079</v>
      </c>
      <c r="C185" s="9" t="str">
        <f aca="false">VLOOKUP(B185, AT_FILAS!$A$2:$C$8,2,FALSE())</f>
        <v>Consumo intermedio</v>
      </c>
      <c r="D185" s="9" t="str">
        <f aca="false">VLOOKUP(B185, AT_FILAS!$A$2:$C$8,3,FALSE())</f>
        <v>P2</v>
      </c>
      <c r="E185" s="9" t="s">
        <v>1928</v>
      </c>
      <c r="F185" s="9" t="s">
        <v>1929</v>
      </c>
      <c r="G185" s="9" t="s">
        <v>1750</v>
      </c>
      <c r="H185" s="9" t="n">
        <v>4</v>
      </c>
      <c r="I185" s="9" t="s">
        <v>1750</v>
      </c>
      <c r="J185" s="9" t="s">
        <v>1750</v>
      </c>
      <c r="K185" s="1" t="n">
        <v>342</v>
      </c>
      <c r="L185" s="1" t="str">
        <f aca="false">VLOOKUP(K185,clasif_filas!$A$1:$J$39,2,FALSE())</f>
        <v>Otros químicos, plásticos, caucho y fibras sintéticas</v>
      </c>
      <c r="M185" s="1" t="n">
        <f aca="false">VLOOKUP(K185,clasif_filas!$A$1:$J$39,3,FALSE())</f>
        <v>34</v>
      </c>
      <c r="N185" s="1" t="str">
        <f aca="false">VLOOKUP(K185,clasif_filas!$A$1:$J$39,4,FALSE())</f>
        <v>Químicos básicos</v>
      </c>
      <c r="O185" s="1" t="n">
        <f aca="false">VLOOKUP(K185,clasif_filas!$A$1:$J$39,5,FALSE())</f>
        <v>99</v>
      </c>
      <c r="P185" s="1" t="str">
        <f aca="false">VLOOKUP(K185,clasif_filas!$A$1:$J$39,6,FALSE())</f>
        <v>No Bioeconomía</v>
      </c>
      <c r="Q185" s="1" t="n">
        <f aca="false">VLOOKUP(K185,clasif_filas!$A$1:$J$39,7,FALSE())</f>
        <v>3</v>
      </c>
      <c r="R185" s="1" t="str">
        <f aca="false">VLOOKUP(K185,clasif_filas!$A$1:$J$39,8,FALSE())</f>
        <v>Otros bienes transportables, excepto productos metálicos, maquinaria y equipo</v>
      </c>
      <c r="S185" s="1" t="n">
        <f aca="false">VLOOKUP(K185,clasif_filas!$A$1:$J$39,9,FALSE())</f>
        <v>3</v>
      </c>
      <c r="T185" s="1" t="str">
        <f aca="false">VLOOKUP(K185,clasif_filas!$A$1:$J$39,10,FALSE())</f>
        <v>No bioeconomía</v>
      </c>
      <c r="U185" s="61"/>
    </row>
    <row r="186" customFormat="false" ht="14.25" hidden="false" customHeight="false" outlineLevel="0" collapsed="false">
      <c r="A186" s="24" t="s">
        <v>633</v>
      </c>
      <c r="B186" s="9" t="s">
        <v>2079</v>
      </c>
      <c r="C186" s="9" t="str">
        <f aca="false">VLOOKUP(B186, AT_FILAS!$A$2:$C$8,2,FALSE())</f>
        <v>Consumo intermedio</v>
      </c>
      <c r="D186" s="9" t="str">
        <f aca="false">VLOOKUP(B186, AT_FILAS!$A$2:$C$8,3,FALSE())</f>
        <v>P2</v>
      </c>
      <c r="E186" s="9" t="s">
        <v>1930</v>
      </c>
      <c r="F186" s="9" t="s">
        <v>1931</v>
      </c>
      <c r="G186" s="9" t="s">
        <v>1924</v>
      </c>
      <c r="H186" s="9" t="n">
        <v>3</v>
      </c>
      <c r="I186" s="9" t="s">
        <v>1904</v>
      </c>
      <c r="J186" s="9" t="s">
        <v>1924</v>
      </c>
      <c r="K186" s="1" t="n">
        <v>346</v>
      </c>
      <c r="L186" s="1" t="str">
        <f aca="false">VLOOKUP(K186,clasif_filas!$A$1:$J$39,2,FALSE())</f>
        <v>Fertilizantes y pesticidas</v>
      </c>
      <c r="M186" s="1" t="n">
        <f aca="false">VLOOKUP(K186,clasif_filas!$A$1:$J$39,3,FALSE())</f>
        <v>34</v>
      </c>
      <c r="N186" s="1" t="str">
        <f aca="false">VLOOKUP(K186,clasif_filas!$A$1:$J$39,4,FALSE())</f>
        <v>Químicos básicos</v>
      </c>
      <c r="O186" s="1" t="n">
        <f aca="false">VLOOKUP(K186,clasif_filas!$A$1:$J$39,5,FALSE())</f>
        <v>6</v>
      </c>
      <c r="P186" s="1" t="str">
        <f aca="false">VLOOKUP(K186,clasif_filas!$A$1:$J$39,6,FALSE())</f>
        <v>Conocimiento, procesos y servicios relacionados</v>
      </c>
      <c r="Q186" s="1" t="n">
        <f aca="false">VLOOKUP(K186,clasif_filas!$A$1:$J$39,7,FALSE())</f>
        <v>3</v>
      </c>
      <c r="R186" s="1" t="str">
        <f aca="false">VLOOKUP(K186,clasif_filas!$A$1:$J$39,8,FALSE())</f>
        <v>Otros bienes transportables, excepto productos metálicos, maquinaria y equipo</v>
      </c>
      <c r="S186" s="1" t="n">
        <f aca="false">VLOOKUP(K186,clasif_filas!$A$1:$J$39,9,FALSE())</f>
        <v>2</v>
      </c>
      <c r="T186" s="1" t="str">
        <f aca="false">VLOOKUP(K186,clasif_filas!$A$1:$J$39,10,FALSE())</f>
        <v>Bioeconomía extendida</v>
      </c>
      <c r="U186" s="61"/>
    </row>
    <row r="187" customFormat="false" ht="14.25" hidden="false" customHeight="false" outlineLevel="0" collapsed="false">
      <c r="A187" s="24" t="s">
        <v>635</v>
      </c>
      <c r="B187" s="9" t="s">
        <v>2079</v>
      </c>
      <c r="C187" s="9" t="str">
        <f aca="false">VLOOKUP(B187, AT_FILAS!$A$2:$C$8,2,FALSE())</f>
        <v>Consumo intermedio</v>
      </c>
      <c r="D187" s="9" t="str">
        <f aca="false">VLOOKUP(B187, AT_FILAS!$A$2:$C$8,3,FALSE())</f>
        <v>P2</v>
      </c>
      <c r="E187" s="9" t="s">
        <v>1932</v>
      </c>
      <c r="F187" s="9" t="s">
        <v>1933</v>
      </c>
      <c r="G187" s="9" t="s">
        <v>1750</v>
      </c>
      <c r="H187" s="9" t="n">
        <v>4</v>
      </c>
      <c r="I187" s="9" t="s">
        <v>1750</v>
      </c>
      <c r="J187" s="9" t="s">
        <v>1750</v>
      </c>
      <c r="K187" s="1" t="n">
        <v>342</v>
      </c>
      <c r="L187" s="1" t="str">
        <f aca="false">VLOOKUP(K187,clasif_filas!$A$1:$J$39,2,FALSE())</f>
        <v>Otros químicos, plásticos, caucho y fibras sintéticas</v>
      </c>
      <c r="M187" s="1" t="n">
        <f aca="false">VLOOKUP(K187,clasif_filas!$A$1:$J$39,3,FALSE())</f>
        <v>34</v>
      </c>
      <c r="N187" s="1" t="str">
        <f aca="false">VLOOKUP(K187,clasif_filas!$A$1:$J$39,4,FALSE())</f>
        <v>Químicos básicos</v>
      </c>
      <c r="O187" s="1" t="n">
        <f aca="false">VLOOKUP(K187,clasif_filas!$A$1:$J$39,5,FALSE())</f>
        <v>99</v>
      </c>
      <c r="P187" s="1" t="str">
        <f aca="false">VLOOKUP(K187,clasif_filas!$A$1:$J$39,6,FALSE())</f>
        <v>No Bioeconomía</v>
      </c>
      <c r="Q187" s="1" t="n">
        <f aca="false">VLOOKUP(K187,clasif_filas!$A$1:$J$39,7,FALSE())</f>
        <v>3</v>
      </c>
      <c r="R187" s="1" t="str">
        <f aca="false">VLOOKUP(K187,clasif_filas!$A$1:$J$39,8,FALSE())</f>
        <v>Otros bienes transportables, excepto productos metálicos, maquinaria y equipo</v>
      </c>
      <c r="S187" s="1" t="n">
        <f aca="false">VLOOKUP(K187,clasif_filas!$A$1:$J$39,9,FALSE())</f>
        <v>3</v>
      </c>
      <c r="T187" s="1" t="str">
        <f aca="false">VLOOKUP(K187,clasif_filas!$A$1:$J$39,10,FALSE())</f>
        <v>No bioeconomía</v>
      </c>
      <c r="U187" s="61"/>
    </row>
    <row r="188" customFormat="false" ht="14.25" hidden="false" customHeight="false" outlineLevel="0" collapsed="false">
      <c r="A188" s="24" t="s">
        <v>637</v>
      </c>
      <c r="B188" s="9" t="s">
        <v>2079</v>
      </c>
      <c r="C188" s="9" t="str">
        <f aca="false">VLOOKUP(B188, AT_FILAS!$A$2:$C$8,2,FALSE())</f>
        <v>Consumo intermedio</v>
      </c>
      <c r="D188" s="9" t="str">
        <f aca="false">VLOOKUP(B188, AT_FILAS!$A$2:$C$8,3,FALSE())</f>
        <v>P2</v>
      </c>
      <c r="E188" s="9" t="s">
        <v>1934</v>
      </c>
      <c r="F188" s="9" t="s">
        <v>1935</v>
      </c>
      <c r="G188" s="25" t="s">
        <v>1927</v>
      </c>
      <c r="H188" s="9" t="n">
        <v>3</v>
      </c>
      <c r="I188" s="9" t="s">
        <v>1904</v>
      </c>
      <c r="J188" s="25" t="s">
        <v>1927</v>
      </c>
      <c r="K188" s="1" t="n">
        <v>351</v>
      </c>
      <c r="L188" s="1" t="str">
        <f aca="false">VLOOKUP(K188,clasif_filas!$A$1:$J$39,2,FALSE())</f>
        <v>Pinturas y barnices y productos relacionados; colores para la pintura artística; tinta</v>
      </c>
      <c r="M188" s="1" t="n">
        <f aca="false">VLOOKUP(K188,clasif_filas!$A$1:$J$39,3,FALSE())</f>
        <v>35</v>
      </c>
      <c r="N188" s="1" t="str">
        <f aca="false">VLOOKUP(K188,clasif_filas!$A$1:$J$39,4,FALSE())</f>
        <v>Otros productos químicos; Fibras textiles artificiales o sintéticas</v>
      </c>
      <c r="O188" s="1" t="n">
        <f aca="false">VLOOKUP(K188,clasif_filas!$A$1:$J$39,5,FALSE())</f>
        <v>6</v>
      </c>
      <c r="P188" s="1" t="str">
        <f aca="false">VLOOKUP(K188,clasif_filas!$A$1:$J$39,6,FALSE())</f>
        <v>Conocimiento, procesos y servicios relacionados</v>
      </c>
      <c r="Q188" s="1" t="n">
        <f aca="false">VLOOKUP(K188,clasif_filas!$A$1:$J$39,7,FALSE())</f>
        <v>3</v>
      </c>
      <c r="R188" s="1" t="str">
        <f aca="false">VLOOKUP(K188,clasif_filas!$A$1:$J$39,8,FALSE())</f>
        <v>Otros bienes transportables, excepto productos metálicos, maquinaria y equipo</v>
      </c>
      <c r="S188" s="1" t="n">
        <f aca="false">VLOOKUP(K188,clasif_filas!$A$1:$J$39,9,FALSE())</f>
        <v>2</v>
      </c>
      <c r="T188" s="1" t="str">
        <f aca="false">VLOOKUP(K188,clasif_filas!$A$1:$J$39,10,FALSE())</f>
        <v>Bioeconomía extendida</v>
      </c>
      <c r="U188" s="61"/>
    </row>
    <row r="189" customFormat="false" ht="14.25" hidden="false" customHeight="false" outlineLevel="0" collapsed="false">
      <c r="A189" s="24" t="s">
        <v>639</v>
      </c>
      <c r="B189" s="9" t="s">
        <v>2079</v>
      </c>
      <c r="C189" s="9" t="str">
        <f aca="false">VLOOKUP(B189, AT_FILAS!$A$2:$C$8,2,FALSE())</f>
        <v>Consumo intermedio</v>
      </c>
      <c r="D189" s="9" t="str">
        <f aca="false">VLOOKUP(B189, AT_FILAS!$A$2:$C$8,3,FALSE())</f>
        <v>P2</v>
      </c>
      <c r="E189" s="9" t="s">
        <v>1936</v>
      </c>
      <c r="F189" s="9" t="s">
        <v>1937</v>
      </c>
      <c r="G189" s="9" t="s">
        <v>1938</v>
      </c>
      <c r="H189" s="9" t="n">
        <v>3</v>
      </c>
      <c r="I189" s="9" t="s">
        <v>1904</v>
      </c>
      <c r="J189" s="9" t="s">
        <v>1938</v>
      </c>
      <c r="K189" s="1" t="n">
        <v>353</v>
      </c>
      <c r="L189" s="1" t="str">
        <f aca="false">VLOOKUP(K189,clasif_filas!$A$1:$J$39,2,FALSE())</f>
        <v>Jabón, preparados para la limpieza, perfumes y preparados de tocador</v>
      </c>
      <c r="M189" s="1" t="n">
        <f aca="false">VLOOKUP(K189,clasif_filas!$A$1:$J$39,3,FALSE())</f>
        <v>35</v>
      </c>
      <c r="N189" s="1" t="str">
        <f aca="false">VLOOKUP(K189,clasif_filas!$A$1:$J$39,4,FALSE())</f>
        <v>Otros productos químicos; Fibras textiles artificiales o sintéticas</v>
      </c>
      <c r="O189" s="1" t="n">
        <f aca="false">VLOOKUP(K189,clasif_filas!$A$1:$J$39,5,FALSE())</f>
        <v>6</v>
      </c>
      <c r="P189" s="1" t="str">
        <f aca="false">VLOOKUP(K189,clasif_filas!$A$1:$J$39,6,FALSE())</f>
        <v>Conocimiento, procesos y servicios relacionados</v>
      </c>
      <c r="Q189" s="1" t="n">
        <f aca="false">VLOOKUP(K189,clasif_filas!$A$1:$J$39,7,FALSE())</f>
        <v>3</v>
      </c>
      <c r="R189" s="1" t="str">
        <f aca="false">VLOOKUP(K189,clasif_filas!$A$1:$J$39,8,FALSE())</f>
        <v>Otros bienes transportables, excepto productos metálicos, maquinaria y equipo</v>
      </c>
      <c r="S189" s="1" t="n">
        <f aca="false">VLOOKUP(K189,clasif_filas!$A$1:$J$39,9,FALSE())</f>
        <v>2</v>
      </c>
      <c r="T189" s="1" t="str">
        <f aca="false">VLOOKUP(K189,clasif_filas!$A$1:$J$39,10,FALSE())</f>
        <v>Bioeconomía extendida</v>
      </c>
      <c r="U189" s="61"/>
    </row>
    <row r="190" customFormat="false" ht="14.25" hidden="false" customHeight="false" outlineLevel="0" collapsed="false">
      <c r="A190" s="24" t="s">
        <v>641</v>
      </c>
      <c r="B190" s="9" t="s">
        <v>2079</v>
      </c>
      <c r="C190" s="9" t="str">
        <f aca="false">VLOOKUP(B190, AT_FILAS!$A$2:$C$8,2,FALSE())</f>
        <v>Consumo intermedio</v>
      </c>
      <c r="D190" s="9" t="str">
        <f aca="false">VLOOKUP(B190, AT_FILAS!$A$2:$C$8,3,FALSE())</f>
        <v>P2</v>
      </c>
      <c r="E190" s="9" t="s">
        <v>1939</v>
      </c>
      <c r="F190" s="9" t="s">
        <v>1940</v>
      </c>
      <c r="G190" s="9" t="s">
        <v>1941</v>
      </c>
      <c r="H190" s="9" t="n">
        <v>3</v>
      </c>
      <c r="I190" s="9" t="s">
        <v>1904</v>
      </c>
      <c r="J190" s="9" t="s">
        <v>1941</v>
      </c>
      <c r="K190" s="1" t="n">
        <v>352</v>
      </c>
      <c r="L190" s="1" t="str">
        <f aca="false">VLOOKUP(K190,clasif_filas!$A$1:$J$39,2,FALSE())</f>
        <v>Productos farmacéuticos</v>
      </c>
      <c r="M190" s="1" t="n">
        <f aca="false">VLOOKUP(K190,clasif_filas!$A$1:$J$39,3,FALSE())</f>
        <v>35</v>
      </c>
      <c r="N190" s="1" t="str">
        <f aca="false">VLOOKUP(K190,clasif_filas!$A$1:$J$39,4,FALSE())</f>
        <v>Otros productos químicos; Fibras textiles artificiales o sintéticas</v>
      </c>
      <c r="O190" s="1" t="n">
        <f aca="false">VLOOKUP(K190,clasif_filas!$A$1:$J$39,5,FALSE())</f>
        <v>6</v>
      </c>
      <c r="P190" s="1" t="str">
        <f aca="false">VLOOKUP(K190,clasif_filas!$A$1:$J$39,6,FALSE())</f>
        <v>Conocimiento, procesos y servicios relacionados</v>
      </c>
      <c r="Q190" s="1" t="n">
        <f aca="false">VLOOKUP(K190,clasif_filas!$A$1:$J$39,7,FALSE())</f>
        <v>3</v>
      </c>
      <c r="R190" s="1" t="str">
        <f aca="false">VLOOKUP(K190,clasif_filas!$A$1:$J$39,8,FALSE())</f>
        <v>Otros bienes transportables, excepto productos metálicos, maquinaria y equipo</v>
      </c>
      <c r="S190" s="1" t="n">
        <f aca="false">VLOOKUP(K190,clasif_filas!$A$1:$J$39,9,FALSE())</f>
        <v>2</v>
      </c>
      <c r="T190" s="1" t="str">
        <f aca="false">VLOOKUP(K190,clasif_filas!$A$1:$J$39,10,FALSE())</f>
        <v>Bioeconomía extendida</v>
      </c>
      <c r="U190" s="61"/>
    </row>
    <row r="191" customFormat="false" ht="14.25" hidden="false" customHeight="false" outlineLevel="0" collapsed="false">
      <c r="A191" s="24" t="s">
        <v>643</v>
      </c>
      <c r="B191" s="9" t="s">
        <v>2079</v>
      </c>
      <c r="C191" s="9" t="str">
        <f aca="false">VLOOKUP(B191, AT_FILAS!$A$2:$C$8,2,FALSE())</f>
        <v>Consumo intermedio</v>
      </c>
      <c r="D191" s="9" t="str">
        <f aca="false">VLOOKUP(B191, AT_FILAS!$A$2:$C$8,3,FALSE())</f>
        <v>P2</v>
      </c>
      <c r="E191" s="9" t="s">
        <v>1942</v>
      </c>
      <c r="F191" s="9" t="s">
        <v>1943</v>
      </c>
      <c r="G191" s="9" t="s">
        <v>1750</v>
      </c>
      <c r="H191" s="9" t="n">
        <v>4</v>
      </c>
      <c r="I191" s="9" t="s">
        <v>1750</v>
      </c>
      <c r="J191" s="9" t="s">
        <v>1750</v>
      </c>
      <c r="K191" s="1" t="n">
        <v>342</v>
      </c>
      <c r="L191" s="1" t="str">
        <f aca="false">VLOOKUP(K191,clasif_filas!$A$1:$J$39,2,FALSE())</f>
        <v>Otros químicos, plásticos, caucho y fibras sintéticas</v>
      </c>
      <c r="M191" s="1" t="n">
        <f aca="false">VLOOKUP(K191,clasif_filas!$A$1:$J$39,3,FALSE())</f>
        <v>34</v>
      </c>
      <c r="N191" s="1" t="str">
        <f aca="false">VLOOKUP(K191,clasif_filas!$A$1:$J$39,4,FALSE())</f>
        <v>Químicos básicos</v>
      </c>
      <c r="O191" s="1" t="n">
        <f aca="false">VLOOKUP(K191,clasif_filas!$A$1:$J$39,5,FALSE())</f>
        <v>99</v>
      </c>
      <c r="P191" s="1" t="str">
        <f aca="false">VLOOKUP(K191,clasif_filas!$A$1:$J$39,6,FALSE())</f>
        <v>No Bioeconomía</v>
      </c>
      <c r="Q191" s="1" t="n">
        <f aca="false">VLOOKUP(K191,clasif_filas!$A$1:$J$39,7,FALSE())</f>
        <v>3</v>
      </c>
      <c r="R191" s="1" t="str">
        <f aca="false">VLOOKUP(K191,clasif_filas!$A$1:$J$39,8,FALSE())</f>
        <v>Otros bienes transportables, excepto productos metálicos, maquinaria y equipo</v>
      </c>
      <c r="S191" s="1" t="n">
        <f aca="false">VLOOKUP(K191,clasif_filas!$A$1:$J$39,9,FALSE())</f>
        <v>3</v>
      </c>
      <c r="T191" s="1" t="str">
        <f aca="false">VLOOKUP(K191,clasif_filas!$A$1:$J$39,10,FALSE())</f>
        <v>No bioeconomía</v>
      </c>
      <c r="U191" s="61"/>
    </row>
    <row r="192" customFormat="false" ht="14.25" hidden="false" customHeight="false" outlineLevel="0" collapsed="false">
      <c r="A192" s="24" t="s">
        <v>645</v>
      </c>
      <c r="B192" s="9" t="s">
        <v>2079</v>
      </c>
      <c r="C192" s="9" t="str">
        <f aca="false">VLOOKUP(B192, AT_FILAS!$A$2:$C$8,2,FALSE())</f>
        <v>Consumo intermedio</v>
      </c>
      <c r="D192" s="9" t="str">
        <f aca="false">VLOOKUP(B192, AT_FILAS!$A$2:$C$8,3,FALSE())</f>
        <v>P2</v>
      </c>
      <c r="E192" s="9" t="s">
        <v>1944</v>
      </c>
      <c r="F192" s="9" t="s">
        <v>1945</v>
      </c>
      <c r="G192" s="9" t="s">
        <v>1750</v>
      </c>
      <c r="H192" s="9" t="n">
        <v>4</v>
      </c>
      <c r="I192" s="9" t="s">
        <v>1750</v>
      </c>
      <c r="J192" s="9" t="s">
        <v>1750</v>
      </c>
      <c r="K192" s="1" t="n">
        <v>342</v>
      </c>
      <c r="L192" s="1" t="str">
        <f aca="false">VLOOKUP(K192,clasif_filas!$A$1:$J$39,2,FALSE())</f>
        <v>Otros químicos, plásticos, caucho y fibras sintéticas</v>
      </c>
      <c r="M192" s="1" t="n">
        <f aca="false">VLOOKUP(K192,clasif_filas!$A$1:$J$39,3,FALSE())</f>
        <v>34</v>
      </c>
      <c r="N192" s="1" t="str">
        <f aca="false">VLOOKUP(K192,clasif_filas!$A$1:$J$39,4,FALSE())</f>
        <v>Químicos básicos</v>
      </c>
      <c r="O192" s="1" t="n">
        <f aca="false">VLOOKUP(K192,clasif_filas!$A$1:$J$39,5,FALSE())</f>
        <v>99</v>
      </c>
      <c r="P192" s="1" t="str">
        <f aca="false">VLOOKUP(K192,clasif_filas!$A$1:$J$39,6,FALSE())</f>
        <v>No Bioeconomía</v>
      </c>
      <c r="Q192" s="1" t="n">
        <f aca="false">VLOOKUP(K192,clasif_filas!$A$1:$J$39,7,FALSE())</f>
        <v>3</v>
      </c>
      <c r="R192" s="1" t="str">
        <f aca="false">VLOOKUP(K192,clasif_filas!$A$1:$J$39,8,FALSE())</f>
        <v>Otros bienes transportables, excepto productos metálicos, maquinaria y equipo</v>
      </c>
      <c r="S192" s="1" t="n">
        <f aca="false">VLOOKUP(K192,clasif_filas!$A$1:$J$39,9,FALSE())</f>
        <v>3</v>
      </c>
      <c r="T192" s="1" t="str">
        <f aca="false">VLOOKUP(K192,clasif_filas!$A$1:$J$39,10,FALSE())</f>
        <v>No bioeconomía</v>
      </c>
      <c r="U192" s="61"/>
    </row>
    <row r="193" customFormat="false" ht="14.25" hidden="false" customHeight="false" outlineLevel="0" collapsed="false">
      <c r="A193" s="24" t="s">
        <v>647</v>
      </c>
      <c r="B193" s="9" t="s">
        <v>2079</v>
      </c>
      <c r="C193" s="9" t="str">
        <f aca="false">VLOOKUP(B193, AT_FILAS!$A$2:$C$8,2,FALSE())</f>
        <v>Consumo intermedio</v>
      </c>
      <c r="D193" s="9" t="str">
        <f aca="false">VLOOKUP(B193, AT_FILAS!$A$2:$C$8,3,FALSE())</f>
        <v>P2</v>
      </c>
      <c r="E193" s="9" t="s">
        <v>1946</v>
      </c>
      <c r="F193" s="9" t="s">
        <v>1947</v>
      </c>
      <c r="G193" s="9" t="s">
        <v>1750</v>
      </c>
      <c r="H193" s="9" t="n">
        <v>4</v>
      </c>
      <c r="I193" s="9" t="s">
        <v>1750</v>
      </c>
      <c r="J193" s="9" t="s">
        <v>1750</v>
      </c>
      <c r="K193" s="1" t="n">
        <v>37</v>
      </c>
      <c r="L193" s="1" t="str">
        <f aca="false">VLOOKUP(K193,clasif_filas!$A$1:$J$39,2,FALSE())</f>
        <v>Vidrios y productos de vidrio y otros productos no metálicos n.c.p.</v>
      </c>
      <c r="M193" s="1" t="n">
        <f aca="false">VLOOKUP(K193,clasif_filas!$A$1:$J$39,3,FALSE())</f>
        <v>37</v>
      </c>
      <c r="N193" s="1" t="str">
        <f aca="false">VLOOKUP(K193,clasif_filas!$A$1:$J$39,4,FALSE())</f>
        <v>Vidrios y productos de vidrio y otros productos no metálicos n.c.p.</v>
      </c>
      <c r="O193" s="1" t="n">
        <f aca="false">VLOOKUP(K193,clasif_filas!$A$1:$J$39,5,FALSE())</f>
        <v>99</v>
      </c>
      <c r="P193" s="1" t="str">
        <f aca="false">VLOOKUP(K193,clasif_filas!$A$1:$J$39,6,FALSE())</f>
        <v>No Bioeconomía</v>
      </c>
      <c r="Q193" s="1" t="n">
        <f aca="false">VLOOKUP(K193,clasif_filas!$A$1:$J$39,7,FALSE())</f>
        <v>3</v>
      </c>
      <c r="R193" s="1" t="str">
        <f aca="false">VLOOKUP(K193,clasif_filas!$A$1:$J$39,8,FALSE())</f>
        <v>Otros bienes transportables, excepto productos metálicos, maquinaria y equipo</v>
      </c>
      <c r="S193" s="1" t="n">
        <f aca="false">VLOOKUP(K193,clasif_filas!$A$1:$J$39,9,FALSE())</f>
        <v>3</v>
      </c>
      <c r="T193" s="1" t="str">
        <f aca="false">VLOOKUP(K193,clasif_filas!$A$1:$J$39,10,FALSE())</f>
        <v>No bioeconomía</v>
      </c>
      <c r="U193" s="61"/>
    </row>
    <row r="194" customFormat="false" ht="14.25" hidden="false" customHeight="false" outlineLevel="0" collapsed="false">
      <c r="A194" s="24" t="s">
        <v>649</v>
      </c>
      <c r="B194" s="9" t="s">
        <v>2079</v>
      </c>
      <c r="C194" s="9" t="str">
        <f aca="false">VLOOKUP(B194, AT_FILAS!$A$2:$C$8,2,FALSE())</f>
        <v>Consumo intermedio</v>
      </c>
      <c r="D194" s="9" t="str">
        <f aca="false">VLOOKUP(B194, AT_FILAS!$A$2:$C$8,3,FALSE())</f>
        <v>P2</v>
      </c>
      <c r="E194" s="9" t="s">
        <v>1948</v>
      </c>
      <c r="F194" s="9" t="s">
        <v>1949</v>
      </c>
      <c r="G194" s="9" t="s">
        <v>1750</v>
      </c>
      <c r="H194" s="9" t="n">
        <v>4</v>
      </c>
      <c r="I194" s="9" t="s">
        <v>1750</v>
      </c>
      <c r="J194" s="9" t="s">
        <v>1750</v>
      </c>
      <c r="K194" s="1" t="n">
        <v>37</v>
      </c>
      <c r="L194" s="1" t="str">
        <f aca="false">VLOOKUP(K194,clasif_filas!$A$1:$J$39,2,FALSE())</f>
        <v>Vidrios y productos de vidrio y otros productos no metálicos n.c.p.</v>
      </c>
      <c r="M194" s="1" t="n">
        <f aca="false">VLOOKUP(K194,clasif_filas!$A$1:$J$39,3,FALSE())</f>
        <v>37</v>
      </c>
      <c r="N194" s="1" t="str">
        <f aca="false">VLOOKUP(K194,clasif_filas!$A$1:$J$39,4,FALSE())</f>
        <v>Vidrios y productos de vidrio y otros productos no metálicos n.c.p.</v>
      </c>
      <c r="O194" s="1" t="n">
        <f aca="false">VLOOKUP(K194,clasif_filas!$A$1:$J$39,5,FALSE())</f>
        <v>99</v>
      </c>
      <c r="P194" s="1" t="str">
        <f aca="false">VLOOKUP(K194,clasif_filas!$A$1:$J$39,6,FALSE())</f>
        <v>No Bioeconomía</v>
      </c>
      <c r="Q194" s="1" t="n">
        <f aca="false">VLOOKUP(K194,clasif_filas!$A$1:$J$39,7,FALSE())</f>
        <v>3</v>
      </c>
      <c r="R194" s="1" t="str">
        <f aca="false">VLOOKUP(K194,clasif_filas!$A$1:$J$39,8,FALSE())</f>
        <v>Otros bienes transportables, excepto productos metálicos, maquinaria y equipo</v>
      </c>
      <c r="S194" s="1" t="n">
        <f aca="false">VLOOKUP(K194,clasif_filas!$A$1:$J$39,9,FALSE())</f>
        <v>3</v>
      </c>
      <c r="T194" s="1" t="str">
        <f aca="false">VLOOKUP(K194,clasif_filas!$A$1:$J$39,10,FALSE())</f>
        <v>No bioeconomía</v>
      </c>
      <c r="U194" s="61"/>
    </row>
    <row r="195" customFormat="false" ht="14.25" hidden="false" customHeight="false" outlineLevel="0" collapsed="false">
      <c r="A195" s="24" t="s">
        <v>651</v>
      </c>
      <c r="B195" s="9" t="s">
        <v>2079</v>
      </c>
      <c r="C195" s="9" t="str">
        <f aca="false">VLOOKUP(B195, AT_FILAS!$A$2:$C$8,2,FALSE())</f>
        <v>Consumo intermedio</v>
      </c>
      <c r="D195" s="9" t="str">
        <f aca="false">VLOOKUP(B195, AT_FILAS!$A$2:$C$8,3,FALSE())</f>
        <v>P2</v>
      </c>
      <c r="E195" s="9" t="s">
        <v>1950</v>
      </c>
      <c r="F195" s="9" t="s">
        <v>1951</v>
      </c>
      <c r="G195" s="9" t="s">
        <v>1750</v>
      </c>
      <c r="H195" s="9" t="n">
        <v>4</v>
      </c>
      <c r="I195" s="9" t="s">
        <v>1750</v>
      </c>
      <c r="J195" s="9" t="s">
        <v>1750</v>
      </c>
      <c r="K195" s="1" t="n">
        <v>37</v>
      </c>
      <c r="L195" s="1" t="str">
        <f aca="false">VLOOKUP(K195,clasif_filas!$A$1:$J$39,2,FALSE())</f>
        <v>Vidrios y productos de vidrio y otros productos no metálicos n.c.p.</v>
      </c>
      <c r="M195" s="1" t="n">
        <f aca="false">VLOOKUP(K195,clasif_filas!$A$1:$J$39,3,FALSE())</f>
        <v>37</v>
      </c>
      <c r="N195" s="1" t="str">
        <f aca="false">VLOOKUP(K195,clasif_filas!$A$1:$J$39,4,FALSE())</f>
        <v>Vidrios y productos de vidrio y otros productos no metálicos n.c.p.</v>
      </c>
      <c r="O195" s="1" t="n">
        <f aca="false">VLOOKUP(K195,clasif_filas!$A$1:$J$39,5,FALSE())</f>
        <v>99</v>
      </c>
      <c r="P195" s="1" t="str">
        <f aca="false">VLOOKUP(K195,clasif_filas!$A$1:$J$39,6,FALSE())</f>
        <v>No Bioeconomía</v>
      </c>
      <c r="Q195" s="1" t="n">
        <f aca="false">VLOOKUP(K195,clasif_filas!$A$1:$J$39,7,FALSE())</f>
        <v>3</v>
      </c>
      <c r="R195" s="1" t="str">
        <f aca="false">VLOOKUP(K195,clasif_filas!$A$1:$J$39,8,FALSE())</f>
        <v>Otros bienes transportables, excepto productos metálicos, maquinaria y equipo</v>
      </c>
      <c r="S195" s="1" t="n">
        <f aca="false">VLOOKUP(K195,clasif_filas!$A$1:$J$39,9,FALSE())</f>
        <v>3</v>
      </c>
      <c r="T195" s="1" t="str">
        <f aca="false">VLOOKUP(K195,clasif_filas!$A$1:$J$39,10,FALSE())</f>
        <v>No bioeconomía</v>
      </c>
      <c r="U195" s="61"/>
    </row>
    <row r="196" customFormat="false" ht="14.25" hidden="false" customHeight="false" outlineLevel="0" collapsed="false">
      <c r="A196" s="24" t="s">
        <v>653</v>
      </c>
      <c r="B196" s="9" t="s">
        <v>2079</v>
      </c>
      <c r="C196" s="9" t="str">
        <f aca="false">VLOOKUP(B196, AT_FILAS!$A$2:$C$8,2,FALSE())</f>
        <v>Consumo intermedio</v>
      </c>
      <c r="D196" s="9" t="str">
        <f aca="false">VLOOKUP(B196, AT_FILAS!$A$2:$C$8,3,FALSE())</f>
        <v>P2</v>
      </c>
      <c r="E196" s="9" t="s">
        <v>1952</v>
      </c>
      <c r="F196" s="9" t="s">
        <v>1953</v>
      </c>
      <c r="G196" s="9" t="s">
        <v>1750</v>
      </c>
      <c r="H196" s="9" t="n">
        <v>4</v>
      </c>
      <c r="I196" s="9" t="s">
        <v>1750</v>
      </c>
      <c r="J196" s="9" t="s">
        <v>1750</v>
      </c>
      <c r="K196" s="1" t="n">
        <v>37</v>
      </c>
      <c r="L196" s="1" t="str">
        <f aca="false">VLOOKUP(K196,clasif_filas!$A$1:$J$39,2,FALSE())</f>
        <v>Vidrios y productos de vidrio y otros productos no metálicos n.c.p.</v>
      </c>
      <c r="M196" s="1" t="n">
        <f aca="false">VLOOKUP(K196,clasif_filas!$A$1:$J$39,3,FALSE())</f>
        <v>37</v>
      </c>
      <c r="N196" s="1" t="str">
        <f aca="false">VLOOKUP(K196,clasif_filas!$A$1:$J$39,4,FALSE())</f>
        <v>Vidrios y productos de vidrio y otros productos no metálicos n.c.p.</v>
      </c>
      <c r="O196" s="1" t="n">
        <f aca="false">VLOOKUP(K196,clasif_filas!$A$1:$J$39,5,FALSE())</f>
        <v>99</v>
      </c>
      <c r="P196" s="1" t="str">
        <f aca="false">VLOOKUP(K196,clasif_filas!$A$1:$J$39,6,FALSE())</f>
        <v>No Bioeconomía</v>
      </c>
      <c r="Q196" s="1" t="n">
        <f aca="false">VLOOKUP(K196,clasif_filas!$A$1:$J$39,7,FALSE())</f>
        <v>3</v>
      </c>
      <c r="R196" s="1" t="str">
        <f aca="false">VLOOKUP(K196,clasif_filas!$A$1:$J$39,8,FALSE())</f>
        <v>Otros bienes transportables, excepto productos metálicos, maquinaria y equipo</v>
      </c>
      <c r="S196" s="1" t="n">
        <f aca="false">VLOOKUP(K196,clasif_filas!$A$1:$J$39,9,FALSE())</f>
        <v>3</v>
      </c>
      <c r="T196" s="1" t="str">
        <f aca="false">VLOOKUP(K196,clasif_filas!$A$1:$J$39,10,FALSE())</f>
        <v>No bioeconomía</v>
      </c>
      <c r="U196" s="61"/>
    </row>
    <row r="197" customFormat="false" ht="14.25" hidden="false" customHeight="false" outlineLevel="0" collapsed="false">
      <c r="A197" s="24" t="s">
        <v>655</v>
      </c>
      <c r="B197" s="9" t="s">
        <v>2079</v>
      </c>
      <c r="C197" s="9" t="str">
        <f aca="false">VLOOKUP(B197, AT_FILAS!$A$2:$C$8,2,FALSE())</f>
        <v>Consumo intermedio</v>
      </c>
      <c r="D197" s="9" t="str">
        <f aca="false">VLOOKUP(B197, AT_FILAS!$A$2:$C$8,3,FALSE())</f>
        <v>P2</v>
      </c>
      <c r="E197" s="9" t="s">
        <v>1954</v>
      </c>
      <c r="F197" s="9" t="s">
        <v>1955</v>
      </c>
      <c r="G197" s="9" t="s">
        <v>1750</v>
      </c>
      <c r="H197" s="9" t="n">
        <v>4</v>
      </c>
      <c r="I197" s="9" t="s">
        <v>1750</v>
      </c>
      <c r="J197" s="9" t="s">
        <v>1750</v>
      </c>
      <c r="K197" s="1" t="n">
        <v>38</v>
      </c>
      <c r="L197" s="1" t="str">
        <f aca="false">VLOOKUP(K197,clasif_filas!$A$1:$J$39,2,FALSE())</f>
        <v>Muebles; otros bienes transportables n.c.p.</v>
      </c>
      <c r="M197" s="1" t="n">
        <f aca="false">VLOOKUP(K197,clasif_filas!$A$1:$J$39,3,FALSE())</f>
        <v>38</v>
      </c>
      <c r="N197" s="1" t="str">
        <f aca="false">VLOOKUP(K197,clasif_filas!$A$1:$J$39,4,FALSE())</f>
        <v>Muebles; otros bienes transportables n.c.p.</v>
      </c>
      <c r="O197" s="1" t="n">
        <f aca="false">VLOOKUP(K197,clasif_filas!$A$1:$J$39,5,FALSE())</f>
        <v>99</v>
      </c>
      <c r="P197" s="1" t="str">
        <f aca="false">VLOOKUP(K197,clasif_filas!$A$1:$J$39,6,FALSE())</f>
        <v>No Bioeconomía</v>
      </c>
      <c r="Q197" s="1" t="n">
        <f aca="false">VLOOKUP(K197,clasif_filas!$A$1:$J$39,7,FALSE())</f>
        <v>3</v>
      </c>
      <c r="R197" s="1" t="str">
        <f aca="false">VLOOKUP(K197,clasif_filas!$A$1:$J$39,8,FALSE())</f>
        <v>Otros bienes transportables, excepto productos metálicos, maquinaria y equipo</v>
      </c>
      <c r="S197" s="1" t="n">
        <f aca="false">VLOOKUP(K197,clasif_filas!$A$1:$J$39,9,FALSE())</f>
        <v>3</v>
      </c>
      <c r="T197" s="1" t="str">
        <f aca="false">VLOOKUP(K197,clasif_filas!$A$1:$J$39,10,FALSE())</f>
        <v>No bioeconomía</v>
      </c>
      <c r="U197" s="61"/>
    </row>
    <row r="198" customFormat="false" ht="14.25" hidden="false" customHeight="false" outlineLevel="0" collapsed="false">
      <c r="A198" s="24" t="s">
        <v>657</v>
      </c>
      <c r="B198" s="9" t="s">
        <v>2079</v>
      </c>
      <c r="C198" s="9" t="str">
        <f aca="false">VLOOKUP(B198, AT_FILAS!$A$2:$C$8,2,FALSE())</f>
        <v>Consumo intermedio</v>
      </c>
      <c r="D198" s="9" t="str">
        <f aca="false">VLOOKUP(B198, AT_FILAS!$A$2:$C$8,3,FALSE())</f>
        <v>P2</v>
      </c>
      <c r="E198" s="9" t="s">
        <v>1956</v>
      </c>
      <c r="F198" s="9" t="s">
        <v>1957</v>
      </c>
      <c r="G198" s="9" t="s">
        <v>1750</v>
      </c>
      <c r="H198" s="9" t="n">
        <v>4</v>
      </c>
      <c r="I198" s="9" t="s">
        <v>1750</v>
      </c>
      <c r="J198" s="9" t="s">
        <v>1750</v>
      </c>
      <c r="K198" s="62" t="s">
        <v>1958</v>
      </c>
      <c r="L198" s="1" t="str">
        <f aca="false">VLOOKUP(K198,clasif_filas!$A$1:$J$39,2,FALSE())</f>
        <v>Metales, Maquianria, equipos y transporte</v>
      </c>
      <c r="M198" s="1" t="str">
        <f aca="false">VLOOKUP(K198,clasif_filas!$A$1:$J$39,3,FALSE())</f>
        <v>41-49</v>
      </c>
      <c r="N198" s="1" t="str">
        <f aca="false">VLOOKUP(K198,clasif_filas!$A$1:$J$39,4,FALSE())</f>
        <v>Metales, Maquianria, equipos y transporte</v>
      </c>
      <c r="O198" s="1" t="n">
        <f aca="false">VLOOKUP(K198,clasif_filas!$A$1:$J$39,5,FALSE())</f>
        <v>99</v>
      </c>
      <c r="P198" s="1" t="str">
        <f aca="false">VLOOKUP(K198,clasif_filas!$A$1:$J$39,6,FALSE())</f>
        <v>No Bioeconomía</v>
      </c>
      <c r="Q198" s="1" t="n">
        <f aca="false">VLOOKUP(K198,clasif_filas!$A$1:$J$39,7,FALSE())</f>
        <v>4</v>
      </c>
      <c r="R198" s="1" t="str">
        <f aca="false">VLOOKUP(K198,clasif_filas!$A$1:$J$39,8,FALSE())</f>
        <v>Productos metálicos, maquinaria y equipo</v>
      </c>
      <c r="S198" s="1" t="n">
        <f aca="false">VLOOKUP(K198,clasif_filas!$A$1:$J$39,9,FALSE())</f>
        <v>3</v>
      </c>
      <c r="T198" s="1" t="str">
        <f aca="false">VLOOKUP(K198,clasif_filas!$A$1:$J$39,10,FALSE())</f>
        <v>No bioeconomía</v>
      </c>
      <c r="U198" s="61"/>
    </row>
    <row r="199" customFormat="false" ht="14.25" hidden="false" customHeight="false" outlineLevel="0" collapsed="false">
      <c r="A199" s="24" t="s">
        <v>659</v>
      </c>
      <c r="B199" s="9" t="s">
        <v>2079</v>
      </c>
      <c r="C199" s="9" t="str">
        <f aca="false">VLOOKUP(B199, AT_FILAS!$A$2:$C$8,2,FALSE())</f>
        <v>Consumo intermedio</v>
      </c>
      <c r="D199" s="9" t="str">
        <f aca="false">VLOOKUP(B199, AT_FILAS!$A$2:$C$8,3,FALSE())</f>
        <v>P2</v>
      </c>
      <c r="E199" s="9" t="s">
        <v>1959</v>
      </c>
      <c r="F199" s="9" t="s">
        <v>1960</v>
      </c>
      <c r="G199" s="9" t="s">
        <v>1750</v>
      </c>
      <c r="H199" s="9" t="n">
        <v>4</v>
      </c>
      <c r="I199" s="9" t="s">
        <v>1750</v>
      </c>
      <c r="J199" s="9" t="s">
        <v>1750</v>
      </c>
      <c r="K199" s="62" t="s">
        <v>1958</v>
      </c>
      <c r="L199" s="1" t="str">
        <f aca="false">VLOOKUP(K199,clasif_filas!$A$1:$J$39,2,FALSE())</f>
        <v>Metales, Maquianria, equipos y transporte</v>
      </c>
      <c r="M199" s="1" t="str">
        <f aca="false">VLOOKUP(K199,clasif_filas!$A$1:$J$39,3,FALSE())</f>
        <v>41-49</v>
      </c>
      <c r="N199" s="1" t="str">
        <f aca="false">VLOOKUP(K199,clasif_filas!$A$1:$J$39,4,FALSE())</f>
        <v>Metales, Maquianria, equipos y transporte</v>
      </c>
      <c r="O199" s="1" t="n">
        <f aca="false">VLOOKUP(K199,clasif_filas!$A$1:$J$39,5,FALSE())</f>
        <v>99</v>
      </c>
      <c r="P199" s="1" t="str">
        <f aca="false">VLOOKUP(K199,clasif_filas!$A$1:$J$39,6,FALSE())</f>
        <v>No Bioeconomía</v>
      </c>
      <c r="Q199" s="1" t="n">
        <f aca="false">VLOOKUP(K199,clasif_filas!$A$1:$J$39,7,FALSE())</f>
        <v>4</v>
      </c>
      <c r="R199" s="1" t="str">
        <f aca="false">VLOOKUP(K199,clasif_filas!$A$1:$J$39,8,FALSE())</f>
        <v>Productos metálicos, maquinaria y equipo</v>
      </c>
      <c r="S199" s="1" t="n">
        <f aca="false">VLOOKUP(K199,clasif_filas!$A$1:$J$39,9,FALSE())</f>
        <v>3</v>
      </c>
      <c r="T199" s="1" t="str">
        <f aca="false">VLOOKUP(K199,clasif_filas!$A$1:$J$39,10,FALSE())</f>
        <v>No bioeconomía</v>
      </c>
      <c r="U199" s="61"/>
    </row>
    <row r="200" customFormat="false" ht="14.25" hidden="false" customHeight="false" outlineLevel="0" collapsed="false">
      <c r="A200" s="24" t="s">
        <v>661</v>
      </c>
      <c r="B200" s="9" t="s">
        <v>2079</v>
      </c>
      <c r="C200" s="9" t="str">
        <f aca="false">VLOOKUP(B200, AT_FILAS!$A$2:$C$8,2,FALSE())</f>
        <v>Consumo intermedio</v>
      </c>
      <c r="D200" s="9" t="str">
        <f aca="false">VLOOKUP(B200, AT_FILAS!$A$2:$C$8,3,FALSE())</f>
        <v>P2</v>
      </c>
      <c r="E200" s="9" t="s">
        <v>1961</v>
      </c>
      <c r="F200" s="9" t="s">
        <v>1962</v>
      </c>
      <c r="G200" s="9" t="s">
        <v>1750</v>
      </c>
      <c r="H200" s="9" t="n">
        <v>4</v>
      </c>
      <c r="I200" s="9" t="s">
        <v>1750</v>
      </c>
      <c r="J200" s="9" t="s">
        <v>1750</v>
      </c>
      <c r="K200" s="62" t="s">
        <v>1958</v>
      </c>
      <c r="L200" s="1" t="str">
        <f aca="false">VLOOKUP(K200,clasif_filas!$A$1:$J$39,2,FALSE())</f>
        <v>Metales, Maquianria, equipos y transporte</v>
      </c>
      <c r="M200" s="1" t="str">
        <f aca="false">VLOOKUP(K200,clasif_filas!$A$1:$J$39,3,FALSE())</f>
        <v>41-49</v>
      </c>
      <c r="N200" s="1" t="str">
        <f aca="false">VLOOKUP(K200,clasif_filas!$A$1:$J$39,4,FALSE())</f>
        <v>Metales, Maquianria, equipos y transporte</v>
      </c>
      <c r="O200" s="1" t="n">
        <f aca="false">VLOOKUP(K200,clasif_filas!$A$1:$J$39,5,FALSE())</f>
        <v>99</v>
      </c>
      <c r="P200" s="1" t="str">
        <f aca="false">VLOOKUP(K200,clasif_filas!$A$1:$J$39,6,FALSE())</f>
        <v>No Bioeconomía</v>
      </c>
      <c r="Q200" s="1" t="n">
        <f aca="false">VLOOKUP(K200,clasif_filas!$A$1:$J$39,7,FALSE())</f>
        <v>4</v>
      </c>
      <c r="R200" s="1" t="str">
        <f aca="false">VLOOKUP(K200,clasif_filas!$A$1:$J$39,8,FALSE())</f>
        <v>Productos metálicos, maquinaria y equipo</v>
      </c>
      <c r="S200" s="1" t="n">
        <f aca="false">VLOOKUP(K200,clasif_filas!$A$1:$J$39,9,FALSE())</f>
        <v>3</v>
      </c>
      <c r="T200" s="1" t="str">
        <f aca="false">VLOOKUP(K200,clasif_filas!$A$1:$J$39,10,FALSE())</f>
        <v>No bioeconomía</v>
      </c>
      <c r="U200" s="61"/>
    </row>
    <row r="201" customFormat="false" ht="14.25" hidden="false" customHeight="false" outlineLevel="0" collapsed="false">
      <c r="A201" s="24" t="s">
        <v>663</v>
      </c>
      <c r="B201" s="9" t="s">
        <v>2079</v>
      </c>
      <c r="C201" s="9" t="str">
        <f aca="false">VLOOKUP(B201, AT_FILAS!$A$2:$C$8,2,FALSE())</f>
        <v>Consumo intermedio</v>
      </c>
      <c r="D201" s="9" t="str">
        <f aca="false">VLOOKUP(B201, AT_FILAS!$A$2:$C$8,3,FALSE())</f>
        <v>P2</v>
      </c>
      <c r="E201" s="9" t="s">
        <v>1963</v>
      </c>
      <c r="F201" s="9" t="s">
        <v>1964</v>
      </c>
      <c r="G201" s="9" t="s">
        <v>1750</v>
      </c>
      <c r="H201" s="9" t="n">
        <v>4</v>
      </c>
      <c r="I201" s="9" t="s">
        <v>1750</v>
      </c>
      <c r="J201" s="9" t="s">
        <v>1750</v>
      </c>
      <c r="K201" s="62" t="s">
        <v>1958</v>
      </c>
      <c r="L201" s="1" t="str">
        <f aca="false">VLOOKUP(K201,clasif_filas!$A$1:$J$39,2,FALSE())</f>
        <v>Metales, Maquianria, equipos y transporte</v>
      </c>
      <c r="M201" s="1" t="str">
        <f aca="false">VLOOKUP(K201,clasif_filas!$A$1:$J$39,3,FALSE())</f>
        <v>41-49</v>
      </c>
      <c r="N201" s="1" t="str">
        <f aca="false">VLOOKUP(K201,clasif_filas!$A$1:$J$39,4,FALSE())</f>
        <v>Metales, Maquianria, equipos y transporte</v>
      </c>
      <c r="O201" s="1" t="n">
        <f aca="false">VLOOKUP(K201,clasif_filas!$A$1:$J$39,5,FALSE())</f>
        <v>99</v>
      </c>
      <c r="P201" s="1" t="str">
        <f aca="false">VLOOKUP(K201,clasif_filas!$A$1:$J$39,6,FALSE())</f>
        <v>No Bioeconomía</v>
      </c>
      <c r="Q201" s="1" t="n">
        <f aca="false">VLOOKUP(K201,clasif_filas!$A$1:$J$39,7,FALSE())</f>
        <v>4</v>
      </c>
      <c r="R201" s="1" t="str">
        <f aca="false">VLOOKUP(K201,clasif_filas!$A$1:$J$39,8,FALSE())</f>
        <v>Productos metálicos, maquinaria y equipo</v>
      </c>
      <c r="S201" s="1" t="n">
        <f aca="false">VLOOKUP(K201,clasif_filas!$A$1:$J$39,9,FALSE())</f>
        <v>3</v>
      </c>
      <c r="T201" s="1" t="str">
        <f aca="false">VLOOKUP(K201,clasif_filas!$A$1:$J$39,10,FALSE())</f>
        <v>No bioeconomía</v>
      </c>
      <c r="U201" s="61"/>
    </row>
    <row r="202" customFormat="false" ht="14.25" hidden="false" customHeight="false" outlineLevel="0" collapsed="false">
      <c r="A202" s="24" t="s">
        <v>665</v>
      </c>
      <c r="B202" s="9" t="s">
        <v>2079</v>
      </c>
      <c r="C202" s="9" t="str">
        <f aca="false">VLOOKUP(B202, AT_FILAS!$A$2:$C$8,2,FALSE())</f>
        <v>Consumo intermedio</v>
      </c>
      <c r="D202" s="9" t="str">
        <f aca="false">VLOOKUP(B202, AT_FILAS!$A$2:$C$8,3,FALSE())</f>
        <v>P2</v>
      </c>
      <c r="E202" s="9" t="s">
        <v>1965</v>
      </c>
      <c r="F202" s="9" t="s">
        <v>1966</v>
      </c>
      <c r="G202" s="9" t="s">
        <v>1750</v>
      </c>
      <c r="H202" s="9" t="n">
        <v>4</v>
      </c>
      <c r="I202" s="9" t="s">
        <v>1750</v>
      </c>
      <c r="J202" s="9" t="s">
        <v>1750</v>
      </c>
      <c r="K202" s="62" t="s">
        <v>1958</v>
      </c>
      <c r="L202" s="1" t="str">
        <f aca="false">VLOOKUP(K202,clasif_filas!$A$1:$J$39,2,FALSE())</f>
        <v>Metales, Maquianria, equipos y transporte</v>
      </c>
      <c r="M202" s="1" t="str">
        <f aca="false">VLOOKUP(K202,clasif_filas!$A$1:$J$39,3,FALSE())</f>
        <v>41-49</v>
      </c>
      <c r="N202" s="1" t="str">
        <f aca="false">VLOOKUP(K202,clasif_filas!$A$1:$J$39,4,FALSE())</f>
        <v>Metales, Maquianria, equipos y transporte</v>
      </c>
      <c r="O202" s="1" t="n">
        <f aca="false">VLOOKUP(K202,clasif_filas!$A$1:$J$39,5,FALSE())</f>
        <v>99</v>
      </c>
      <c r="P202" s="1" t="str">
        <f aca="false">VLOOKUP(K202,clasif_filas!$A$1:$J$39,6,FALSE())</f>
        <v>No Bioeconomía</v>
      </c>
      <c r="Q202" s="1" t="n">
        <f aca="false">VLOOKUP(K202,clasif_filas!$A$1:$J$39,7,FALSE())</f>
        <v>4</v>
      </c>
      <c r="R202" s="1" t="str">
        <f aca="false">VLOOKUP(K202,clasif_filas!$A$1:$J$39,8,FALSE())</f>
        <v>Productos metálicos, maquinaria y equipo</v>
      </c>
      <c r="S202" s="1" t="n">
        <f aca="false">VLOOKUP(K202,clasif_filas!$A$1:$J$39,9,FALSE())</f>
        <v>3</v>
      </c>
      <c r="T202" s="1" t="str">
        <f aca="false">VLOOKUP(K202,clasif_filas!$A$1:$J$39,10,FALSE())</f>
        <v>No bioeconomía</v>
      </c>
      <c r="U202" s="61"/>
    </row>
    <row r="203" customFormat="false" ht="14.25" hidden="false" customHeight="false" outlineLevel="0" collapsed="false">
      <c r="A203" s="24" t="s">
        <v>667</v>
      </c>
      <c r="B203" s="9" t="s">
        <v>2079</v>
      </c>
      <c r="C203" s="9" t="str">
        <f aca="false">VLOOKUP(B203, AT_FILAS!$A$2:$C$8,2,FALSE())</f>
        <v>Consumo intermedio</v>
      </c>
      <c r="D203" s="9" t="str">
        <f aca="false">VLOOKUP(B203, AT_FILAS!$A$2:$C$8,3,FALSE())</f>
        <v>P2</v>
      </c>
      <c r="E203" s="9" t="s">
        <v>1967</v>
      </c>
      <c r="F203" s="9" t="s">
        <v>1968</v>
      </c>
      <c r="G203" s="9" t="s">
        <v>1750</v>
      </c>
      <c r="H203" s="9" t="n">
        <v>4</v>
      </c>
      <c r="I203" s="9" t="s">
        <v>1750</v>
      </c>
      <c r="J203" s="9" t="s">
        <v>1750</v>
      </c>
      <c r="K203" s="62" t="s">
        <v>1958</v>
      </c>
      <c r="L203" s="1" t="str">
        <f aca="false">VLOOKUP(K203,clasif_filas!$A$1:$J$39,2,FALSE())</f>
        <v>Metales, Maquianria, equipos y transporte</v>
      </c>
      <c r="M203" s="1" t="str">
        <f aca="false">VLOOKUP(K203,clasif_filas!$A$1:$J$39,3,FALSE())</f>
        <v>41-49</v>
      </c>
      <c r="N203" s="1" t="str">
        <f aca="false">VLOOKUP(K203,clasif_filas!$A$1:$J$39,4,FALSE())</f>
        <v>Metales, Maquianria, equipos y transporte</v>
      </c>
      <c r="O203" s="1" t="n">
        <f aca="false">VLOOKUP(K203,clasif_filas!$A$1:$J$39,5,FALSE())</f>
        <v>99</v>
      </c>
      <c r="P203" s="1" t="str">
        <f aca="false">VLOOKUP(K203,clasif_filas!$A$1:$J$39,6,FALSE())</f>
        <v>No Bioeconomía</v>
      </c>
      <c r="Q203" s="1" t="n">
        <f aca="false">VLOOKUP(K203,clasif_filas!$A$1:$J$39,7,FALSE())</f>
        <v>4</v>
      </c>
      <c r="R203" s="1" t="str">
        <f aca="false">VLOOKUP(K203,clasif_filas!$A$1:$J$39,8,FALSE())</f>
        <v>Productos metálicos, maquinaria y equipo</v>
      </c>
      <c r="S203" s="1" t="n">
        <f aca="false">VLOOKUP(K203,clasif_filas!$A$1:$J$39,9,FALSE())</f>
        <v>3</v>
      </c>
      <c r="T203" s="1" t="str">
        <f aca="false">VLOOKUP(K203,clasif_filas!$A$1:$J$39,10,FALSE())</f>
        <v>No bioeconomía</v>
      </c>
      <c r="U203" s="61"/>
    </row>
    <row r="204" customFormat="false" ht="14.25" hidden="false" customHeight="false" outlineLevel="0" collapsed="false">
      <c r="A204" s="24" t="s">
        <v>669</v>
      </c>
      <c r="B204" s="9" t="s">
        <v>2079</v>
      </c>
      <c r="C204" s="9" t="str">
        <f aca="false">VLOOKUP(B204, AT_FILAS!$A$2:$C$8,2,FALSE())</f>
        <v>Consumo intermedio</v>
      </c>
      <c r="D204" s="9" t="str">
        <f aca="false">VLOOKUP(B204, AT_FILAS!$A$2:$C$8,3,FALSE())</f>
        <v>P2</v>
      </c>
      <c r="E204" s="9" t="s">
        <v>1969</v>
      </c>
      <c r="F204" s="9" t="s">
        <v>1970</v>
      </c>
      <c r="G204" s="9" t="s">
        <v>1750</v>
      </c>
      <c r="H204" s="9" t="n">
        <v>4</v>
      </c>
      <c r="I204" s="9" t="s">
        <v>1750</v>
      </c>
      <c r="J204" s="9" t="s">
        <v>1750</v>
      </c>
      <c r="K204" s="62" t="s">
        <v>1958</v>
      </c>
      <c r="L204" s="1" t="str">
        <f aca="false">VLOOKUP(K204,clasif_filas!$A$1:$J$39,2,FALSE())</f>
        <v>Metales, Maquianria, equipos y transporte</v>
      </c>
      <c r="M204" s="1" t="str">
        <f aca="false">VLOOKUP(K204,clasif_filas!$A$1:$J$39,3,FALSE())</f>
        <v>41-49</v>
      </c>
      <c r="N204" s="1" t="str">
        <f aca="false">VLOOKUP(K204,clasif_filas!$A$1:$J$39,4,FALSE())</f>
        <v>Metales, Maquianria, equipos y transporte</v>
      </c>
      <c r="O204" s="1" t="n">
        <f aca="false">VLOOKUP(K204,clasif_filas!$A$1:$J$39,5,FALSE())</f>
        <v>99</v>
      </c>
      <c r="P204" s="1" t="str">
        <f aca="false">VLOOKUP(K204,clasif_filas!$A$1:$J$39,6,FALSE())</f>
        <v>No Bioeconomía</v>
      </c>
      <c r="Q204" s="1" t="n">
        <f aca="false">VLOOKUP(K204,clasif_filas!$A$1:$J$39,7,FALSE())</f>
        <v>4</v>
      </c>
      <c r="R204" s="1" t="str">
        <f aca="false">VLOOKUP(K204,clasif_filas!$A$1:$J$39,8,FALSE())</f>
        <v>Productos metálicos, maquinaria y equipo</v>
      </c>
      <c r="S204" s="1" t="n">
        <f aca="false">VLOOKUP(K204,clasif_filas!$A$1:$J$39,9,FALSE())</f>
        <v>3</v>
      </c>
      <c r="T204" s="1" t="str">
        <f aca="false">VLOOKUP(K204,clasif_filas!$A$1:$J$39,10,FALSE())</f>
        <v>No bioeconomía</v>
      </c>
      <c r="U204" s="61"/>
    </row>
    <row r="205" customFormat="false" ht="14.25" hidden="false" customHeight="false" outlineLevel="0" collapsed="false">
      <c r="A205" s="24" t="s">
        <v>671</v>
      </c>
      <c r="B205" s="9" t="s">
        <v>2079</v>
      </c>
      <c r="C205" s="9" t="str">
        <f aca="false">VLOOKUP(B205, AT_FILAS!$A$2:$C$8,2,FALSE())</f>
        <v>Consumo intermedio</v>
      </c>
      <c r="D205" s="9" t="str">
        <f aca="false">VLOOKUP(B205, AT_FILAS!$A$2:$C$8,3,FALSE())</f>
        <v>P2</v>
      </c>
      <c r="E205" s="9" t="s">
        <v>1971</v>
      </c>
      <c r="F205" s="9" t="s">
        <v>1972</v>
      </c>
      <c r="G205" s="9" t="s">
        <v>1750</v>
      </c>
      <c r="H205" s="9" t="n">
        <v>4</v>
      </c>
      <c r="I205" s="9" t="s">
        <v>1750</v>
      </c>
      <c r="J205" s="9" t="s">
        <v>1750</v>
      </c>
      <c r="K205" s="62" t="s">
        <v>1958</v>
      </c>
      <c r="L205" s="1" t="str">
        <f aca="false">VLOOKUP(K205,clasif_filas!$A$1:$J$39,2,FALSE())</f>
        <v>Metales, Maquianria, equipos y transporte</v>
      </c>
      <c r="M205" s="1" t="str">
        <f aca="false">VLOOKUP(K205,clasif_filas!$A$1:$J$39,3,FALSE())</f>
        <v>41-49</v>
      </c>
      <c r="N205" s="1" t="str">
        <f aca="false">VLOOKUP(K205,clasif_filas!$A$1:$J$39,4,FALSE())</f>
        <v>Metales, Maquianria, equipos y transporte</v>
      </c>
      <c r="O205" s="1" t="n">
        <f aca="false">VLOOKUP(K205,clasif_filas!$A$1:$J$39,5,FALSE())</f>
        <v>99</v>
      </c>
      <c r="P205" s="1" t="str">
        <f aca="false">VLOOKUP(K205,clasif_filas!$A$1:$J$39,6,FALSE())</f>
        <v>No Bioeconomía</v>
      </c>
      <c r="Q205" s="1" t="n">
        <f aca="false">VLOOKUP(K205,clasif_filas!$A$1:$J$39,7,FALSE())</f>
        <v>4</v>
      </c>
      <c r="R205" s="1" t="str">
        <f aca="false">VLOOKUP(K205,clasif_filas!$A$1:$J$39,8,FALSE())</f>
        <v>Productos metálicos, maquinaria y equipo</v>
      </c>
      <c r="S205" s="1" t="n">
        <f aca="false">VLOOKUP(K205,clasif_filas!$A$1:$J$39,9,FALSE())</f>
        <v>3</v>
      </c>
      <c r="T205" s="1" t="str">
        <f aca="false">VLOOKUP(K205,clasif_filas!$A$1:$J$39,10,FALSE())</f>
        <v>No bioeconomía</v>
      </c>
      <c r="U205" s="61"/>
    </row>
    <row r="206" customFormat="false" ht="14.25" hidden="false" customHeight="false" outlineLevel="0" collapsed="false">
      <c r="A206" s="24" t="s">
        <v>673</v>
      </c>
      <c r="B206" s="9" t="s">
        <v>2079</v>
      </c>
      <c r="C206" s="9" t="str">
        <f aca="false">VLOOKUP(B206, AT_FILAS!$A$2:$C$8,2,FALSE())</f>
        <v>Consumo intermedio</v>
      </c>
      <c r="D206" s="9" t="str">
        <f aca="false">VLOOKUP(B206, AT_FILAS!$A$2:$C$8,3,FALSE())</f>
        <v>P2</v>
      </c>
      <c r="E206" s="9" t="s">
        <v>1973</v>
      </c>
      <c r="F206" s="9" t="s">
        <v>1974</v>
      </c>
      <c r="G206" s="9" t="s">
        <v>1750</v>
      </c>
      <c r="H206" s="9" t="n">
        <v>4</v>
      </c>
      <c r="I206" s="9" t="s">
        <v>1750</v>
      </c>
      <c r="J206" s="9" t="s">
        <v>1750</v>
      </c>
      <c r="K206" s="62" t="s">
        <v>1958</v>
      </c>
      <c r="L206" s="1" t="str">
        <f aca="false">VLOOKUP(K206,clasif_filas!$A$1:$J$39,2,FALSE())</f>
        <v>Metales, Maquianria, equipos y transporte</v>
      </c>
      <c r="M206" s="1" t="str">
        <f aca="false">VLOOKUP(K206,clasif_filas!$A$1:$J$39,3,FALSE())</f>
        <v>41-49</v>
      </c>
      <c r="N206" s="1" t="str">
        <f aca="false">VLOOKUP(K206,clasif_filas!$A$1:$J$39,4,FALSE())</f>
        <v>Metales, Maquianria, equipos y transporte</v>
      </c>
      <c r="O206" s="1" t="n">
        <f aca="false">VLOOKUP(K206,clasif_filas!$A$1:$J$39,5,FALSE())</f>
        <v>99</v>
      </c>
      <c r="P206" s="1" t="str">
        <f aca="false">VLOOKUP(K206,clasif_filas!$A$1:$J$39,6,FALSE())</f>
        <v>No Bioeconomía</v>
      </c>
      <c r="Q206" s="1" t="n">
        <f aca="false">VLOOKUP(K206,clasif_filas!$A$1:$J$39,7,FALSE())</f>
        <v>4</v>
      </c>
      <c r="R206" s="1" t="str">
        <f aca="false">VLOOKUP(K206,clasif_filas!$A$1:$J$39,8,FALSE())</f>
        <v>Productos metálicos, maquinaria y equipo</v>
      </c>
      <c r="S206" s="1" t="n">
        <f aca="false">VLOOKUP(K206,clasif_filas!$A$1:$J$39,9,FALSE())</f>
        <v>3</v>
      </c>
      <c r="T206" s="1" t="str">
        <f aca="false">VLOOKUP(K206,clasif_filas!$A$1:$J$39,10,FALSE())</f>
        <v>No bioeconomía</v>
      </c>
      <c r="U206" s="61"/>
    </row>
    <row r="207" customFormat="false" ht="14.25" hidden="false" customHeight="false" outlineLevel="0" collapsed="false">
      <c r="A207" s="24" t="s">
        <v>675</v>
      </c>
      <c r="B207" s="9" t="s">
        <v>2079</v>
      </c>
      <c r="C207" s="9" t="str">
        <f aca="false">VLOOKUP(B207, AT_FILAS!$A$2:$C$8,2,FALSE())</f>
        <v>Consumo intermedio</v>
      </c>
      <c r="D207" s="9" t="str">
        <f aca="false">VLOOKUP(B207, AT_FILAS!$A$2:$C$8,3,FALSE())</f>
        <v>P2</v>
      </c>
      <c r="E207" s="9" t="s">
        <v>1975</v>
      </c>
      <c r="F207" s="9" t="s">
        <v>1976</v>
      </c>
      <c r="G207" s="9" t="s">
        <v>1750</v>
      </c>
      <c r="H207" s="9" t="n">
        <v>4</v>
      </c>
      <c r="I207" s="9" t="s">
        <v>1750</v>
      </c>
      <c r="J207" s="9" t="s">
        <v>1750</v>
      </c>
      <c r="K207" s="62" t="s">
        <v>1958</v>
      </c>
      <c r="L207" s="1" t="str">
        <f aca="false">VLOOKUP(K207,clasif_filas!$A$1:$J$39,2,FALSE())</f>
        <v>Metales, Maquianria, equipos y transporte</v>
      </c>
      <c r="M207" s="1" t="str">
        <f aca="false">VLOOKUP(K207,clasif_filas!$A$1:$J$39,3,FALSE())</f>
        <v>41-49</v>
      </c>
      <c r="N207" s="1" t="str">
        <f aca="false">VLOOKUP(K207,clasif_filas!$A$1:$J$39,4,FALSE())</f>
        <v>Metales, Maquianria, equipos y transporte</v>
      </c>
      <c r="O207" s="1" t="n">
        <f aca="false">VLOOKUP(K207,clasif_filas!$A$1:$J$39,5,FALSE())</f>
        <v>99</v>
      </c>
      <c r="P207" s="1" t="str">
        <f aca="false">VLOOKUP(K207,clasif_filas!$A$1:$J$39,6,FALSE())</f>
        <v>No Bioeconomía</v>
      </c>
      <c r="Q207" s="1" t="n">
        <f aca="false">VLOOKUP(K207,clasif_filas!$A$1:$J$39,7,FALSE())</f>
        <v>4</v>
      </c>
      <c r="R207" s="1" t="str">
        <f aca="false">VLOOKUP(K207,clasif_filas!$A$1:$J$39,8,FALSE())</f>
        <v>Productos metálicos, maquinaria y equipo</v>
      </c>
      <c r="S207" s="1" t="n">
        <f aca="false">VLOOKUP(K207,clasif_filas!$A$1:$J$39,9,FALSE())</f>
        <v>3</v>
      </c>
      <c r="T207" s="1" t="str">
        <f aca="false">VLOOKUP(K207,clasif_filas!$A$1:$J$39,10,FALSE())</f>
        <v>No bioeconomía</v>
      </c>
      <c r="U207" s="61"/>
    </row>
    <row r="208" customFormat="false" ht="14.25" hidden="false" customHeight="false" outlineLevel="0" collapsed="false">
      <c r="A208" s="24" t="s">
        <v>677</v>
      </c>
      <c r="B208" s="9" t="s">
        <v>2079</v>
      </c>
      <c r="C208" s="9" t="str">
        <f aca="false">VLOOKUP(B208, AT_FILAS!$A$2:$C$8,2,FALSE())</f>
        <v>Consumo intermedio</v>
      </c>
      <c r="D208" s="9" t="str">
        <f aca="false">VLOOKUP(B208, AT_FILAS!$A$2:$C$8,3,FALSE())</f>
        <v>P2</v>
      </c>
      <c r="E208" s="9" t="s">
        <v>1977</v>
      </c>
      <c r="F208" s="9" t="s">
        <v>1978</v>
      </c>
      <c r="G208" s="9" t="s">
        <v>1750</v>
      </c>
      <c r="H208" s="9" t="n">
        <v>4</v>
      </c>
      <c r="I208" s="9" t="s">
        <v>1750</v>
      </c>
      <c r="J208" s="9" t="s">
        <v>1750</v>
      </c>
      <c r="K208" s="62" t="s">
        <v>1958</v>
      </c>
      <c r="L208" s="1" t="str">
        <f aca="false">VLOOKUP(K208,clasif_filas!$A$1:$J$39,2,FALSE())</f>
        <v>Metales, Maquianria, equipos y transporte</v>
      </c>
      <c r="M208" s="1" t="str">
        <f aca="false">VLOOKUP(K208,clasif_filas!$A$1:$J$39,3,FALSE())</f>
        <v>41-49</v>
      </c>
      <c r="N208" s="1" t="str">
        <f aca="false">VLOOKUP(K208,clasif_filas!$A$1:$J$39,4,FALSE())</f>
        <v>Metales, Maquianria, equipos y transporte</v>
      </c>
      <c r="O208" s="1" t="n">
        <f aca="false">VLOOKUP(K208,clasif_filas!$A$1:$J$39,5,FALSE())</f>
        <v>99</v>
      </c>
      <c r="P208" s="1" t="str">
        <f aca="false">VLOOKUP(K208,clasif_filas!$A$1:$J$39,6,FALSE())</f>
        <v>No Bioeconomía</v>
      </c>
      <c r="Q208" s="1" t="n">
        <f aca="false">VLOOKUP(K208,clasif_filas!$A$1:$J$39,7,FALSE())</f>
        <v>4</v>
      </c>
      <c r="R208" s="1" t="str">
        <f aca="false">VLOOKUP(K208,clasif_filas!$A$1:$J$39,8,FALSE())</f>
        <v>Productos metálicos, maquinaria y equipo</v>
      </c>
      <c r="S208" s="1" t="n">
        <f aca="false">VLOOKUP(K208,clasif_filas!$A$1:$J$39,9,FALSE())</f>
        <v>3</v>
      </c>
      <c r="T208" s="1" t="str">
        <f aca="false">VLOOKUP(K208,clasif_filas!$A$1:$J$39,10,FALSE())</f>
        <v>No bioeconomía</v>
      </c>
      <c r="U208" s="61"/>
    </row>
    <row r="209" customFormat="false" ht="14.25" hidden="false" customHeight="false" outlineLevel="0" collapsed="false">
      <c r="A209" s="24" t="s">
        <v>679</v>
      </c>
      <c r="B209" s="9" t="s">
        <v>2079</v>
      </c>
      <c r="C209" s="9" t="str">
        <f aca="false">VLOOKUP(B209, AT_FILAS!$A$2:$C$8,2,FALSE())</f>
        <v>Consumo intermedio</v>
      </c>
      <c r="D209" s="9" t="str">
        <f aca="false">VLOOKUP(B209, AT_FILAS!$A$2:$C$8,3,FALSE())</f>
        <v>P2</v>
      </c>
      <c r="E209" s="9" t="s">
        <v>1979</v>
      </c>
      <c r="F209" s="9" t="s">
        <v>1980</v>
      </c>
      <c r="G209" s="9" t="s">
        <v>1750</v>
      </c>
      <c r="H209" s="9" t="n">
        <v>4</v>
      </c>
      <c r="I209" s="9" t="s">
        <v>1750</v>
      </c>
      <c r="J209" s="9" t="s">
        <v>1750</v>
      </c>
      <c r="K209" s="62" t="s">
        <v>1958</v>
      </c>
      <c r="L209" s="1" t="str">
        <f aca="false">VLOOKUP(K209,clasif_filas!$A$1:$J$39,2,FALSE())</f>
        <v>Metales, Maquianria, equipos y transporte</v>
      </c>
      <c r="M209" s="1" t="str">
        <f aca="false">VLOOKUP(K209,clasif_filas!$A$1:$J$39,3,FALSE())</f>
        <v>41-49</v>
      </c>
      <c r="N209" s="1" t="str">
        <f aca="false">VLOOKUP(K209,clasif_filas!$A$1:$J$39,4,FALSE())</f>
        <v>Metales, Maquianria, equipos y transporte</v>
      </c>
      <c r="O209" s="1" t="n">
        <f aca="false">VLOOKUP(K209,clasif_filas!$A$1:$J$39,5,FALSE())</f>
        <v>99</v>
      </c>
      <c r="P209" s="1" t="str">
        <f aca="false">VLOOKUP(K209,clasif_filas!$A$1:$J$39,6,FALSE())</f>
        <v>No Bioeconomía</v>
      </c>
      <c r="Q209" s="1" t="n">
        <f aca="false">VLOOKUP(K209,clasif_filas!$A$1:$J$39,7,FALSE())</f>
        <v>4</v>
      </c>
      <c r="R209" s="1" t="str">
        <f aca="false">VLOOKUP(K209,clasif_filas!$A$1:$J$39,8,FALSE())</f>
        <v>Productos metálicos, maquinaria y equipo</v>
      </c>
      <c r="S209" s="1" t="n">
        <f aca="false">VLOOKUP(K209,clasif_filas!$A$1:$J$39,9,FALSE())</f>
        <v>3</v>
      </c>
      <c r="T209" s="1" t="str">
        <f aca="false">VLOOKUP(K209,clasif_filas!$A$1:$J$39,10,FALSE())</f>
        <v>No bioeconomía</v>
      </c>
      <c r="U209" s="61"/>
    </row>
    <row r="210" customFormat="false" ht="14.25" hidden="false" customHeight="false" outlineLevel="0" collapsed="false">
      <c r="A210" s="24" t="s">
        <v>681</v>
      </c>
      <c r="B210" s="9" t="s">
        <v>2079</v>
      </c>
      <c r="C210" s="9" t="str">
        <f aca="false">VLOOKUP(B210, AT_FILAS!$A$2:$C$8,2,FALSE())</f>
        <v>Consumo intermedio</v>
      </c>
      <c r="D210" s="9" t="str">
        <f aca="false">VLOOKUP(B210, AT_FILAS!$A$2:$C$8,3,FALSE())</f>
        <v>P2</v>
      </c>
      <c r="E210" s="9" t="s">
        <v>1981</v>
      </c>
      <c r="F210" s="9" t="s">
        <v>1982</v>
      </c>
      <c r="G210" s="9" t="s">
        <v>1750</v>
      </c>
      <c r="H210" s="9" t="n">
        <v>4</v>
      </c>
      <c r="I210" s="9" t="s">
        <v>1750</v>
      </c>
      <c r="J210" s="9" t="s">
        <v>1750</v>
      </c>
      <c r="K210" s="62" t="s">
        <v>1958</v>
      </c>
      <c r="L210" s="1" t="str">
        <f aca="false">VLOOKUP(K210,clasif_filas!$A$1:$J$39,2,FALSE())</f>
        <v>Metales, Maquianria, equipos y transporte</v>
      </c>
      <c r="M210" s="1" t="str">
        <f aca="false">VLOOKUP(K210,clasif_filas!$A$1:$J$39,3,FALSE())</f>
        <v>41-49</v>
      </c>
      <c r="N210" s="1" t="str">
        <f aca="false">VLOOKUP(K210,clasif_filas!$A$1:$J$39,4,FALSE())</f>
        <v>Metales, Maquianria, equipos y transporte</v>
      </c>
      <c r="O210" s="1" t="n">
        <f aca="false">VLOOKUP(K210,clasif_filas!$A$1:$J$39,5,FALSE())</f>
        <v>99</v>
      </c>
      <c r="P210" s="1" t="str">
        <f aca="false">VLOOKUP(K210,clasif_filas!$A$1:$J$39,6,FALSE())</f>
        <v>No Bioeconomía</v>
      </c>
      <c r="Q210" s="1" t="n">
        <f aca="false">VLOOKUP(K210,clasif_filas!$A$1:$J$39,7,FALSE())</f>
        <v>4</v>
      </c>
      <c r="R210" s="1" t="str">
        <f aca="false">VLOOKUP(K210,clasif_filas!$A$1:$J$39,8,FALSE())</f>
        <v>Productos metálicos, maquinaria y equipo</v>
      </c>
      <c r="S210" s="1" t="n">
        <f aca="false">VLOOKUP(K210,clasif_filas!$A$1:$J$39,9,FALSE())</f>
        <v>3</v>
      </c>
      <c r="T210" s="1" t="str">
        <f aca="false">VLOOKUP(K210,clasif_filas!$A$1:$J$39,10,FALSE())</f>
        <v>No bioeconomía</v>
      </c>
      <c r="U210" s="61"/>
    </row>
    <row r="211" customFormat="false" ht="14.25" hidden="false" customHeight="false" outlineLevel="0" collapsed="false">
      <c r="A211" s="24" t="s">
        <v>683</v>
      </c>
      <c r="B211" s="9" t="s">
        <v>2079</v>
      </c>
      <c r="C211" s="9" t="str">
        <f aca="false">VLOOKUP(B211, AT_FILAS!$A$2:$C$8,2,FALSE())</f>
        <v>Consumo intermedio</v>
      </c>
      <c r="D211" s="9" t="str">
        <f aca="false">VLOOKUP(B211, AT_FILAS!$A$2:$C$8,3,FALSE())</f>
        <v>P2</v>
      </c>
      <c r="E211" s="9" t="s">
        <v>1983</v>
      </c>
      <c r="F211" s="9" t="s">
        <v>1984</v>
      </c>
      <c r="G211" s="9" t="s">
        <v>1750</v>
      </c>
      <c r="H211" s="9" t="n">
        <v>4</v>
      </c>
      <c r="I211" s="9" t="s">
        <v>1750</v>
      </c>
      <c r="J211" s="9" t="s">
        <v>1750</v>
      </c>
      <c r="K211" s="62" t="s">
        <v>1958</v>
      </c>
      <c r="L211" s="1" t="str">
        <f aca="false">VLOOKUP(K211,clasif_filas!$A$1:$J$39,2,FALSE())</f>
        <v>Metales, Maquianria, equipos y transporte</v>
      </c>
      <c r="M211" s="1" t="str">
        <f aca="false">VLOOKUP(K211,clasif_filas!$A$1:$J$39,3,FALSE())</f>
        <v>41-49</v>
      </c>
      <c r="N211" s="1" t="str">
        <f aca="false">VLOOKUP(K211,clasif_filas!$A$1:$J$39,4,FALSE())</f>
        <v>Metales, Maquianria, equipos y transporte</v>
      </c>
      <c r="O211" s="1" t="n">
        <f aca="false">VLOOKUP(K211,clasif_filas!$A$1:$J$39,5,FALSE())</f>
        <v>99</v>
      </c>
      <c r="P211" s="1" t="str">
        <f aca="false">VLOOKUP(K211,clasif_filas!$A$1:$J$39,6,FALSE())</f>
        <v>No Bioeconomía</v>
      </c>
      <c r="Q211" s="1" t="n">
        <f aca="false">VLOOKUP(K211,clasif_filas!$A$1:$J$39,7,FALSE())</f>
        <v>4</v>
      </c>
      <c r="R211" s="1" t="str">
        <f aca="false">VLOOKUP(K211,clasif_filas!$A$1:$J$39,8,FALSE())</f>
        <v>Productos metálicos, maquinaria y equipo</v>
      </c>
      <c r="S211" s="1" t="n">
        <f aca="false">VLOOKUP(K211,clasif_filas!$A$1:$J$39,9,FALSE())</f>
        <v>3</v>
      </c>
      <c r="T211" s="1" t="str">
        <f aca="false">VLOOKUP(K211,clasif_filas!$A$1:$J$39,10,FALSE())</f>
        <v>No bioeconomía</v>
      </c>
      <c r="U211" s="61"/>
    </row>
    <row r="212" customFormat="false" ht="14.25" hidden="false" customHeight="false" outlineLevel="0" collapsed="false">
      <c r="A212" s="24" t="s">
        <v>685</v>
      </c>
      <c r="B212" s="9" t="s">
        <v>2079</v>
      </c>
      <c r="C212" s="9" t="str">
        <f aca="false">VLOOKUP(B212, AT_FILAS!$A$2:$C$8,2,FALSE())</f>
        <v>Consumo intermedio</v>
      </c>
      <c r="D212" s="9" t="str">
        <f aca="false">VLOOKUP(B212, AT_FILAS!$A$2:$C$8,3,FALSE())</f>
        <v>P2</v>
      </c>
      <c r="E212" s="9" t="s">
        <v>1985</v>
      </c>
      <c r="F212" s="9" t="s">
        <v>1986</v>
      </c>
      <c r="G212" s="9" t="s">
        <v>1750</v>
      </c>
      <c r="H212" s="9" t="n">
        <v>4</v>
      </c>
      <c r="I212" s="9" t="s">
        <v>1750</v>
      </c>
      <c r="J212" s="9" t="s">
        <v>1750</v>
      </c>
      <c r="K212" s="62" t="s">
        <v>1958</v>
      </c>
      <c r="L212" s="1" t="str">
        <f aca="false">VLOOKUP(K212,clasif_filas!$A$1:$J$39,2,FALSE())</f>
        <v>Metales, Maquianria, equipos y transporte</v>
      </c>
      <c r="M212" s="1" t="str">
        <f aca="false">VLOOKUP(K212,clasif_filas!$A$1:$J$39,3,FALSE())</f>
        <v>41-49</v>
      </c>
      <c r="N212" s="1" t="str">
        <f aca="false">VLOOKUP(K212,clasif_filas!$A$1:$J$39,4,FALSE())</f>
        <v>Metales, Maquianria, equipos y transporte</v>
      </c>
      <c r="O212" s="1" t="n">
        <f aca="false">VLOOKUP(K212,clasif_filas!$A$1:$J$39,5,FALSE())</f>
        <v>99</v>
      </c>
      <c r="P212" s="1" t="str">
        <f aca="false">VLOOKUP(K212,clasif_filas!$A$1:$J$39,6,FALSE())</f>
        <v>No Bioeconomía</v>
      </c>
      <c r="Q212" s="1" t="n">
        <f aca="false">VLOOKUP(K212,clasif_filas!$A$1:$J$39,7,FALSE())</f>
        <v>4</v>
      </c>
      <c r="R212" s="1" t="str">
        <f aca="false">VLOOKUP(K212,clasif_filas!$A$1:$J$39,8,FALSE())</f>
        <v>Productos metálicos, maquinaria y equipo</v>
      </c>
      <c r="S212" s="1" t="n">
        <f aca="false">VLOOKUP(K212,clasif_filas!$A$1:$J$39,9,FALSE())</f>
        <v>3</v>
      </c>
      <c r="T212" s="1" t="str">
        <f aca="false">VLOOKUP(K212,clasif_filas!$A$1:$J$39,10,FALSE())</f>
        <v>No bioeconomía</v>
      </c>
      <c r="U212" s="61"/>
    </row>
    <row r="213" customFormat="false" ht="14.25" hidden="false" customHeight="false" outlineLevel="0" collapsed="false">
      <c r="A213" s="24" t="s">
        <v>687</v>
      </c>
      <c r="B213" s="9" t="s">
        <v>2079</v>
      </c>
      <c r="C213" s="9" t="str">
        <f aca="false">VLOOKUP(B213, AT_FILAS!$A$2:$C$8,2,FALSE())</f>
        <v>Consumo intermedio</v>
      </c>
      <c r="D213" s="9" t="str">
        <f aca="false">VLOOKUP(B213, AT_FILAS!$A$2:$C$8,3,FALSE())</f>
        <v>P2</v>
      </c>
      <c r="E213" s="9" t="s">
        <v>1987</v>
      </c>
      <c r="F213" s="9" t="s">
        <v>1988</v>
      </c>
      <c r="G213" s="9" t="s">
        <v>1750</v>
      </c>
      <c r="H213" s="9" t="n">
        <v>4</v>
      </c>
      <c r="I213" s="9" t="s">
        <v>1750</v>
      </c>
      <c r="J213" s="9" t="s">
        <v>1750</v>
      </c>
      <c r="K213" s="62" t="s">
        <v>1958</v>
      </c>
      <c r="L213" s="1" t="str">
        <f aca="false">VLOOKUP(K213,clasif_filas!$A$1:$J$39,2,FALSE())</f>
        <v>Metales, Maquianria, equipos y transporte</v>
      </c>
      <c r="M213" s="1" t="str">
        <f aca="false">VLOOKUP(K213,clasif_filas!$A$1:$J$39,3,FALSE())</f>
        <v>41-49</v>
      </c>
      <c r="N213" s="1" t="str">
        <f aca="false">VLOOKUP(K213,clasif_filas!$A$1:$J$39,4,FALSE())</f>
        <v>Metales, Maquianria, equipos y transporte</v>
      </c>
      <c r="O213" s="1" t="n">
        <f aca="false">VLOOKUP(K213,clasif_filas!$A$1:$J$39,5,FALSE())</f>
        <v>99</v>
      </c>
      <c r="P213" s="1" t="str">
        <f aca="false">VLOOKUP(K213,clasif_filas!$A$1:$J$39,6,FALSE())</f>
        <v>No Bioeconomía</v>
      </c>
      <c r="Q213" s="1" t="n">
        <f aca="false">VLOOKUP(K213,clasif_filas!$A$1:$J$39,7,FALSE())</f>
        <v>4</v>
      </c>
      <c r="R213" s="1" t="str">
        <f aca="false">VLOOKUP(K213,clasif_filas!$A$1:$J$39,8,FALSE())</f>
        <v>Productos metálicos, maquinaria y equipo</v>
      </c>
      <c r="S213" s="1" t="n">
        <f aca="false">VLOOKUP(K213,clasif_filas!$A$1:$J$39,9,FALSE())</f>
        <v>3</v>
      </c>
      <c r="T213" s="1" t="str">
        <f aca="false">VLOOKUP(K213,clasif_filas!$A$1:$J$39,10,FALSE())</f>
        <v>No bioeconomía</v>
      </c>
      <c r="U213" s="61"/>
    </row>
    <row r="214" customFormat="false" ht="14.25" hidden="false" customHeight="false" outlineLevel="0" collapsed="false">
      <c r="A214" s="24" t="s">
        <v>689</v>
      </c>
      <c r="B214" s="9" t="s">
        <v>2079</v>
      </c>
      <c r="C214" s="9" t="str">
        <f aca="false">VLOOKUP(B214, AT_FILAS!$A$2:$C$8,2,FALSE())</f>
        <v>Consumo intermedio</v>
      </c>
      <c r="D214" s="9" t="str">
        <f aca="false">VLOOKUP(B214, AT_FILAS!$A$2:$C$8,3,FALSE())</f>
        <v>P2</v>
      </c>
      <c r="E214" s="9" t="s">
        <v>1989</v>
      </c>
      <c r="F214" s="9" t="s">
        <v>1990</v>
      </c>
      <c r="G214" s="9" t="s">
        <v>1750</v>
      </c>
      <c r="H214" s="9" t="n">
        <v>4</v>
      </c>
      <c r="I214" s="9" t="s">
        <v>1750</v>
      </c>
      <c r="J214" s="9" t="s">
        <v>1750</v>
      </c>
      <c r="K214" s="62" t="s">
        <v>1958</v>
      </c>
      <c r="L214" s="1" t="str">
        <f aca="false">VLOOKUP(K214,clasif_filas!$A$1:$J$39,2,FALSE())</f>
        <v>Metales, Maquianria, equipos y transporte</v>
      </c>
      <c r="M214" s="1" t="str">
        <f aca="false">VLOOKUP(K214,clasif_filas!$A$1:$J$39,3,FALSE())</f>
        <v>41-49</v>
      </c>
      <c r="N214" s="1" t="str">
        <f aca="false">VLOOKUP(K214,clasif_filas!$A$1:$J$39,4,FALSE())</f>
        <v>Metales, Maquianria, equipos y transporte</v>
      </c>
      <c r="O214" s="1" t="n">
        <f aca="false">VLOOKUP(K214,clasif_filas!$A$1:$J$39,5,FALSE())</f>
        <v>99</v>
      </c>
      <c r="P214" s="1" t="str">
        <f aca="false">VLOOKUP(K214,clasif_filas!$A$1:$J$39,6,FALSE())</f>
        <v>No Bioeconomía</v>
      </c>
      <c r="Q214" s="1" t="n">
        <f aca="false">VLOOKUP(K214,clasif_filas!$A$1:$J$39,7,FALSE())</f>
        <v>4</v>
      </c>
      <c r="R214" s="1" t="str">
        <f aca="false">VLOOKUP(K214,clasif_filas!$A$1:$J$39,8,FALSE())</f>
        <v>Productos metálicos, maquinaria y equipo</v>
      </c>
      <c r="S214" s="1" t="n">
        <f aca="false">VLOOKUP(K214,clasif_filas!$A$1:$J$39,9,FALSE())</f>
        <v>3</v>
      </c>
      <c r="T214" s="1" t="str">
        <f aca="false">VLOOKUP(K214,clasif_filas!$A$1:$J$39,10,FALSE())</f>
        <v>No bioeconomía</v>
      </c>
      <c r="U214" s="61"/>
    </row>
    <row r="215" customFormat="false" ht="14.25" hidden="false" customHeight="false" outlineLevel="0" collapsed="false">
      <c r="A215" s="24" t="s">
        <v>691</v>
      </c>
      <c r="B215" s="9" t="s">
        <v>2079</v>
      </c>
      <c r="C215" s="9" t="str">
        <f aca="false">VLOOKUP(B215, AT_FILAS!$A$2:$C$8,2,FALSE())</f>
        <v>Consumo intermedio</v>
      </c>
      <c r="D215" s="9" t="str">
        <f aca="false">VLOOKUP(B215, AT_FILAS!$A$2:$C$8,3,FALSE())</f>
        <v>P2</v>
      </c>
      <c r="E215" s="9" t="s">
        <v>1991</v>
      </c>
      <c r="F215" s="9" t="s">
        <v>1992</v>
      </c>
      <c r="G215" s="9" t="s">
        <v>1750</v>
      </c>
      <c r="H215" s="9" t="n">
        <v>4</v>
      </c>
      <c r="I215" s="9" t="s">
        <v>1750</v>
      </c>
      <c r="J215" s="9" t="s">
        <v>1750</v>
      </c>
      <c r="K215" s="62" t="s">
        <v>1958</v>
      </c>
      <c r="L215" s="1" t="str">
        <f aca="false">VLOOKUP(K215,clasif_filas!$A$1:$J$39,2,FALSE())</f>
        <v>Metales, Maquianria, equipos y transporte</v>
      </c>
      <c r="M215" s="1" t="str">
        <f aca="false">VLOOKUP(K215,clasif_filas!$A$1:$J$39,3,FALSE())</f>
        <v>41-49</v>
      </c>
      <c r="N215" s="1" t="str">
        <f aca="false">VLOOKUP(K215,clasif_filas!$A$1:$J$39,4,FALSE())</f>
        <v>Metales, Maquianria, equipos y transporte</v>
      </c>
      <c r="O215" s="1" t="n">
        <f aca="false">VLOOKUP(K215,clasif_filas!$A$1:$J$39,5,FALSE())</f>
        <v>99</v>
      </c>
      <c r="P215" s="1" t="str">
        <f aca="false">VLOOKUP(K215,clasif_filas!$A$1:$J$39,6,FALSE())</f>
        <v>No Bioeconomía</v>
      </c>
      <c r="Q215" s="1" t="n">
        <f aca="false">VLOOKUP(K215,clasif_filas!$A$1:$J$39,7,FALSE())</f>
        <v>4</v>
      </c>
      <c r="R215" s="1" t="str">
        <f aca="false">VLOOKUP(K215,clasif_filas!$A$1:$J$39,8,FALSE())</f>
        <v>Productos metálicos, maquinaria y equipo</v>
      </c>
      <c r="S215" s="1" t="n">
        <f aca="false">VLOOKUP(K215,clasif_filas!$A$1:$J$39,9,FALSE())</f>
        <v>3</v>
      </c>
      <c r="T215" s="1" t="str">
        <f aca="false">VLOOKUP(K215,clasif_filas!$A$1:$J$39,10,FALSE())</f>
        <v>No bioeconomía</v>
      </c>
      <c r="U215" s="61"/>
    </row>
    <row r="216" customFormat="false" ht="14.25" hidden="false" customHeight="false" outlineLevel="0" collapsed="false">
      <c r="A216" s="24" t="s">
        <v>693</v>
      </c>
      <c r="B216" s="9" t="s">
        <v>2079</v>
      </c>
      <c r="C216" s="9" t="str">
        <f aca="false">VLOOKUP(B216, AT_FILAS!$A$2:$C$8,2,FALSE())</f>
        <v>Consumo intermedio</v>
      </c>
      <c r="D216" s="9" t="str">
        <f aca="false">VLOOKUP(B216, AT_FILAS!$A$2:$C$8,3,FALSE())</f>
        <v>P2</v>
      </c>
      <c r="E216" s="9" t="s">
        <v>1993</v>
      </c>
      <c r="F216" s="9" t="s">
        <v>1994</v>
      </c>
      <c r="G216" s="9" t="s">
        <v>1750</v>
      </c>
      <c r="H216" s="9" t="n">
        <v>4</v>
      </c>
      <c r="I216" s="9" t="s">
        <v>1750</v>
      </c>
      <c r="J216" s="9" t="s">
        <v>1750</v>
      </c>
      <c r="K216" s="62" t="s">
        <v>1958</v>
      </c>
      <c r="L216" s="1" t="str">
        <f aca="false">VLOOKUP(K216,clasif_filas!$A$1:$J$39,2,FALSE())</f>
        <v>Metales, Maquianria, equipos y transporte</v>
      </c>
      <c r="M216" s="1" t="str">
        <f aca="false">VLOOKUP(K216,clasif_filas!$A$1:$J$39,3,FALSE())</f>
        <v>41-49</v>
      </c>
      <c r="N216" s="1" t="str">
        <f aca="false">VLOOKUP(K216,clasif_filas!$A$1:$J$39,4,FALSE())</f>
        <v>Metales, Maquianria, equipos y transporte</v>
      </c>
      <c r="O216" s="1" t="n">
        <f aca="false">VLOOKUP(K216,clasif_filas!$A$1:$J$39,5,FALSE())</f>
        <v>99</v>
      </c>
      <c r="P216" s="1" t="str">
        <f aca="false">VLOOKUP(K216,clasif_filas!$A$1:$J$39,6,FALSE())</f>
        <v>No Bioeconomía</v>
      </c>
      <c r="Q216" s="1" t="n">
        <f aca="false">VLOOKUP(K216,clasif_filas!$A$1:$J$39,7,FALSE())</f>
        <v>4</v>
      </c>
      <c r="R216" s="1" t="str">
        <f aca="false">VLOOKUP(K216,clasif_filas!$A$1:$J$39,8,FALSE())</f>
        <v>Productos metálicos, maquinaria y equipo</v>
      </c>
      <c r="S216" s="1" t="n">
        <f aca="false">VLOOKUP(K216,clasif_filas!$A$1:$J$39,9,FALSE())</f>
        <v>3</v>
      </c>
      <c r="T216" s="1" t="str">
        <f aca="false">VLOOKUP(K216,clasif_filas!$A$1:$J$39,10,FALSE())</f>
        <v>No bioeconomía</v>
      </c>
      <c r="U216" s="61"/>
    </row>
    <row r="217" customFormat="false" ht="14.25" hidden="false" customHeight="false" outlineLevel="0" collapsed="false">
      <c r="A217" s="24" t="s">
        <v>695</v>
      </c>
      <c r="B217" s="9" t="s">
        <v>2079</v>
      </c>
      <c r="C217" s="9" t="str">
        <f aca="false">VLOOKUP(B217, AT_FILAS!$A$2:$C$8,2,FALSE())</f>
        <v>Consumo intermedio</v>
      </c>
      <c r="D217" s="9" t="str">
        <f aca="false">VLOOKUP(B217, AT_FILAS!$A$2:$C$8,3,FALSE())</f>
        <v>P2</v>
      </c>
      <c r="E217" s="9" t="s">
        <v>1995</v>
      </c>
      <c r="F217" s="9" t="s">
        <v>1996</v>
      </c>
      <c r="G217" s="9" t="s">
        <v>1997</v>
      </c>
      <c r="H217" s="9" t="n">
        <v>1</v>
      </c>
      <c r="I217" s="9" t="s">
        <v>1790</v>
      </c>
      <c r="J217" s="9" t="s">
        <v>1827</v>
      </c>
      <c r="K217" s="1" t="n">
        <v>17.5</v>
      </c>
      <c r="L217" s="1" t="str">
        <f aca="false">VLOOKUP(K217,clasif_filas!$A$1:$J$39,2,FALSE())</f>
        <v>Electricidad y agua</v>
      </c>
      <c r="M217" s="1" t="n">
        <f aca="false">VLOOKUP(K217,clasif_filas!$A$1:$J$39,3,FALSE())</f>
        <v>17.5</v>
      </c>
      <c r="N217" s="1" t="str">
        <f aca="false">VLOOKUP(K217,clasif_filas!$A$1:$J$39,4,FALSE())</f>
        <v>Electricidad y agua</v>
      </c>
      <c r="O217" s="1" t="n">
        <f aca="false">VLOOKUP(K217,clasif_filas!$A$1:$J$39,5,FALSE())</f>
        <v>6</v>
      </c>
      <c r="P217" s="1" t="str">
        <f aca="false">VLOOKUP(K217,clasif_filas!$A$1:$J$39,6,FALSE())</f>
        <v>Conocimiento, procesos y servicios relacionados</v>
      </c>
      <c r="Q217" s="1" t="n">
        <f aca="false">VLOOKUP(K217,clasif_filas!$A$1:$J$39,7,FALSE())</f>
        <v>1</v>
      </c>
      <c r="R217" s="1" t="str">
        <f aca="false">VLOOKUP(K217,clasif_filas!$A$1:$J$39,8,FALSE())</f>
        <v>Minerales; electricidad, gas y agua</v>
      </c>
      <c r="S217" s="1" t="n">
        <f aca="false">VLOOKUP(K217,clasif_filas!$A$1:$J$39,9,FALSE())</f>
        <v>2</v>
      </c>
      <c r="T217" s="1" t="str">
        <f aca="false">VLOOKUP(K217,clasif_filas!$A$1:$J$39,10,FALSE())</f>
        <v>Bioeconomía extendida</v>
      </c>
      <c r="U217" s="61"/>
    </row>
    <row r="218" customFormat="false" ht="14.25" hidden="false" customHeight="false" outlineLevel="0" collapsed="false">
      <c r="A218" s="24" t="s">
        <v>697</v>
      </c>
      <c r="B218" s="9" t="s">
        <v>2079</v>
      </c>
      <c r="C218" s="9" t="str">
        <f aca="false">VLOOKUP(B218, AT_FILAS!$A$2:$C$8,2,FALSE())</f>
        <v>Consumo intermedio</v>
      </c>
      <c r="D218" s="9" t="str">
        <f aca="false">VLOOKUP(B218, AT_FILAS!$A$2:$C$8,3,FALSE())</f>
        <v>P2</v>
      </c>
      <c r="E218" s="9" t="s">
        <v>1998</v>
      </c>
      <c r="F218" s="9" t="s">
        <v>1999</v>
      </c>
      <c r="G218" s="9" t="s">
        <v>2000</v>
      </c>
      <c r="H218" s="9" t="n">
        <v>1</v>
      </c>
      <c r="I218" s="9" t="s">
        <v>1790</v>
      </c>
      <c r="J218" s="9" t="s">
        <v>1791</v>
      </c>
      <c r="K218" s="1" t="n">
        <v>94</v>
      </c>
      <c r="L218" s="1" t="str">
        <f aca="false">VLOOKUP(K218,clasif_filas!$A$1:$J$39,2,FALSE())</f>
        <v>Servicios de alcantarillado, recolección, tratamiento y disposición de desechos y otros servicios de saneamiento ambiental</v>
      </c>
      <c r="M218" s="1" t="n">
        <f aca="false">VLOOKUP(K218,clasif_filas!$A$1:$J$39,3,FALSE())</f>
        <v>94</v>
      </c>
      <c r="N218" s="1" t="str">
        <f aca="false">VLOOKUP(K218,clasif_filas!$A$1:$J$39,4,FALSE())</f>
        <v>Servicios de alcantarillado, recolección, tratamiento y disposición de desechos y otros servicios de saneamiento ambiental</v>
      </c>
      <c r="O218" s="1" t="n">
        <f aca="false">VLOOKUP(K218,clasif_filas!$A$1:$J$39,5,FALSE())</f>
        <v>4</v>
      </c>
      <c r="P218" s="1" t="str">
        <f aca="false">VLOOKUP(K218,clasif_filas!$A$1:$J$39,6,FALSE())</f>
        <v>Biomasa residual en los sectores agropecuario, pesca y acuacultura, forestal y agroindustrial</v>
      </c>
      <c r="Q218" s="1" t="n">
        <f aca="false">VLOOKUP(K218,clasif_filas!$A$1:$J$39,7,FALSE())</f>
        <v>9</v>
      </c>
      <c r="R218" s="1" t="str">
        <f aca="false">VLOOKUP(K218,clasif_filas!$A$1:$J$39,8,FALSE())</f>
        <v>Servicios para la comunidad, sociales y personales</v>
      </c>
      <c r="S218" s="1" t="n">
        <f aca="false">VLOOKUP(K218,clasif_filas!$A$1:$J$39,9,FALSE())</f>
        <v>2</v>
      </c>
      <c r="T218" s="1" t="str">
        <f aca="false">VLOOKUP(K218,clasif_filas!$A$1:$J$39,10,FALSE())</f>
        <v>Bioeconomía extendida</v>
      </c>
      <c r="U218" s="61"/>
    </row>
    <row r="219" customFormat="false" ht="14.25" hidden="false" customHeight="false" outlineLevel="0" collapsed="false">
      <c r="A219" s="24" t="s">
        <v>699</v>
      </c>
      <c r="B219" s="9" t="s">
        <v>2079</v>
      </c>
      <c r="C219" s="9" t="str">
        <f aca="false">VLOOKUP(B219, AT_FILAS!$A$2:$C$8,2,FALSE())</f>
        <v>Consumo intermedio</v>
      </c>
      <c r="D219" s="9" t="str">
        <f aca="false">VLOOKUP(B219, AT_FILAS!$A$2:$C$8,3,FALSE())</f>
        <v>P2</v>
      </c>
      <c r="E219" s="9" t="s">
        <v>2001</v>
      </c>
      <c r="F219" s="9" t="s">
        <v>2002</v>
      </c>
      <c r="G219" s="9" t="s">
        <v>1750</v>
      </c>
      <c r="H219" s="9" t="n">
        <v>4</v>
      </c>
      <c r="I219" s="9" t="s">
        <v>1750</v>
      </c>
      <c r="J219" s="9" t="s">
        <v>1750</v>
      </c>
      <c r="K219" s="1" t="n">
        <v>5</v>
      </c>
      <c r="L219" s="1" t="str">
        <f aca="false">VLOOKUP(K219,clasif_filas!$A$1:$J$39,2,FALSE())</f>
        <v>Construcciones y servicios de construcción</v>
      </c>
      <c r="M219" s="1" t="n">
        <f aca="false">VLOOKUP(K219,clasif_filas!$A$1:$J$39,3,FALSE())</f>
        <v>5</v>
      </c>
      <c r="N219" s="1" t="str">
        <f aca="false">VLOOKUP(K219,clasif_filas!$A$1:$J$39,4,FALSE())</f>
        <v>Construcciones y servicios de construcción</v>
      </c>
      <c r="O219" s="1" t="n">
        <f aca="false">VLOOKUP(K219,clasif_filas!$A$1:$J$39,5,FALSE())</f>
        <v>99</v>
      </c>
      <c r="P219" s="1" t="str">
        <f aca="false">VLOOKUP(K219,clasif_filas!$A$1:$J$39,6,FALSE())</f>
        <v>No Bioeconomía</v>
      </c>
      <c r="Q219" s="1" t="n">
        <f aca="false">VLOOKUP(K219,clasif_filas!$A$1:$J$39,7,FALSE())</f>
        <v>5</v>
      </c>
      <c r="R219" s="1" t="str">
        <f aca="false">VLOOKUP(K219,clasif_filas!$A$1:$J$39,8,FALSE())</f>
        <v>Construcciones y servicios de construcción</v>
      </c>
      <c r="S219" s="1" t="n">
        <f aca="false">VLOOKUP(K219,clasif_filas!$A$1:$J$39,9,FALSE())</f>
        <v>3</v>
      </c>
      <c r="T219" s="1" t="str">
        <f aca="false">VLOOKUP(K219,clasif_filas!$A$1:$J$39,10,FALSE())</f>
        <v>No bioeconomía</v>
      </c>
      <c r="U219" s="61"/>
    </row>
    <row r="220" customFormat="false" ht="14.25" hidden="false" customHeight="false" outlineLevel="0" collapsed="false">
      <c r="A220" s="24" t="s">
        <v>701</v>
      </c>
      <c r="B220" s="9" t="s">
        <v>2079</v>
      </c>
      <c r="C220" s="9" t="str">
        <f aca="false">VLOOKUP(B220, AT_FILAS!$A$2:$C$8,2,FALSE())</f>
        <v>Consumo intermedio</v>
      </c>
      <c r="D220" s="9" t="str">
        <f aca="false">VLOOKUP(B220, AT_FILAS!$A$2:$C$8,3,FALSE())</f>
        <v>P2</v>
      </c>
      <c r="E220" s="9" t="s">
        <v>2003</v>
      </c>
      <c r="F220" s="9" t="s">
        <v>2004</v>
      </c>
      <c r="G220" s="9" t="s">
        <v>1750</v>
      </c>
      <c r="H220" s="9" t="n">
        <v>4</v>
      </c>
      <c r="I220" s="9" t="s">
        <v>1750</v>
      </c>
      <c r="J220" s="9" t="s">
        <v>1750</v>
      </c>
      <c r="K220" s="1" t="n">
        <v>5</v>
      </c>
      <c r="L220" s="1" t="str">
        <f aca="false">VLOOKUP(K220,clasif_filas!$A$1:$J$39,2,FALSE())</f>
        <v>Construcciones y servicios de construcción</v>
      </c>
      <c r="M220" s="1" t="n">
        <f aca="false">VLOOKUP(K220,clasif_filas!$A$1:$J$39,3,FALSE())</f>
        <v>5</v>
      </c>
      <c r="N220" s="1" t="str">
        <f aca="false">VLOOKUP(K220,clasif_filas!$A$1:$J$39,4,FALSE())</f>
        <v>Construcciones y servicios de construcción</v>
      </c>
      <c r="O220" s="1" t="n">
        <f aca="false">VLOOKUP(K220,clasif_filas!$A$1:$J$39,5,FALSE())</f>
        <v>99</v>
      </c>
      <c r="P220" s="1" t="str">
        <f aca="false">VLOOKUP(K220,clasif_filas!$A$1:$J$39,6,FALSE())</f>
        <v>No Bioeconomía</v>
      </c>
      <c r="Q220" s="1" t="n">
        <f aca="false">VLOOKUP(K220,clasif_filas!$A$1:$J$39,7,FALSE())</f>
        <v>5</v>
      </c>
      <c r="R220" s="1" t="str">
        <f aca="false">VLOOKUP(K220,clasif_filas!$A$1:$J$39,8,FALSE())</f>
        <v>Construcciones y servicios de construcción</v>
      </c>
      <c r="S220" s="1" t="n">
        <f aca="false">VLOOKUP(K220,clasif_filas!$A$1:$J$39,9,FALSE())</f>
        <v>3</v>
      </c>
      <c r="T220" s="1" t="str">
        <f aca="false">VLOOKUP(K220,clasif_filas!$A$1:$J$39,10,FALSE())</f>
        <v>No bioeconomía</v>
      </c>
      <c r="U220" s="61"/>
    </row>
    <row r="221" customFormat="false" ht="14.25" hidden="false" customHeight="false" outlineLevel="0" collapsed="false">
      <c r="A221" s="24" t="s">
        <v>703</v>
      </c>
      <c r="B221" s="9" t="s">
        <v>2079</v>
      </c>
      <c r="C221" s="9" t="str">
        <f aca="false">VLOOKUP(B221, AT_FILAS!$A$2:$C$8,2,FALSE())</f>
        <v>Consumo intermedio</v>
      </c>
      <c r="D221" s="9" t="str">
        <f aca="false">VLOOKUP(B221, AT_FILAS!$A$2:$C$8,3,FALSE())</f>
        <v>P2</v>
      </c>
      <c r="E221" s="9" t="s">
        <v>2005</v>
      </c>
      <c r="F221" s="9" t="s">
        <v>2006</v>
      </c>
      <c r="G221" s="9" t="s">
        <v>1750</v>
      </c>
      <c r="H221" s="9" t="n">
        <v>4</v>
      </c>
      <c r="I221" s="9" t="s">
        <v>1750</v>
      </c>
      <c r="J221" s="9" t="s">
        <v>1750</v>
      </c>
      <c r="K221" s="1" t="n">
        <v>5</v>
      </c>
      <c r="L221" s="1" t="str">
        <f aca="false">VLOOKUP(K221,clasif_filas!$A$1:$J$39,2,FALSE())</f>
        <v>Construcciones y servicios de construcción</v>
      </c>
      <c r="M221" s="1" t="n">
        <f aca="false">VLOOKUP(K221,clasif_filas!$A$1:$J$39,3,FALSE())</f>
        <v>5</v>
      </c>
      <c r="N221" s="1" t="str">
        <f aca="false">VLOOKUP(K221,clasif_filas!$A$1:$J$39,4,FALSE())</f>
        <v>Construcciones y servicios de construcción</v>
      </c>
      <c r="O221" s="1" t="n">
        <f aca="false">VLOOKUP(K221,clasif_filas!$A$1:$J$39,5,FALSE())</f>
        <v>99</v>
      </c>
      <c r="P221" s="1" t="str">
        <f aca="false">VLOOKUP(K221,clasif_filas!$A$1:$J$39,6,FALSE())</f>
        <v>No Bioeconomía</v>
      </c>
      <c r="Q221" s="1" t="n">
        <f aca="false">VLOOKUP(K221,clasif_filas!$A$1:$J$39,7,FALSE())</f>
        <v>5</v>
      </c>
      <c r="R221" s="1" t="str">
        <f aca="false">VLOOKUP(K221,clasif_filas!$A$1:$J$39,8,FALSE())</f>
        <v>Construcciones y servicios de construcción</v>
      </c>
      <c r="S221" s="1" t="n">
        <f aca="false">VLOOKUP(K221,clasif_filas!$A$1:$J$39,9,FALSE())</f>
        <v>3</v>
      </c>
      <c r="T221" s="1" t="str">
        <f aca="false">VLOOKUP(K221,clasif_filas!$A$1:$J$39,10,FALSE())</f>
        <v>No bioeconomía</v>
      </c>
      <c r="U221" s="61"/>
    </row>
    <row r="222" customFormat="false" ht="14.25" hidden="false" customHeight="false" outlineLevel="0" collapsed="false">
      <c r="A222" s="24" t="s">
        <v>705</v>
      </c>
      <c r="B222" s="9" t="s">
        <v>2079</v>
      </c>
      <c r="C222" s="9" t="str">
        <f aca="false">VLOOKUP(B222, AT_FILAS!$A$2:$C$8,2,FALSE())</f>
        <v>Consumo intermedio</v>
      </c>
      <c r="D222" s="9" t="str">
        <f aca="false">VLOOKUP(B222, AT_FILAS!$A$2:$C$8,3,FALSE())</f>
        <v>P2</v>
      </c>
      <c r="E222" s="9" t="s">
        <v>2007</v>
      </c>
      <c r="F222" s="9" t="s">
        <v>2008</v>
      </c>
      <c r="G222" s="9" t="s">
        <v>1750</v>
      </c>
      <c r="H222" s="9" t="n">
        <v>4</v>
      </c>
      <c r="I222" s="9" t="s">
        <v>1750</v>
      </c>
      <c r="J222" s="9" t="s">
        <v>1750</v>
      </c>
      <c r="K222" s="1" t="n">
        <v>6</v>
      </c>
      <c r="L222" s="1" t="str">
        <f aca="false">VLOOKUP(K222,clasif_filas!$A$1:$J$39,2,FALSE())</f>
        <v>Otros servicios</v>
      </c>
      <c r="M222" s="1" t="n">
        <f aca="false">VLOOKUP(K222,clasif_filas!$A$1:$J$39,3,FALSE())</f>
        <v>6</v>
      </c>
      <c r="N222" s="1" t="str">
        <f aca="false">VLOOKUP(K222,clasif_filas!$A$1:$J$39,4,FALSE())</f>
        <v>Otros servicios</v>
      </c>
      <c r="O222" s="1" t="n">
        <f aca="false">VLOOKUP(K222,clasif_filas!$A$1:$J$39,5,FALSE())</f>
        <v>99</v>
      </c>
      <c r="P222" s="1" t="str">
        <f aca="false">VLOOKUP(K222,clasif_filas!$A$1:$J$39,6,FALSE())</f>
        <v>No Bioeconomía</v>
      </c>
      <c r="Q222" s="1" t="n">
        <f aca="false">VLOOKUP(K222,clasif_filas!$A$1:$J$39,7,FALSE())</f>
        <v>6</v>
      </c>
      <c r="R222" s="1" t="str">
        <f aca="false">VLOOKUP(K222,clasif_filas!$A$1:$J$39,8,FALSE())</f>
        <v>Servicios comerciales de distribución; alojamiento, servicios de suministro de comidas y bebidas; servicios de transporte; y servicios de distribución de electricidad, gas y agua</v>
      </c>
      <c r="S222" s="1" t="n">
        <f aca="false">VLOOKUP(K222,clasif_filas!$A$1:$J$39,9,FALSE())</f>
        <v>3</v>
      </c>
      <c r="T222" s="1" t="str">
        <f aca="false">VLOOKUP(K222,clasif_filas!$A$1:$J$39,10,FALSE())</f>
        <v>No bioeconomía</v>
      </c>
      <c r="U222" s="61"/>
    </row>
    <row r="223" customFormat="false" ht="14.25" hidden="false" customHeight="false" outlineLevel="0" collapsed="false">
      <c r="A223" s="24" t="s">
        <v>707</v>
      </c>
      <c r="B223" s="9" t="s">
        <v>2079</v>
      </c>
      <c r="C223" s="9" t="str">
        <f aca="false">VLOOKUP(B223, AT_FILAS!$A$2:$C$8,2,FALSE())</f>
        <v>Consumo intermedio</v>
      </c>
      <c r="D223" s="9" t="str">
        <f aca="false">VLOOKUP(B223, AT_FILAS!$A$2:$C$8,3,FALSE())</f>
        <v>P2</v>
      </c>
      <c r="E223" s="9" t="s">
        <v>2009</v>
      </c>
      <c r="F223" s="9" t="s">
        <v>2010</v>
      </c>
      <c r="G223" s="9" t="s">
        <v>1750</v>
      </c>
      <c r="H223" s="9" t="n">
        <v>4</v>
      </c>
      <c r="I223" s="9" t="s">
        <v>1750</v>
      </c>
      <c r="J223" s="9" t="s">
        <v>1750</v>
      </c>
      <c r="K223" s="1" t="n">
        <v>6</v>
      </c>
      <c r="L223" s="1" t="str">
        <f aca="false">VLOOKUP(K223,clasif_filas!$A$1:$J$39,2,FALSE())</f>
        <v>Otros servicios</v>
      </c>
      <c r="M223" s="1" t="n">
        <f aca="false">VLOOKUP(K223,clasif_filas!$A$1:$J$39,3,FALSE())</f>
        <v>6</v>
      </c>
      <c r="N223" s="1" t="str">
        <f aca="false">VLOOKUP(K223,clasif_filas!$A$1:$J$39,4,FALSE())</f>
        <v>Otros servicios</v>
      </c>
      <c r="O223" s="1" t="n">
        <f aca="false">VLOOKUP(K223,clasif_filas!$A$1:$J$39,5,FALSE())</f>
        <v>99</v>
      </c>
      <c r="P223" s="1" t="str">
        <f aca="false">VLOOKUP(K223,clasif_filas!$A$1:$J$39,6,FALSE())</f>
        <v>No Bioeconomía</v>
      </c>
      <c r="Q223" s="1" t="n">
        <f aca="false">VLOOKUP(K223,clasif_filas!$A$1:$J$39,7,FALSE())</f>
        <v>6</v>
      </c>
      <c r="R223" s="1" t="str">
        <f aca="false">VLOOKUP(K223,clasif_filas!$A$1:$J$39,8,FALSE())</f>
        <v>Servicios comerciales de distribución; alojamiento, servicios de suministro de comidas y bebidas; servicios de transporte; y servicios de distribución de electricidad, gas y agua</v>
      </c>
      <c r="S223" s="1" t="n">
        <f aca="false">VLOOKUP(K223,clasif_filas!$A$1:$J$39,9,FALSE())</f>
        <v>3</v>
      </c>
      <c r="T223" s="1" t="str">
        <f aca="false">VLOOKUP(K223,clasif_filas!$A$1:$J$39,10,FALSE())</f>
        <v>No bioeconomía</v>
      </c>
      <c r="U223" s="61"/>
    </row>
    <row r="224" customFormat="false" ht="14.25" hidden="false" customHeight="false" outlineLevel="0" collapsed="false">
      <c r="A224" s="24" t="s">
        <v>709</v>
      </c>
      <c r="B224" s="9" t="s">
        <v>2079</v>
      </c>
      <c r="C224" s="9" t="str">
        <f aca="false">VLOOKUP(B224, AT_FILAS!$A$2:$C$8,2,FALSE())</f>
        <v>Consumo intermedio</v>
      </c>
      <c r="D224" s="9" t="str">
        <f aca="false">VLOOKUP(B224, AT_FILAS!$A$2:$C$8,3,FALSE())</f>
        <v>P2</v>
      </c>
      <c r="E224" s="9" t="s">
        <v>2011</v>
      </c>
      <c r="F224" s="9" t="s">
        <v>2012</v>
      </c>
      <c r="G224" s="9" t="s">
        <v>1750</v>
      </c>
      <c r="H224" s="9" t="n">
        <v>4</v>
      </c>
      <c r="I224" s="9" t="s">
        <v>1750</v>
      </c>
      <c r="J224" s="9" t="s">
        <v>1750</v>
      </c>
      <c r="K224" s="1" t="n">
        <v>6</v>
      </c>
      <c r="L224" s="1" t="str">
        <f aca="false">VLOOKUP(K224,clasif_filas!$A$1:$J$39,2,FALSE())</f>
        <v>Otros servicios</v>
      </c>
      <c r="M224" s="1" t="n">
        <f aca="false">VLOOKUP(K224,clasif_filas!$A$1:$J$39,3,FALSE())</f>
        <v>6</v>
      </c>
      <c r="N224" s="1" t="str">
        <f aca="false">VLOOKUP(K224,clasif_filas!$A$1:$J$39,4,FALSE())</f>
        <v>Otros servicios</v>
      </c>
      <c r="O224" s="1" t="n">
        <f aca="false">VLOOKUP(K224,clasif_filas!$A$1:$J$39,5,FALSE())</f>
        <v>99</v>
      </c>
      <c r="P224" s="1" t="str">
        <f aca="false">VLOOKUP(K224,clasif_filas!$A$1:$J$39,6,FALSE())</f>
        <v>No Bioeconomía</v>
      </c>
      <c r="Q224" s="1" t="n">
        <f aca="false">VLOOKUP(K224,clasif_filas!$A$1:$J$39,7,FALSE())</f>
        <v>6</v>
      </c>
      <c r="R224" s="1" t="str">
        <f aca="false">VLOOKUP(K224,clasif_filas!$A$1:$J$39,8,FALSE())</f>
        <v>Servicios comerciales de distribución; alojamiento, servicios de suministro de comidas y bebidas; servicios de transporte; y servicios de distribución de electricidad, gas y agua</v>
      </c>
      <c r="S224" s="1" t="n">
        <f aca="false">VLOOKUP(K224,clasif_filas!$A$1:$J$39,9,FALSE())</f>
        <v>3</v>
      </c>
      <c r="T224" s="1" t="str">
        <f aca="false">VLOOKUP(K224,clasif_filas!$A$1:$J$39,10,FALSE())</f>
        <v>No bioeconomía</v>
      </c>
      <c r="U224" s="61"/>
    </row>
    <row r="225" customFormat="false" ht="14.25" hidden="false" customHeight="false" outlineLevel="0" collapsed="false">
      <c r="A225" s="24" t="s">
        <v>711</v>
      </c>
      <c r="B225" s="9" t="s">
        <v>2079</v>
      </c>
      <c r="C225" s="9" t="str">
        <f aca="false">VLOOKUP(B225, AT_FILAS!$A$2:$C$8,2,FALSE())</f>
        <v>Consumo intermedio</v>
      </c>
      <c r="D225" s="9" t="str">
        <f aca="false">VLOOKUP(B225, AT_FILAS!$A$2:$C$8,3,FALSE())</f>
        <v>P2</v>
      </c>
      <c r="E225" s="9" t="s">
        <v>2013</v>
      </c>
      <c r="F225" s="9" t="s">
        <v>2014</v>
      </c>
      <c r="G225" s="9" t="s">
        <v>1750</v>
      </c>
      <c r="H225" s="9" t="n">
        <v>4</v>
      </c>
      <c r="I225" s="9" t="s">
        <v>1750</v>
      </c>
      <c r="J225" s="9" t="s">
        <v>1750</v>
      </c>
      <c r="K225" s="1" t="n">
        <v>6</v>
      </c>
      <c r="L225" s="1" t="str">
        <f aca="false">VLOOKUP(K225,clasif_filas!$A$1:$J$39,2,FALSE())</f>
        <v>Otros servicios</v>
      </c>
      <c r="M225" s="1" t="n">
        <f aca="false">VLOOKUP(K225,clasif_filas!$A$1:$J$39,3,FALSE())</f>
        <v>6</v>
      </c>
      <c r="N225" s="1" t="str">
        <f aca="false">VLOOKUP(K225,clasif_filas!$A$1:$J$39,4,FALSE())</f>
        <v>Otros servicios</v>
      </c>
      <c r="O225" s="1" t="n">
        <f aca="false">VLOOKUP(K225,clasif_filas!$A$1:$J$39,5,FALSE())</f>
        <v>99</v>
      </c>
      <c r="P225" s="1" t="str">
        <f aca="false">VLOOKUP(K225,clasif_filas!$A$1:$J$39,6,FALSE())</f>
        <v>No Bioeconomía</v>
      </c>
      <c r="Q225" s="1" t="n">
        <f aca="false">VLOOKUP(K225,clasif_filas!$A$1:$J$39,7,FALSE())</f>
        <v>6</v>
      </c>
      <c r="R225" s="1" t="str">
        <f aca="false">VLOOKUP(K225,clasif_filas!$A$1:$J$39,8,FALSE())</f>
        <v>Servicios comerciales de distribución; alojamiento, servicios de suministro de comidas y bebidas; servicios de transporte; y servicios de distribución de electricidad, gas y agua</v>
      </c>
      <c r="S225" s="1" t="n">
        <f aca="false">VLOOKUP(K225,clasif_filas!$A$1:$J$39,9,FALSE())</f>
        <v>3</v>
      </c>
      <c r="T225" s="1" t="str">
        <f aca="false">VLOOKUP(K225,clasif_filas!$A$1:$J$39,10,FALSE())</f>
        <v>No bioeconomía</v>
      </c>
      <c r="U225" s="61"/>
    </row>
    <row r="226" customFormat="false" ht="14.25" hidden="false" customHeight="false" outlineLevel="0" collapsed="false">
      <c r="A226" s="24" t="s">
        <v>713</v>
      </c>
      <c r="B226" s="9" t="s">
        <v>2079</v>
      </c>
      <c r="C226" s="9" t="str">
        <f aca="false">VLOOKUP(B226, AT_FILAS!$A$2:$C$8,2,FALSE())</f>
        <v>Consumo intermedio</v>
      </c>
      <c r="D226" s="9" t="str">
        <f aca="false">VLOOKUP(B226, AT_FILAS!$A$2:$C$8,3,FALSE())</f>
        <v>P2</v>
      </c>
      <c r="E226" s="9" t="s">
        <v>2015</v>
      </c>
      <c r="F226" s="9" t="s">
        <v>2016</v>
      </c>
      <c r="G226" s="9" t="s">
        <v>1750</v>
      </c>
      <c r="H226" s="9" t="n">
        <v>4</v>
      </c>
      <c r="I226" s="9" t="s">
        <v>1750</v>
      </c>
      <c r="J226" s="9" t="s">
        <v>1750</v>
      </c>
      <c r="K226" s="1" t="n">
        <v>6</v>
      </c>
      <c r="L226" s="1" t="str">
        <f aca="false">VLOOKUP(K226,clasif_filas!$A$1:$J$39,2,FALSE())</f>
        <v>Otros servicios</v>
      </c>
      <c r="M226" s="1" t="n">
        <f aca="false">VLOOKUP(K226,clasif_filas!$A$1:$J$39,3,FALSE())</f>
        <v>6</v>
      </c>
      <c r="N226" s="1" t="str">
        <f aca="false">VLOOKUP(K226,clasif_filas!$A$1:$J$39,4,FALSE())</f>
        <v>Otros servicios</v>
      </c>
      <c r="O226" s="1" t="n">
        <f aca="false">VLOOKUP(K226,clasif_filas!$A$1:$J$39,5,FALSE())</f>
        <v>99</v>
      </c>
      <c r="P226" s="1" t="str">
        <f aca="false">VLOOKUP(K226,clasif_filas!$A$1:$J$39,6,FALSE())</f>
        <v>No Bioeconomía</v>
      </c>
      <c r="Q226" s="1" t="n">
        <f aca="false">VLOOKUP(K226,clasif_filas!$A$1:$J$39,7,FALSE())</f>
        <v>6</v>
      </c>
      <c r="R226" s="1" t="str">
        <f aca="false">VLOOKUP(K226,clasif_filas!$A$1:$J$39,8,FALSE())</f>
        <v>Servicios comerciales de distribución; alojamiento, servicios de suministro de comidas y bebidas; servicios de transporte; y servicios de distribución de electricidad, gas y agua</v>
      </c>
      <c r="S226" s="1" t="n">
        <f aca="false">VLOOKUP(K226,clasif_filas!$A$1:$J$39,9,FALSE())</f>
        <v>3</v>
      </c>
      <c r="T226" s="1" t="str">
        <f aca="false">VLOOKUP(K226,clasif_filas!$A$1:$J$39,10,FALSE())</f>
        <v>No bioeconomía</v>
      </c>
      <c r="U226" s="61"/>
    </row>
    <row r="227" customFormat="false" ht="14.25" hidden="false" customHeight="false" outlineLevel="0" collapsed="false">
      <c r="A227" s="24" t="s">
        <v>715</v>
      </c>
      <c r="B227" s="9" t="s">
        <v>2079</v>
      </c>
      <c r="C227" s="9" t="str">
        <f aca="false">VLOOKUP(B227, AT_FILAS!$A$2:$C$8,2,FALSE())</f>
        <v>Consumo intermedio</v>
      </c>
      <c r="D227" s="9" t="str">
        <f aca="false">VLOOKUP(B227, AT_FILAS!$A$2:$C$8,3,FALSE())</f>
        <v>P2</v>
      </c>
      <c r="E227" s="9" t="s">
        <v>2017</v>
      </c>
      <c r="F227" s="9" t="s">
        <v>2018</v>
      </c>
      <c r="G227" s="9" t="s">
        <v>1750</v>
      </c>
      <c r="H227" s="9" t="n">
        <v>4</v>
      </c>
      <c r="I227" s="9" t="s">
        <v>1750</v>
      </c>
      <c r="J227" s="9" t="s">
        <v>1750</v>
      </c>
      <c r="K227" s="1" t="n">
        <v>6</v>
      </c>
      <c r="L227" s="1" t="str">
        <f aca="false">VLOOKUP(K227,clasif_filas!$A$1:$J$39,2,FALSE())</f>
        <v>Otros servicios</v>
      </c>
      <c r="M227" s="1" t="n">
        <f aca="false">VLOOKUP(K227,clasif_filas!$A$1:$J$39,3,FALSE())</f>
        <v>6</v>
      </c>
      <c r="N227" s="1" t="str">
        <f aca="false">VLOOKUP(K227,clasif_filas!$A$1:$J$39,4,FALSE())</f>
        <v>Otros servicios</v>
      </c>
      <c r="O227" s="1" t="n">
        <f aca="false">VLOOKUP(K227,clasif_filas!$A$1:$J$39,5,FALSE())</f>
        <v>99</v>
      </c>
      <c r="P227" s="1" t="str">
        <f aca="false">VLOOKUP(K227,clasif_filas!$A$1:$J$39,6,FALSE())</f>
        <v>No Bioeconomía</v>
      </c>
      <c r="Q227" s="1" t="n">
        <f aca="false">VLOOKUP(K227,clasif_filas!$A$1:$J$39,7,FALSE())</f>
        <v>6</v>
      </c>
      <c r="R227" s="1" t="str">
        <f aca="false">VLOOKUP(K227,clasif_filas!$A$1:$J$39,8,FALSE())</f>
        <v>Servicios comerciales de distribución; alojamiento, servicios de suministro de comidas y bebidas; servicios de transporte; y servicios de distribución de electricidad, gas y agua</v>
      </c>
      <c r="S227" s="1" t="n">
        <f aca="false">VLOOKUP(K227,clasif_filas!$A$1:$J$39,9,FALSE())</f>
        <v>3</v>
      </c>
      <c r="T227" s="1" t="str">
        <f aca="false">VLOOKUP(K227,clasif_filas!$A$1:$J$39,10,FALSE())</f>
        <v>No bioeconomía</v>
      </c>
      <c r="U227" s="61"/>
    </row>
    <row r="228" customFormat="false" ht="14.25" hidden="false" customHeight="false" outlineLevel="0" collapsed="false">
      <c r="A228" s="24" t="s">
        <v>717</v>
      </c>
      <c r="B228" s="9" t="s">
        <v>2079</v>
      </c>
      <c r="C228" s="9" t="str">
        <f aca="false">VLOOKUP(B228, AT_FILAS!$A$2:$C$8,2,FALSE())</f>
        <v>Consumo intermedio</v>
      </c>
      <c r="D228" s="9" t="str">
        <f aca="false">VLOOKUP(B228, AT_FILAS!$A$2:$C$8,3,FALSE())</f>
        <v>P2</v>
      </c>
      <c r="E228" s="9" t="s">
        <v>2019</v>
      </c>
      <c r="F228" s="9" t="s">
        <v>2020</v>
      </c>
      <c r="G228" s="9" t="s">
        <v>1750</v>
      </c>
      <c r="H228" s="9" t="n">
        <v>4</v>
      </c>
      <c r="I228" s="9" t="s">
        <v>1750</v>
      </c>
      <c r="J228" s="9" t="s">
        <v>1750</v>
      </c>
      <c r="K228" s="1" t="n">
        <v>6</v>
      </c>
      <c r="L228" s="1" t="str">
        <f aca="false">VLOOKUP(K228,clasif_filas!$A$1:$J$39,2,FALSE())</f>
        <v>Otros servicios</v>
      </c>
      <c r="M228" s="1" t="n">
        <f aca="false">VLOOKUP(K228,clasif_filas!$A$1:$J$39,3,FALSE())</f>
        <v>6</v>
      </c>
      <c r="N228" s="1" t="str">
        <f aca="false">VLOOKUP(K228,clasif_filas!$A$1:$J$39,4,FALSE())</f>
        <v>Otros servicios</v>
      </c>
      <c r="O228" s="1" t="n">
        <f aca="false">VLOOKUP(K228,clasif_filas!$A$1:$J$39,5,FALSE())</f>
        <v>99</v>
      </c>
      <c r="P228" s="1" t="str">
        <f aca="false">VLOOKUP(K228,clasif_filas!$A$1:$J$39,6,FALSE())</f>
        <v>No Bioeconomía</v>
      </c>
      <c r="Q228" s="1" t="n">
        <f aca="false">VLOOKUP(K228,clasif_filas!$A$1:$J$39,7,FALSE())</f>
        <v>6</v>
      </c>
      <c r="R228" s="1" t="str">
        <f aca="false">VLOOKUP(K228,clasif_filas!$A$1:$J$39,8,FALSE())</f>
        <v>Servicios comerciales de distribución; alojamiento, servicios de suministro de comidas y bebidas; servicios de transporte; y servicios de distribución de electricidad, gas y agua</v>
      </c>
      <c r="S228" s="1" t="n">
        <f aca="false">VLOOKUP(K228,clasif_filas!$A$1:$J$39,9,FALSE())</f>
        <v>3</v>
      </c>
      <c r="T228" s="1" t="str">
        <f aca="false">VLOOKUP(K228,clasif_filas!$A$1:$J$39,10,FALSE())</f>
        <v>No bioeconomía</v>
      </c>
      <c r="U228" s="61"/>
    </row>
    <row r="229" customFormat="false" ht="14.25" hidden="false" customHeight="false" outlineLevel="0" collapsed="false">
      <c r="A229" s="24" t="s">
        <v>719</v>
      </c>
      <c r="B229" s="9" t="s">
        <v>2079</v>
      </c>
      <c r="C229" s="9" t="str">
        <f aca="false">VLOOKUP(B229, AT_FILAS!$A$2:$C$8,2,FALSE())</f>
        <v>Consumo intermedio</v>
      </c>
      <c r="D229" s="9" t="str">
        <f aca="false">VLOOKUP(B229, AT_FILAS!$A$2:$C$8,3,FALSE())</f>
        <v>P2</v>
      </c>
      <c r="E229" s="9" t="s">
        <v>2021</v>
      </c>
      <c r="F229" s="9" t="s">
        <v>2022</v>
      </c>
      <c r="G229" s="9" t="s">
        <v>1750</v>
      </c>
      <c r="H229" s="9" t="n">
        <v>4</v>
      </c>
      <c r="I229" s="9" t="s">
        <v>1750</v>
      </c>
      <c r="J229" s="9" t="s">
        <v>1750</v>
      </c>
      <c r="K229" s="1" t="n">
        <v>6</v>
      </c>
      <c r="L229" s="1" t="str">
        <f aca="false">VLOOKUP(K229,clasif_filas!$A$1:$J$39,2,FALSE())</f>
        <v>Otros servicios</v>
      </c>
      <c r="M229" s="1" t="n">
        <f aca="false">VLOOKUP(K229,clasif_filas!$A$1:$J$39,3,FALSE())</f>
        <v>6</v>
      </c>
      <c r="N229" s="1" t="str">
        <f aca="false">VLOOKUP(K229,clasif_filas!$A$1:$J$39,4,FALSE())</f>
        <v>Otros servicios</v>
      </c>
      <c r="O229" s="1" t="n">
        <f aca="false">VLOOKUP(K229,clasif_filas!$A$1:$J$39,5,FALSE())</f>
        <v>99</v>
      </c>
      <c r="P229" s="1" t="str">
        <f aca="false">VLOOKUP(K229,clasif_filas!$A$1:$J$39,6,FALSE())</f>
        <v>No Bioeconomía</v>
      </c>
      <c r="Q229" s="1" t="n">
        <f aca="false">VLOOKUP(K229,clasif_filas!$A$1:$J$39,7,FALSE())</f>
        <v>6</v>
      </c>
      <c r="R229" s="1" t="str">
        <f aca="false">VLOOKUP(K229,clasif_filas!$A$1:$J$39,8,FALSE())</f>
        <v>Servicios comerciales de distribución; alojamiento, servicios de suministro de comidas y bebidas; servicios de transporte; y servicios de distribución de electricidad, gas y agua</v>
      </c>
      <c r="S229" s="1" t="n">
        <f aca="false">VLOOKUP(K229,clasif_filas!$A$1:$J$39,9,FALSE())</f>
        <v>3</v>
      </c>
      <c r="T229" s="1" t="str">
        <f aca="false">VLOOKUP(K229,clasif_filas!$A$1:$J$39,10,FALSE())</f>
        <v>No bioeconomía</v>
      </c>
      <c r="U229" s="61"/>
    </row>
    <row r="230" customFormat="false" ht="14.25" hidden="false" customHeight="false" outlineLevel="0" collapsed="false">
      <c r="A230" s="24" t="s">
        <v>721</v>
      </c>
      <c r="B230" s="9" t="s">
        <v>2079</v>
      </c>
      <c r="C230" s="9" t="str">
        <f aca="false">VLOOKUP(B230, AT_FILAS!$A$2:$C$8,2,FALSE())</f>
        <v>Consumo intermedio</v>
      </c>
      <c r="D230" s="9" t="str">
        <f aca="false">VLOOKUP(B230, AT_FILAS!$A$2:$C$8,3,FALSE())</f>
        <v>P2</v>
      </c>
      <c r="E230" s="9" t="s">
        <v>2023</v>
      </c>
      <c r="F230" s="9" t="s">
        <v>2024</v>
      </c>
      <c r="G230" s="9" t="s">
        <v>1750</v>
      </c>
      <c r="H230" s="9" t="n">
        <v>4</v>
      </c>
      <c r="I230" s="9" t="s">
        <v>1750</v>
      </c>
      <c r="J230" s="9" t="s">
        <v>1750</v>
      </c>
      <c r="K230" s="1" t="n">
        <v>6</v>
      </c>
      <c r="L230" s="1" t="str">
        <f aca="false">VLOOKUP(K230,clasif_filas!$A$1:$J$39,2,FALSE())</f>
        <v>Otros servicios</v>
      </c>
      <c r="M230" s="1" t="n">
        <f aca="false">VLOOKUP(K230,clasif_filas!$A$1:$J$39,3,FALSE())</f>
        <v>6</v>
      </c>
      <c r="N230" s="1" t="str">
        <f aca="false">VLOOKUP(K230,clasif_filas!$A$1:$J$39,4,FALSE())</f>
        <v>Otros servicios</v>
      </c>
      <c r="O230" s="1" t="n">
        <f aca="false">VLOOKUP(K230,clasif_filas!$A$1:$J$39,5,FALSE())</f>
        <v>99</v>
      </c>
      <c r="P230" s="1" t="str">
        <f aca="false">VLOOKUP(K230,clasif_filas!$A$1:$J$39,6,FALSE())</f>
        <v>No Bioeconomía</v>
      </c>
      <c r="Q230" s="1" t="n">
        <f aca="false">VLOOKUP(K230,clasif_filas!$A$1:$J$39,7,FALSE())</f>
        <v>6</v>
      </c>
      <c r="R230" s="1" t="str">
        <f aca="false">VLOOKUP(K230,clasif_filas!$A$1:$J$39,8,FALSE())</f>
        <v>Servicios comerciales de distribución; alojamiento, servicios de suministro de comidas y bebidas; servicios de transporte; y servicios de distribución de electricidad, gas y agua</v>
      </c>
      <c r="S230" s="1" t="n">
        <f aca="false">VLOOKUP(K230,clasif_filas!$A$1:$J$39,9,FALSE())</f>
        <v>3</v>
      </c>
      <c r="T230" s="1" t="str">
        <f aca="false">VLOOKUP(K230,clasif_filas!$A$1:$J$39,10,FALSE())</f>
        <v>No bioeconomía</v>
      </c>
      <c r="U230" s="61"/>
    </row>
    <row r="231" customFormat="false" ht="14.25" hidden="false" customHeight="false" outlineLevel="0" collapsed="false">
      <c r="A231" s="24" t="s">
        <v>723</v>
      </c>
      <c r="B231" s="9" t="s">
        <v>2079</v>
      </c>
      <c r="C231" s="9" t="str">
        <f aca="false">VLOOKUP(B231, AT_FILAS!$A$2:$C$8,2,FALSE())</f>
        <v>Consumo intermedio</v>
      </c>
      <c r="D231" s="9" t="str">
        <f aca="false">VLOOKUP(B231, AT_FILAS!$A$2:$C$8,3,FALSE())</f>
        <v>P2</v>
      </c>
      <c r="E231" s="9" t="s">
        <v>2025</v>
      </c>
      <c r="F231" s="9" t="s">
        <v>2026</v>
      </c>
      <c r="G231" s="9" t="s">
        <v>1903</v>
      </c>
      <c r="H231" s="9" t="n">
        <v>3</v>
      </c>
      <c r="I231" s="9" t="s">
        <v>1904</v>
      </c>
      <c r="J231" s="9" t="s">
        <v>1903</v>
      </c>
      <c r="K231" s="1" t="n">
        <v>63</v>
      </c>
      <c r="L231" s="1" t="str">
        <f aca="false">VLOOKUP(K231,clasif_filas!$A$1:$J$39,2,FALSE())</f>
        <v>Alojamiento, servicios de suministro de comidas y bebidas</v>
      </c>
      <c r="M231" s="1" t="n">
        <f aca="false">VLOOKUP(K231,clasif_filas!$A$1:$J$39,3,FALSE())</f>
        <v>63</v>
      </c>
      <c r="N231" s="1" t="str">
        <f aca="false">VLOOKUP(K231,clasif_filas!$A$1:$J$39,4,FALSE())</f>
        <v>Alojamiento, servicios de suministro de comidas y bebidas</v>
      </c>
      <c r="O231" s="1" t="n">
        <f aca="false">VLOOKUP(K231,clasif_filas!$A$1:$J$39,5,FALSE())</f>
        <v>6</v>
      </c>
      <c r="P231" s="1" t="str">
        <f aca="false">VLOOKUP(K231,clasif_filas!$A$1:$J$39,6,FALSE())</f>
        <v>Conocimiento, procesos y servicios relacionados</v>
      </c>
      <c r="Q231" s="1" t="n">
        <f aca="false">VLOOKUP(K231,clasif_filas!$A$1:$J$39,7,FALSE())</f>
        <v>6</v>
      </c>
      <c r="R231" s="1" t="str">
        <f aca="false">VLOOKUP(K231,clasif_filas!$A$1:$J$39,8,FALSE())</f>
        <v>Servicios comerciales de distribución; alojamiento, servicios de suministro de comidas y bebidas; servicios de transporte; y servicios de distribución de electricidad, gas y agua</v>
      </c>
      <c r="S231" s="1" t="n">
        <f aca="false">VLOOKUP(K231,clasif_filas!$A$1:$J$39,9,FALSE())</f>
        <v>2</v>
      </c>
      <c r="T231" s="1" t="str">
        <f aca="false">VLOOKUP(K231,clasif_filas!$A$1:$J$39,10,FALSE())</f>
        <v>Bioeconomía extendida</v>
      </c>
      <c r="U231" s="61"/>
    </row>
    <row r="232" customFormat="false" ht="14.25" hidden="false" customHeight="false" outlineLevel="0" collapsed="false">
      <c r="A232" s="24" t="s">
        <v>725</v>
      </c>
      <c r="B232" s="9" t="s">
        <v>2079</v>
      </c>
      <c r="C232" s="9" t="str">
        <f aca="false">VLOOKUP(B232, AT_FILAS!$A$2:$C$8,2,FALSE())</f>
        <v>Consumo intermedio</v>
      </c>
      <c r="D232" s="9" t="str">
        <f aca="false">VLOOKUP(B232, AT_FILAS!$A$2:$C$8,3,FALSE())</f>
        <v>P2</v>
      </c>
      <c r="E232" s="9" t="s">
        <v>2027</v>
      </c>
      <c r="F232" s="9" t="s">
        <v>2028</v>
      </c>
      <c r="G232" s="9" t="s">
        <v>1750</v>
      </c>
      <c r="H232" s="9" t="n">
        <v>4</v>
      </c>
      <c r="I232" s="9" t="s">
        <v>1750</v>
      </c>
      <c r="J232" s="9" t="s">
        <v>1750</v>
      </c>
      <c r="K232" s="1" t="n">
        <v>32</v>
      </c>
      <c r="L232" s="1" t="str">
        <f aca="false">VLOOKUP(K232,clasif_filas!$A$1:$J$39,2,FALSE())</f>
        <v>Pulpa de papel, papel y productos de papel; impresos, y artículos similares</v>
      </c>
      <c r="M232" s="1" t="n">
        <f aca="false">VLOOKUP(K232,clasif_filas!$A$1:$J$39,3,FALSE())</f>
        <v>32</v>
      </c>
      <c r="N232" s="1" t="str">
        <f aca="false">VLOOKUP(K232,clasif_filas!$A$1:$J$39,4,FALSE())</f>
        <v>Pulpa de papel, papel y productos de papel; impresos, y artículos similares</v>
      </c>
      <c r="O232" s="1" t="n">
        <f aca="false">VLOOKUP(K232,clasif_filas!$A$1:$J$39,5,FALSE())</f>
        <v>6</v>
      </c>
      <c r="P232" s="1" t="str">
        <f aca="false">VLOOKUP(K232,clasif_filas!$A$1:$J$39,6,FALSE())</f>
        <v>Conocimiento, procesos y servicios relacionados</v>
      </c>
      <c r="Q232" s="1" t="n">
        <f aca="false">VLOOKUP(K232,clasif_filas!$A$1:$J$39,7,FALSE())</f>
        <v>3</v>
      </c>
      <c r="R232" s="1" t="str">
        <f aca="false">VLOOKUP(K232,clasif_filas!$A$1:$J$39,8,FALSE())</f>
        <v>Otros bienes transportables, excepto productos metálicos, maquinaria y equipo</v>
      </c>
      <c r="S232" s="1" t="n">
        <f aca="false">VLOOKUP(K232,clasif_filas!$A$1:$J$39,9,FALSE())</f>
        <v>1</v>
      </c>
      <c r="T232" s="1" t="str">
        <f aca="false">VLOOKUP(K232,clasif_filas!$A$1:$J$39,10,FALSE())</f>
        <v>Bioeconomía</v>
      </c>
      <c r="U232" s="61"/>
    </row>
    <row r="233" customFormat="false" ht="14.25" hidden="false" customHeight="false" outlineLevel="0" collapsed="false">
      <c r="A233" s="24" t="s">
        <v>727</v>
      </c>
      <c r="B233" s="9" t="s">
        <v>2079</v>
      </c>
      <c r="C233" s="9" t="str">
        <f aca="false">VLOOKUP(B233, AT_FILAS!$A$2:$C$8,2,FALSE())</f>
        <v>Consumo intermedio</v>
      </c>
      <c r="D233" s="9" t="str">
        <f aca="false">VLOOKUP(B233, AT_FILAS!$A$2:$C$8,3,FALSE())</f>
        <v>P2</v>
      </c>
      <c r="E233" s="9" t="s">
        <v>2029</v>
      </c>
      <c r="F233" s="9" t="s">
        <v>2030</v>
      </c>
      <c r="G233" s="9" t="s">
        <v>1750</v>
      </c>
      <c r="H233" s="9" t="n">
        <v>4</v>
      </c>
      <c r="I233" s="9" t="s">
        <v>1750</v>
      </c>
      <c r="J233" s="9" t="s">
        <v>1750</v>
      </c>
      <c r="K233" s="1" t="n">
        <v>6</v>
      </c>
      <c r="L233" s="1" t="str">
        <f aca="false">VLOOKUP(K233,clasif_filas!$A$1:$J$39,2,FALSE())</f>
        <v>Otros servicios</v>
      </c>
      <c r="M233" s="1" t="n">
        <f aca="false">VLOOKUP(K233,clasif_filas!$A$1:$J$39,3,FALSE())</f>
        <v>6</v>
      </c>
      <c r="N233" s="1" t="str">
        <f aca="false">VLOOKUP(K233,clasif_filas!$A$1:$J$39,4,FALSE())</f>
        <v>Otros servicios</v>
      </c>
      <c r="O233" s="1" t="n">
        <f aca="false">VLOOKUP(K233,clasif_filas!$A$1:$J$39,5,FALSE())</f>
        <v>99</v>
      </c>
      <c r="P233" s="1" t="str">
        <f aca="false">VLOOKUP(K233,clasif_filas!$A$1:$J$39,6,FALSE())</f>
        <v>No Bioeconomía</v>
      </c>
      <c r="Q233" s="1" t="n">
        <f aca="false">VLOOKUP(K233,clasif_filas!$A$1:$J$39,7,FALSE())</f>
        <v>6</v>
      </c>
      <c r="R233" s="1" t="str">
        <f aca="false">VLOOKUP(K233,clasif_filas!$A$1:$J$39,8,FALSE())</f>
        <v>Servicios comerciales de distribución; alojamiento, servicios de suministro de comidas y bebidas; servicios de transporte; y servicios de distribución de electricidad, gas y agua</v>
      </c>
      <c r="S233" s="1" t="n">
        <f aca="false">VLOOKUP(K233,clasif_filas!$A$1:$J$39,9,FALSE())</f>
        <v>3</v>
      </c>
      <c r="T233" s="1" t="str">
        <f aca="false">VLOOKUP(K233,clasif_filas!$A$1:$J$39,10,FALSE())</f>
        <v>No bioeconomía</v>
      </c>
      <c r="U233" s="61"/>
    </row>
    <row r="234" customFormat="false" ht="14.25" hidden="false" customHeight="false" outlineLevel="0" collapsed="false">
      <c r="A234" s="24" t="s">
        <v>729</v>
      </c>
      <c r="B234" s="9" t="s">
        <v>2079</v>
      </c>
      <c r="C234" s="9" t="str">
        <f aca="false">VLOOKUP(B234, AT_FILAS!$A$2:$C$8,2,FALSE())</f>
        <v>Consumo intermedio</v>
      </c>
      <c r="D234" s="9" t="str">
        <f aca="false">VLOOKUP(B234, AT_FILAS!$A$2:$C$8,3,FALSE())</f>
        <v>P2</v>
      </c>
      <c r="E234" s="9" t="s">
        <v>2031</v>
      </c>
      <c r="F234" s="9" t="s">
        <v>2032</v>
      </c>
      <c r="G234" s="9" t="s">
        <v>1750</v>
      </c>
      <c r="H234" s="9" t="n">
        <v>4</v>
      </c>
      <c r="I234" s="9" t="s">
        <v>1750</v>
      </c>
      <c r="J234" s="9" t="s">
        <v>1750</v>
      </c>
      <c r="K234" s="1" t="n">
        <v>6</v>
      </c>
      <c r="L234" s="1" t="str">
        <f aca="false">VLOOKUP(K234,clasif_filas!$A$1:$J$39,2,FALSE())</f>
        <v>Otros servicios</v>
      </c>
      <c r="M234" s="1" t="n">
        <f aca="false">VLOOKUP(K234,clasif_filas!$A$1:$J$39,3,FALSE())</f>
        <v>6</v>
      </c>
      <c r="N234" s="1" t="str">
        <f aca="false">VLOOKUP(K234,clasif_filas!$A$1:$J$39,4,FALSE())</f>
        <v>Otros servicios</v>
      </c>
      <c r="O234" s="1" t="n">
        <f aca="false">VLOOKUP(K234,clasif_filas!$A$1:$J$39,5,FALSE())</f>
        <v>99</v>
      </c>
      <c r="P234" s="1" t="str">
        <f aca="false">VLOOKUP(K234,clasif_filas!$A$1:$J$39,6,FALSE())</f>
        <v>No Bioeconomía</v>
      </c>
      <c r="Q234" s="1" t="n">
        <f aca="false">VLOOKUP(K234,clasif_filas!$A$1:$J$39,7,FALSE())</f>
        <v>6</v>
      </c>
      <c r="R234" s="1" t="str">
        <f aca="false">VLOOKUP(K234,clasif_filas!$A$1:$J$39,8,FALSE())</f>
        <v>Servicios comerciales de distribución; alojamiento, servicios de suministro de comidas y bebidas; servicios de transporte; y servicios de distribución de electricidad, gas y agua</v>
      </c>
      <c r="S234" s="1" t="n">
        <f aca="false">VLOOKUP(K234,clasif_filas!$A$1:$J$39,9,FALSE())</f>
        <v>3</v>
      </c>
      <c r="T234" s="1" t="str">
        <f aca="false">VLOOKUP(K234,clasif_filas!$A$1:$J$39,10,FALSE())</f>
        <v>No bioeconomía</v>
      </c>
      <c r="U234" s="61"/>
    </row>
    <row r="235" customFormat="false" ht="14.25" hidden="false" customHeight="false" outlineLevel="0" collapsed="false">
      <c r="A235" s="24" t="s">
        <v>731</v>
      </c>
      <c r="B235" s="9" t="s">
        <v>2079</v>
      </c>
      <c r="C235" s="9" t="str">
        <f aca="false">VLOOKUP(B235, AT_FILAS!$A$2:$C$8,2,FALSE())</f>
        <v>Consumo intermedio</v>
      </c>
      <c r="D235" s="9" t="str">
        <f aca="false">VLOOKUP(B235, AT_FILAS!$A$2:$C$8,3,FALSE())</f>
        <v>P2</v>
      </c>
      <c r="E235" s="9" t="s">
        <v>2033</v>
      </c>
      <c r="F235" s="9" t="s">
        <v>2034</v>
      </c>
      <c r="G235" s="9" t="s">
        <v>1750</v>
      </c>
      <c r="H235" s="9" t="n">
        <v>4</v>
      </c>
      <c r="I235" s="9" t="s">
        <v>1750</v>
      </c>
      <c r="J235" s="9" t="s">
        <v>1750</v>
      </c>
      <c r="K235" s="1" t="n">
        <v>6</v>
      </c>
      <c r="L235" s="1" t="str">
        <f aca="false">VLOOKUP(K235,clasif_filas!$A$1:$J$39,2,FALSE())</f>
        <v>Otros servicios</v>
      </c>
      <c r="M235" s="1" t="n">
        <f aca="false">VLOOKUP(K235,clasif_filas!$A$1:$J$39,3,FALSE())</f>
        <v>6</v>
      </c>
      <c r="N235" s="1" t="str">
        <f aca="false">VLOOKUP(K235,clasif_filas!$A$1:$J$39,4,FALSE())</f>
        <v>Otros servicios</v>
      </c>
      <c r="O235" s="1" t="n">
        <f aca="false">VLOOKUP(K235,clasif_filas!$A$1:$J$39,5,FALSE())</f>
        <v>99</v>
      </c>
      <c r="P235" s="1" t="str">
        <f aca="false">VLOOKUP(K235,clasif_filas!$A$1:$J$39,6,FALSE())</f>
        <v>No Bioeconomía</v>
      </c>
      <c r="Q235" s="1" t="n">
        <f aca="false">VLOOKUP(K235,clasif_filas!$A$1:$J$39,7,FALSE())</f>
        <v>6</v>
      </c>
      <c r="R235" s="1" t="str">
        <f aca="false">VLOOKUP(K235,clasif_filas!$A$1:$J$39,8,FALSE())</f>
        <v>Servicios comerciales de distribución; alojamiento, servicios de suministro de comidas y bebidas; servicios de transporte; y servicios de distribución de electricidad, gas y agua</v>
      </c>
      <c r="S235" s="1" t="n">
        <f aca="false">VLOOKUP(K235,clasif_filas!$A$1:$J$39,9,FALSE())</f>
        <v>3</v>
      </c>
      <c r="T235" s="1" t="str">
        <f aca="false">VLOOKUP(K235,clasif_filas!$A$1:$J$39,10,FALSE())</f>
        <v>No bioeconomía</v>
      </c>
      <c r="U235" s="61"/>
    </row>
    <row r="236" customFormat="false" ht="14.25" hidden="false" customHeight="false" outlineLevel="0" collapsed="false">
      <c r="A236" s="24" t="s">
        <v>733</v>
      </c>
      <c r="B236" s="9" t="s">
        <v>2079</v>
      </c>
      <c r="C236" s="9" t="str">
        <f aca="false">VLOOKUP(B236, AT_FILAS!$A$2:$C$8,2,FALSE())</f>
        <v>Consumo intermedio</v>
      </c>
      <c r="D236" s="9" t="str">
        <f aca="false">VLOOKUP(B236, AT_FILAS!$A$2:$C$8,3,FALSE())</f>
        <v>P2</v>
      </c>
      <c r="E236" s="9" t="s">
        <v>2035</v>
      </c>
      <c r="F236" s="9" t="s">
        <v>2036</v>
      </c>
      <c r="G236" s="9" t="s">
        <v>1750</v>
      </c>
      <c r="H236" s="9" t="n">
        <v>4</v>
      </c>
      <c r="I236" s="9" t="s">
        <v>1750</v>
      </c>
      <c r="J236" s="9" t="s">
        <v>1750</v>
      </c>
      <c r="K236" s="1" t="n">
        <v>6</v>
      </c>
      <c r="L236" s="1" t="str">
        <f aca="false">VLOOKUP(K236,clasif_filas!$A$1:$J$39,2,FALSE())</f>
        <v>Otros servicios</v>
      </c>
      <c r="M236" s="1" t="n">
        <f aca="false">VLOOKUP(K236,clasif_filas!$A$1:$J$39,3,FALSE())</f>
        <v>6</v>
      </c>
      <c r="N236" s="1" t="str">
        <f aca="false">VLOOKUP(K236,clasif_filas!$A$1:$J$39,4,FALSE())</f>
        <v>Otros servicios</v>
      </c>
      <c r="O236" s="1" t="n">
        <f aca="false">VLOOKUP(K236,clasif_filas!$A$1:$J$39,5,FALSE())</f>
        <v>99</v>
      </c>
      <c r="P236" s="1" t="str">
        <f aca="false">VLOOKUP(K236,clasif_filas!$A$1:$J$39,6,FALSE())</f>
        <v>No Bioeconomía</v>
      </c>
      <c r="Q236" s="1" t="n">
        <f aca="false">VLOOKUP(K236,clasif_filas!$A$1:$J$39,7,FALSE())</f>
        <v>6</v>
      </c>
      <c r="R236" s="1" t="str">
        <f aca="false">VLOOKUP(K236,clasif_filas!$A$1:$J$39,8,FALSE())</f>
        <v>Servicios comerciales de distribución; alojamiento, servicios de suministro de comidas y bebidas; servicios de transporte; y servicios de distribución de electricidad, gas y agua</v>
      </c>
      <c r="S236" s="1" t="n">
        <f aca="false">VLOOKUP(K236,clasif_filas!$A$1:$J$39,9,FALSE())</f>
        <v>3</v>
      </c>
      <c r="T236" s="1" t="str">
        <f aca="false">VLOOKUP(K236,clasif_filas!$A$1:$J$39,10,FALSE())</f>
        <v>No bioeconomía</v>
      </c>
      <c r="U236" s="61"/>
    </row>
    <row r="237" customFormat="false" ht="14.25" hidden="false" customHeight="false" outlineLevel="0" collapsed="false">
      <c r="A237" s="24" t="s">
        <v>735</v>
      </c>
      <c r="B237" s="9" t="s">
        <v>2079</v>
      </c>
      <c r="C237" s="9" t="str">
        <f aca="false">VLOOKUP(B237, AT_FILAS!$A$2:$C$8,2,FALSE())</f>
        <v>Consumo intermedio</v>
      </c>
      <c r="D237" s="9" t="str">
        <f aca="false">VLOOKUP(B237, AT_FILAS!$A$2:$C$8,3,FALSE())</f>
        <v>P2</v>
      </c>
      <c r="E237" s="9" t="s">
        <v>2037</v>
      </c>
      <c r="F237" s="9" t="s">
        <v>2038</v>
      </c>
      <c r="G237" s="9" t="s">
        <v>1750</v>
      </c>
      <c r="H237" s="9" t="n">
        <v>4</v>
      </c>
      <c r="I237" s="9" t="s">
        <v>1750</v>
      </c>
      <c r="J237" s="9" t="s">
        <v>1750</v>
      </c>
      <c r="K237" s="1" t="n">
        <v>6</v>
      </c>
      <c r="L237" s="1" t="str">
        <f aca="false">VLOOKUP(K237,clasif_filas!$A$1:$J$39,2,FALSE())</f>
        <v>Otros servicios</v>
      </c>
      <c r="M237" s="1" t="n">
        <f aca="false">VLOOKUP(K237,clasif_filas!$A$1:$J$39,3,FALSE())</f>
        <v>6</v>
      </c>
      <c r="N237" s="1" t="str">
        <f aca="false">VLOOKUP(K237,clasif_filas!$A$1:$J$39,4,FALSE())</f>
        <v>Otros servicios</v>
      </c>
      <c r="O237" s="1" t="n">
        <f aca="false">VLOOKUP(K237,clasif_filas!$A$1:$J$39,5,FALSE())</f>
        <v>99</v>
      </c>
      <c r="P237" s="1" t="str">
        <f aca="false">VLOOKUP(K237,clasif_filas!$A$1:$J$39,6,FALSE())</f>
        <v>No Bioeconomía</v>
      </c>
      <c r="Q237" s="1" t="n">
        <f aca="false">VLOOKUP(K237,clasif_filas!$A$1:$J$39,7,FALSE())</f>
        <v>6</v>
      </c>
      <c r="R237" s="1" t="str">
        <f aca="false">VLOOKUP(K237,clasif_filas!$A$1:$J$39,8,FALSE())</f>
        <v>Servicios comerciales de distribución; alojamiento, servicios de suministro de comidas y bebidas; servicios de transporte; y servicios de distribución de electricidad, gas y agua</v>
      </c>
      <c r="S237" s="1" t="n">
        <f aca="false">VLOOKUP(K237,clasif_filas!$A$1:$J$39,9,FALSE())</f>
        <v>3</v>
      </c>
      <c r="T237" s="1" t="str">
        <f aca="false">VLOOKUP(K237,clasif_filas!$A$1:$J$39,10,FALSE())</f>
        <v>No bioeconomía</v>
      </c>
      <c r="U237" s="61"/>
    </row>
    <row r="238" customFormat="false" ht="14.25" hidden="false" customHeight="false" outlineLevel="0" collapsed="false">
      <c r="A238" s="24" t="s">
        <v>737</v>
      </c>
      <c r="B238" s="9" t="s">
        <v>2079</v>
      </c>
      <c r="C238" s="9" t="str">
        <f aca="false">VLOOKUP(B238, AT_FILAS!$A$2:$C$8,2,FALSE())</f>
        <v>Consumo intermedio</v>
      </c>
      <c r="D238" s="9" t="str">
        <f aca="false">VLOOKUP(B238, AT_FILAS!$A$2:$C$8,3,FALSE())</f>
        <v>P2</v>
      </c>
      <c r="E238" s="9" t="s">
        <v>2039</v>
      </c>
      <c r="F238" s="9" t="s">
        <v>2040</v>
      </c>
      <c r="G238" s="9" t="s">
        <v>1750</v>
      </c>
      <c r="H238" s="9" t="n">
        <v>4</v>
      </c>
      <c r="I238" s="9" t="s">
        <v>1750</v>
      </c>
      <c r="J238" s="9" t="s">
        <v>1750</v>
      </c>
      <c r="K238" s="1" t="n">
        <v>6</v>
      </c>
      <c r="L238" s="1" t="str">
        <f aca="false">VLOOKUP(K238,clasif_filas!$A$1:$J$39,2,FALSE())</f>
        <v>Otros servicios</v>
      </c>
      <c r="M238" s="1" t="n">
        <f aca="false">VLOOKUP(K238,clasif_filas!$A$1:$J$39,3,FALSE())</f>
        <v>6</v>
      </c>
      <c r="N238" s="1" t="str">
        <f aca="false">VLOOKUP(K238,clasif_filas!$A$1:$J$39,4,FALSE())</f>
        <v>Otros servicios</v>
      </c>
      <c r="O238" s="1" t="n">
        <f aca="false">VLOOKUP(K238,clasif_filas!$A$1:$J$39,5,FALSE())</f>
        <v>99</v>
      </c>
      <c r="P238" s="1" t="str">
        <f aca="false">VLOOKUP(K238,clasif_filas!$A$1:$J$39,6,FALSE())</f>
        <v>No Bioeconomía</v>
      </c>
      <c r="Q238" s="1" t="n">
        <f aca="false">VLOOKUP(K238,clasif_filas!$A$1:$J$39,7,FALSE())</f>
        <v>6</v>
      </c>
      <c r="R238" s="1" t="str">
        <f aca="false">VLOOKUP(K238,clasif_filas!$A$1:$J$39,8,FALSE())</f>
        <v>Servicios comerciales de distribución; alojamiento, servicios de suministro de comidas y bebidas; servicios de transporte; y servicios de distribución de electricidad, gas y agua</v>
      </c>
      <c r="S238" s="1" t="n">
        <f aca="false">VLOOKUP(K238,clasif_filas!$A$1:$J$39,9,FALSE())</f>
        <v>3</v>
      </c>
      <c r="T238" s="1" t="str">
        <f aca="false">VLOOKUP(K238,clasif_filas!$A$1:$J$39,10,FALSE())</f>
        <v>No bioeconomía</v>
      </c>
      <c r="U238" s="61"/>
    </row>
    <row r="239" customFormat="false" ht="14.25" hidden="false" customHeight="false" outlineLevel="0" collapsed="false">
      <c r="A239" s="24" t="s">
        <v>739</v>
      </c>
      <c r="B239" s="9" t="s">
        <v>2079</v>
      </c>
      <c r="C239" s="9" t="str">
        <f aca="false">VLOOKUP(B239, AT_FILAS!$A$2:$C$8,2,FALSE())</f>
        <v>Consumo intermedio</v>
      </c>
      <c r="D239" s="9" t="str">
        <f aca="false">VLOOKUP(B239, AT_FILAS!$A$2:$C$8,3,FALSE())</f>
        <v>P2</v>
      </c>
      <c r="E239" s="9" t="s">
        <v>2041</v>
      </c>
      <c r="F239" s="9" t="s">
        <v>2042</v>
      </c>
      <c r="G239" s="9" t="s">
        <v>1750</v>
      </c>
      <c r="H239" s="9" t="n">
        <v>4</v>
      </c>
      <c r="I239" s="9" t="s">
        <v>1750</v>
      </c>
      <c r="J239" s="9" t="s">
        <v>1750</v>
      </c>
      <c r="K239" s="1" t="n">
        <v>6</v>
      </c>
      <c r="L239" s="1" t="str">
        <f aca="false">VLOOKUP(K239,clasif_filas!$A$1:$J$39,2,FALSE())</f>
        <v>Otros servicios</v>
      </c>
      <c r="M239" s="1" t="n">
        <f aca="false">VLOOKUP(K239,clasif_filas!$A$1:$J$39,3,FALSE())</f>
        <v>6</v>
      </c>
      <c r="N239" s="1" t="str">
        <f aca="false">VLOOKUP(K239,clasif_filas!$A$1:$J$39,4,FALSE())</f>
        <v>Otros servicios</v>
      </c>
      <c r="O239" s="1" t="n">
        <f aca="false">VLOOKUP(K239,clasif_filas!$A$1:$J$39,5,FALSE())</f>
        <v>99</v>
      </c>
      <c r="P239" s="1" t="str">
        <f aca="false">VLOOKUP(K239,clasif_filas!$A$1:$J$39,6,FALSE())</f>
        <v>No Bioeconomía</v>
      </c>
      <c r="Q239" s="1" t="n">
        <f aca="false">VLOOKUP(K239,clasif_filas!$A$1:$J$39,7,FALSE())</f>
        <v>6</v>
      </c>
      <c r="R239" s="1" t="str">
        <f aca="false">VLOOKUP(K239,clasif_filas!$A$1:$J$39,8,FALSE())</f>
        <v>Servicios comerciales de distribución; alojamiento, servicios de suministro de comidas y bebidas; servicios de transporte; y servicios de distribución de electricidad, gas y agua</v>
      </c>
      <c r="S239" s="1" t="n">
        <f aca="false">VLOOKUP(K239,clasif_filas!$A$1:$J$39,9,FALSE())</f>
        <v>3</v>
      </c>
      <c r="T239" s="1" t="str">
        <f aca="false">VLOOKUP(K239,clasif_filas!$A$1:$J$39,10,FALSE())</f>
        <v>No bioeconomía</v>
      </c>
      <c r="U239" s="61"/>
    </row>
    <row r="240" customFormat="false" ht="14.25" hidden="false" customHeight="false" outlineLevel="0" collapsed="false">
      <c r="A240" s="24" t="s">
        <v>741</v>
      </c>
      <c r="B240" s="9" t="s">
        <v>2079</v>
      </c>
      <c r="C240" s="9" t="str">
        <f aca="false">VLOOKUP(B240, AT_FILAS!$A$2:$C$8,2,FALSE())</f>
        <v>Consumo intermedio</v>
      </c>
      <c r="D240" s="9" t="str">
        <f aca="false">VLOOKUP(B240, AT_FILAS!$A$2:$C$8,3,FALSE())</f>
        <v>P2</v>
      </c>
      <c r="E240" s="9" t="s">
        <v>2043</v>
      </c>
      <c r="F240" s="9" t="s">
        <v>2044</v>
      </c>
      <c r="G240" s="9" t="s">
        <v>1903</v>
      </c>
      <c r="H240" s="9" t="n">
        <v>3</v>
      </c>
      <c r="I240" s="9" t="s">
        <v>1904</v>
      </c>
      <c r="J240" s="9" t="s">
        <v>1903</v>
      </c>
      <c r="K240" s="1" t="n">
        <v>81</v>
      </c>
      <c r="L240" s="1" t="str">
        <f aca="false">VLOOKUP(K240,clasif_filas!$A$1:$J$39,2,FALSE())</f>
        <v>Servicios de investigación y desarrollo</v>
      </c>
      <c r="M240" s="1" t="n">
        <f aca="false">VLOOKUP(K240,clasif_filas!$A$1:$J$39,3,FALSE())</f>
        <v>81</v>
      </c>
      <c r="N240" s="1" t="str">
        <f aca="false">VLOOKUP(K240,clasif_filas!$A$1:$J$39,4,FALSE())</f>
        <v>Servicios de investigación y desarrollo</v>
      </c>
      <c r="O240" s="1" t="n">
        <f aca="false">VLOOKUP(K240,clasif_filas!$A$1:$J$39,5,FALSE())</f>
        <v>6</v>
      </c>
      <c r="P240" s="1" t="str">
        <f aca="false">VLOOKUP(K240,clasif_filas!$A$1:$J$39,6,FALSE())</f>
        <v>Conocimiento, procesos y servicios relacionados</v>
      </c>
      <c r="Q240" s="1" t="n">
        <f aca="false">VLOOKUP(K240,clasif_filas!$A$1:$J$39,7,FALSE())</f>
        <v>8</v>
      </c>
      <c r="R240" s="1" t="str">
        <f aca="false">VLOOKUP(K240,clasif_filas!$A$1:$J$39,8,FALSE())</f>
        <v>Servicios prestados a las empresas y servicios de producción</v>
      </c>
      <c r="S240" s="1" t="n">
        <f aca="false">VLOOKUP(K240,clasif_filas!$A$1:$J$39,9,FALSE())</f>
        <v>2</v>
      </c>
      <c r="T240" s="1" t="str">
        <f aca="false">VLOOKUP(K240,clasif_filas!$A$1:$J$39,10,FALSE())</f>
        <v>Bioeconomía extendida</v>
      </c>
      <c r="U240" s="61"/>
    </row>
    <row r="241" customFormat="false" ht="14.25" hidden="false" customHeight="false" outlineLevel="0" collapsed="false">
      <c r="A241" s="24" t="s">
        <v>743</v>
      </c>
      <c r="B241" s="9" t="s">
        <v>2079</v>
      </c>
      <c r="C241" s="9" t="str">
        <f aca="false">VLOOKUP(B241, AT_FILAS!$A$2:$C$8,2,FALSE())</f>
        <v>Consumo intermedio</v>
      </c>
      <c r="D241" s="9" t="str">
        <f aca="false">VLOOKUP(B241, AT_FILAS!$A$2:$C$8,3,FALSE())</f>
        <v>P2</v>
      </c>
      <c r="E241" s="9" t="s">
        <v>2045</v>
      </c>
      <c r="F241" s="9" t="s">
        <v>2046</v>
      </c>
      <c r="G241" s="9" t="s">
        <v>1750</v>
      </c>
      <c r="H241" s="9" t="n">
        <v>4</v>
      </c>
      <c r="I241" s="9" t="s">
        <v>1750</v>
      </c>
      <c r="J241" s="9" t="s">
        <v>1750</v>
      </c>
      <c r="K241" s="1" t="n">
        <v>5</v>
      </c>
      <c r="L241" s="1" t="str">
        <f aca="false">VLOOKUP(K241,clasif_filas!$A$1:$J$39,2,FALSE())</f>
        <v>Construcciones y servicios de construcción</v>
      </c>
      <c r="M241" s="1" t="n">
        <f aca="false">VLOOKUP(K241,clasif_filas!$A$1:$J$39,3,FALSE())</f>
        <v>5</v>
      </c>
      <c r="N241" s="1" t="str">
        <f aca="false">VLOOKUP(K241,clasif_filas!$A$1:$J$39,4,FALSE())</f>
        <v>Construcciones y servicios de construcción</v>
      </c>
      <c r="O241" s="1" t="n">
        <f aca="false">VLOOKUP(K241,clasif_filas!$A$1:$J$39,5,FALSE())</f>
        <v>99</v>
      </c>
      <c r="P241" s="1" t="str">
        <f aca="false">VLOOKUP(K241,clasif_filas!$A$1:$J$39,6,FALSE())</f>
        <v>No Bioeconomía</v>
      </c>
      <c r="Q241" s="1" t="n">
        <f aca="false">VLOOKUP(K241,clasif_filas!$A$1:$J$39,7,FALSE())</f>
        <v>5</v>
      </c>
      <c r="R241" s="1" t="str">
        <f aca="false">VLOOKUP(K241,clasif_filas!$A$1:$J$39,8,FALSE())</f>
        <v>Construcciones y servicios de construcción</v>
      </c>
      <c r="S241" s="1" t="n">
        <f aca="false">VLOOKUP(K241,clasif_filas!$A$1:$J$39,9,FALSE())</f>
        <v>3</v>
      </c>
      <c r="T241" s="1" t="str">
        <f aca="false">VLOOKUP(K241,clasif_filas!$A$1:$J$39,10,FALSE())</f>
        <v>No bioeconomía</v>
      </c>
      <c r="U241" s="61"/>
    </row>
    <row r="242" customFormat="false" ht="14.25" hidden="false" customHeight="false" outlineLevel="0" collapsed="false">
      <c r="A242" s="24" t="s">
        <v>745</v>
      </c>
      <c r="B242" s="9" t="s">
        <v>2079</v>
      </c>
      <c r="C242" s="9" t="str">
        <f aca="false">VLOOKUP(B242, AT_FILAS!$A$2:$C$8,2,FALSE())</f>
        <v>Consumo intermedio</v>
      </c>
      <c r="D242" s="9" t="str">
        <f aca="false">VLOOKUP(B242, AT_FILAS!$A$2:$C$8,3,FALSE())</f>
        <v>P2</v>
      </c>
      <c r="E242" s="9" t="s">
        <v>2047</v>
      </c>
      <c r="F242" s="9" t="s">
        <v>2048</v>
      </c>
      <c r="G242" s="9" t="s">
        <v>1750</v>
      </c>
      <c r="H242" s="9" t="n">
        <v>4</v>
      </c>
      <c r="I242" s="9" t="s">
        <v>1750</v>
      </c>
      <c r="J242" s="9" t="s">
        <v>1750</v>
      </c>
      <c r="K242" s="1" t="n">
        <v>83</v>
      </c>
      <c r="L242" s="1" t="str">
        <f aca="false">VLOOKUP(K242,clasif_filas!$A$1:$J$39,2,FALSE())</f>
        <v>Otros servicios profesionales, científicos y técnicos</v>
      </c>
      <c r="M242" s="1" t="n">
        <f aca="false">VLOOKUP(K242,clasif_filas!$A$1:$J$39,3,FALSE())</f>
        <v>83</v>
      </c>
      <c r="N242" s="1" t="str">
        <f aca="false">VLOOKUP(K242,clasif_filas!$A$1:$J$39,4,FALSE())</f>
        <v>Otros servicios profesionales, científicos y técnicos</v>
      </c>
      <c r="O242" s="1" t="n">
        <f aca="false">VLOOKUP(K242,clasif_filas!$A$1:$J$39,5,FALSE())</f>
        <v>6</v>
      </c>
      <c r="P242" s="1" t="str">
        <f aca="false">VLOOKUP(K242,clasif_filas!$A$1:$J$39,6,FALSE())</f>
        <v>Conocimiento, procesos y servicios relacionados</v>
      </c>
      <c r="Q242" s="1" t="n">
        <f aca="false">VLOOKUP(K242,clasif_filas!$A$1:$J$39,7,FALSE())</f>
        <v>8</v>
      </c>
      <c r="R242" s="1" t="str">
        <f aca="false">VLOOKUP(K242,clasif_filas!$A$1:$J$39,8,FALSE())</f>
        <v>Servicios prestados a las empresas y servicios de producción</v>
      </c>
      <c r="S242" s="1" t="n">
        <f aca="false">VLOOKUP(K242,clasif_filas!$A$1:$J$39,9,FALSE())</f>
        <v>2</v>
      </c>
      <c r="T242" s="1" t="str">
        <f aca="false">VLOOKUP(K242,clasif_filas!$A$1:$J$39,10,FALSE())</f>
        <v>Bioeconomía extendida</v>
      </c>
      <c r="U242" s="61"/>
    </row>
    <row r="243" customFormat="false" ht="14.25" hidden="false" customHeight="false" outlineLevel="0" collapsed="false">
      <c r="A243" s="24" t="s">
        <v>747</v>
      </c>
      <c r="B243" s="9" t="s">
        <v>2079</v>
      </c>
      <c r="C243" s="9" t="str">
        <f aca="false">VLOOKUP(B243, AT_FILAS!$A$2:$C$8,2,FALSE())</f>
        <v>Consumo intermedio</v>
      </c>
      <c r="D243" s="9" t="str">
        <f aca="false">VLOOKUP(B243, AT_FILAS!$A$2:$C$8,3,FALSE())</f>
        <v>P2</v>
      </c>
      <c r="E243" s="9" t="s">
        <v>2049</v>
      </c>
      <c r="F243" s="9" t="s">
        <v>2050</v>
      </c>
      <c r="G243" s="9" t="s">
        <v>1750</v>
      </c>
      <c r="H243" s="9" t="n">
        <v>4</v>
      </c>
      <c r="I243" s="9" t="s">
        <v>1750</v>
      </c>
      <c r="J243" s="9" t="s">
        <v>1750</v>
      </c>
      <c r="K243" s="1" t="n">
        <v>6</v>
      </c>
      <c r="L243" s="1" t="str">
        <f aca="false">VLOOKUP(K243,clasif_filas!$A$1:$J$39,2,FALSE())</f>
        <v>Otros servicios</v>
      </c>
      <c r="M243" s="1" t="n">
        <f aca="false">VLOOKUP(K243,clasif_filas!$A$1:$J$39,3,FALSE())</f>
        <v>6</v>
      </c>
      <c r="N243" s="1" t="str">
        <f aca="false">VLOOKUP(K243,clasif_filas!$A$1:$J$39,4,FALSE())</f>
        <v>Otros servicios</v>
      </c>
      <c r="O243" s="1" t="n">
        <f aca="false">VLOOKUP(K243,clasif_filas!$A$1:$J$39,5,FALSE())</f>
        <v>99</v>
      </c>
      <c r="P243" s="1" t="str">
        <f aca="false">VLOOKUP(K243,clasif_filas!$A$1:$J$39,6,FALSE())</f>
        <v>No Bioeconomía</v>
      </c>
      <c r="Q243" s="1" t="n">
        <f aca="false">VLOOKUP(K243,clasif_filas!$A$1:$J$39,7,FALSE())</f>
        <v>6</v>
      </c>
      <c r="R243" s="1" t="str">
        <f aca="false">VLOOKUP(K243,clasif_filas!$A$1:$J$39,8,FALSE())</f>
        <v>Servicios comerciales de distribución; alojamiento, servicios de suministro de comidas y bebidas; servicios de transporte; y servicios de distribución de electricidad, gas y agua</v>
      </c>
      <c r="S243" s="1" t="n">
        <f aca="false">VLOOKUP(K243,clasif_filas!$A$1:$J$39,9,FALSE())</f>
        <v>3</v>
      </c>
      <c r="T243" s="1" t="str">
        <f aca="false">VLOOKUP(K243,clasif_filas!$A$1:$J$39,10,FALSE())</f>
        <v>No bioeconomía</v>
      </c>
      <c r="U243" s="61"/>
    </row>
    <row r="244" customFormat="false" ht="14.25" hidden="false" customHeight="false" outlineLevel="0" collapsed="false">
      <c r="A244" s="24" t="s">
        <v>749</v>
      </c>
      <c r="B244" s="9" t="s">
        <v>2079</v>
      </c>
      <c r="C244" s="9" t="str">
        <f aca="false">VLOOKUP(B244, AT_FILAS!$A$2:$C$8,2,FALSE())</f>
        <v>Consumo intermedio</v>
      </c>
      <c r="D244" s="9" t="str">
        <f aca="false">VLOOKUP(B244, AT_FILAS!$A$2:$C$8,3,FALSE())</f>
        <v>P2</v>
      </c>
      <c r="E244" s="9" t="s">
        <v>2051</v>
      </c>
      <c r="F244" s="9" t="s">
        <v>2052</v>
      </c>
      <c r="G244" s="9" t="s">
        <v>1750</v>
      </c>
      <c r="H244" s="9" t="n">
        <v>4</v>
      </c>
      <c r="I244" s="9" t="s">
        <v>1750</v>
      </c>
      <c r="J244" s="9" t="s">
        <v>1750</v>
      </c>
      <c r="K244" s="1" t="n">
        <v>6</v>
      </c>
      <c r="L244" s="1" t="str">
        <f aca="false">VLOOKUP(K244,clasif_filas!$A$1:$J$39,2,FALSE())</f>
        <v>Otros servicios</v>
      </c>
      <c r="M244" s="1" t="n">
        <f aca="false">VLOOKUP(K244,clasif_filas!$A$1:$J$39,3,FALSE())</f>
        <v>6</v>
      </c>
      <c r="N244" s="1" t="str">
        <f aca="false">VLOOKUP(K244,clasif_filas!$A$1:$J$39,4,FALSE())</f>
        <v>Otros servicios</v>
      </c>
      <c r="O244" s="1" t="n">
        <f aca="false">VLOOKUP(K244,clasif_filas!$A$1:$J$39,5,FALSE())</f>
        <v>99</v>
      </c>
      <c r="P244" s="1" t="str">
        <f aca="false">VLOOKUP(K244,clasif_filas!$A$1:$J$39,6,FALSE())</f>
        <v>No Bioeconomía</v>
      </c>
      <c r="Q244" s="1" t="n">
        <f aca="false">VLOOKUP(K244,clasif_filas!$A$1:$J$39,7,FALSE())</f>
        <v>6</v>
      </c>
      <c r="R244" s="1" t="str">
        <f aca="false">VLOOKUP(K244,clasif_filas!$A$1:$J$39,8,FALSE())</f>
        <v>Servicios comerciales de distribución; alojamiento, servicios de suministro de comidas y bebidas; servicios de transporte; y servicios de distribución de electricidad, gas y agua</v>
      </c>
      <c r="S244" s="1" t="n">
        <f aca="false">VLOOKUP(K244,clasif_filas!$A$1:$J$39,9,FALSE())</f>
        <v>3</v>
      </c>
      <c r="T244" s="1" t="str">
        <f aca="false">VLOOKUP(K244,clasif_filas!$A$1:$J$39,10,FALSE())</f>
        <v>No bioeconomía</v>
      </c>
      <c r="U244" s="61"/>
    </row>
    <row r="245" customFormat="false" ht="14.25" hidden="false" customHeight="false" outlineLevel="0" collapsed="false">
      <c r="A245" s="24" t="s">
        <v>751</v>
      </c>
      <c r="B245" s="9" t="s">
        <v>2079</v>
      </c>
      <c r="C245" s="9" t="str">
        <f aca="false">VLOOKUP(B245, AT_FILAS!$A$2:$C$8,2,FALSE())</f>
        <v>Consumo intermedio</v>
      </c>
      <c r="D245" s="9" t="str">
        <f aca="false">VLOOKUP(B245, AT_FILAS!$A$2:$C$8,3,FALSE())</f>
        <v>P2</v>
      </c>
      <c r="E245" s="9" t="s">
        <v>2053</v>
      </c>
      <c r="F245" s="9" t="s">
        <v>2054</v>
      </c>
      <c r="G245" s="9" t="s">
        <v>1750</v>
      </c>
      <c r="H245" s="9" t="n">
        <v>4</v>
      </c>
      <c r="I245" s="9" t="s">
        <v>1750</v>
      </c>
      <c r="J245" s="9" t="s">
        <v>1750</v>
      </c>
      <c r="K245" s="1" t="n">
        <v>6</v>
      </c>
      <c r="L245" s="1" t="str">
        <f aca="false">VLOOKUP(K245,clasif_filas!$A$1:$J$39,2,FALSE())</f>
        <v>Otros servicios</v>
      </c>
      <c r="M245" s="1" t="n">
        <f aca="false">VLOOKUP(K245,clasif_filas!$A$1:$J$39,3,FALSE())</f>
        <v>6</v>
      </c>
      <c r="N245" s="1" t="str">
        <f aca="false">VLOOKUP(K245,clasif_filas!$A$1:$J$39,4,FALSE())</f>
        <v>Otros servicios</v>
      </c>
      <c r="O245" s="1" t="n">
        <f aca="false">VLOOKUP(K245,clasif_filas!$A$1:$J$39,5,FALSE())</f>
        <v>99</v>
      </c>
      <c r="P245" s="1" t="str">
        <f aca="false">VLOOKUP(K245,clasif_filas!$A$1:$J$39,6,FALSE())</f>
        <v>No Bioeconomía</v>
      </c>
      <c r="Q245" s="1" t="n">
        <f aca="false">VLOOKUP(K245,clasif_filas!$A$1:$J$39,7,FALSE())</f>
        <v>6</v>
      </c>
      <c r="R245" s="1" t="str">
        <f aca="false">VLOOKUP(K245,clasif_filas!$A$1:$J$39,8,FALSE())</f>
        <v>Servicios comerciales de distribución; alojamiento, servicios de suministro de comidas y bebidas; servicios de transporte; y servicios de distribución de electricidad, gas y agua</v>
      </c>
      <c r="S245" s="1" t="n">
        <f aca="false">VLOOKUP(K245,clasif_filas!$A$1:$J$39,9,FALSE())</f>
        <v>3</v>
      </c>
      <c r="T245" s="1" t="str">
        <f aca="false">VLOOKUP(K245,clasif_filas!$A$1:$J$39,10,FALSE())</f>
        <v>No bioeconomía</v>
      </c>
      <c r="U245" s="61"/>
    </row>
    <row r="246" customFormat="false" ht="14.25" hidden="false" customHeight="false" outlineLevel="0" collapsed="false">
      <c r="A246" s="24" t="s">
        <v>753</v>
      </c>
      <c r="B246" s="9" t="s">
        <v>2079</v>
      </c>
      <c r="C246" s="9" t="str">
        <f aca="false">VLOOKUP(B246, AT_FILAS!$A$2:$C$8,2,FALSE())</f>
        <v>Consumo intermedio</v>
      </c>
      <c r="D246" s="9" t="str">
        <f aca="false">VLOOKUP(B246, AT_FILAS!$A$2:$C$8,3,FALSE())</f>
        <v>P2</v>
      </c>
      <c r="E246" s="9" t="s">
        <v>2055</v>
      </c>
      <c r="F246" s="9" t="s">
        <v>2056</v>
      </c>
      <c r="G246" s="9" t="s">
        <v>1750</v>
      </c>
      <c r="H246" s="9" t="n">
        <v>4</v>
      </c>
      <c r="I246" s="9" t="s">
        <v>1750</v>
      </c>
      <c r="J246" s="9" t="s">
        <v>1750</v>
      </c>
      <c r="K246" s="1" t="n">
        <v>6</v>
      </c>
      <c r="L246" s="1" t="str">
        <f aca="false">VLOOKUP(K246,clasif_filas!$A$1:$J$39,2,FALSE())</f>
        <v>Otros servicios</v>
      </c>
      <c r="M246" s="1" t="n">
        <f aca="false">VLOOKUP(K246,clasif_filas!$A$1:$J$39,3,FALSE())</f>
        <v>6</v>
      </c>
      <c r="N246" s="1" t="str">
        <f aca="false">VLOOKUP(K246,clasif_filas!$A$1:$J$39,4,FALSE())</f>
        <v>Otros servicios</v>
      </c>
      <c r="O246" s="1" t="n">
        <f aca="false">VLOOKUP(K246,clasif_filas!$A$1:$J$39,5,FALSE())</f>
        <v>99</v>
      </c>
      <c r="P246" s="1" t="str">
        <f aca="false">VLOOKUP(K246,clasif_filas!$A$1:$J$39,6,FALSE())</f>
        <v>No Bioeconomía</v>
      </c>
      <c r="Q246" s="1" t="n">
        <f aca="false">VLOOKUP(K246,clasif_filas!$A$1:$J$39,7,FALSE())</f>
        <v>6</v>
      </c>
      <c r="R246" s="1" t="str">
        <f aca="false">VLOOKUP(K246,clasif_filas!$A$1:$J$39,8,FALSE())</f>
        <v>Servicios comerciales de distribución; alojamiento, servicios de suministro de comidas y bebidas; servicios de transporte; y servicios de distribución de electricidad, gas y agua</v>
      </c>
      <c r="S246" s="1" t="n">
        <f aca="false">VLOOKUP(K246,clasif_filas!$A$1:$J$39,9,FALSE())</f>
        <v>3</v>
      </c>
      <c r="T246" s="1" t="str">
        <f aca="false">VLOOKUP(K246,clasif_filas!$A$1:$J$39,10,FALSE())</f>
        <v>No bioeconomía</v>
      </c>
      <c r="U246" s="61"/>
    </row>
    <row r="247" customFormat="false" ht="14.25" hidden="false" customHeight="false" outlineLevel="0" collapsed="false">
      <c r="A247" s="24" t="s">
        <v>755</v>
      </c>
      <c r="B247" s="9" t="s">
        <v>2079</v>
      </c>
      <c r="C247" s="9" t="str">
        <f aca="false">VLOOKUP(B247, AT_FILAS!$A$2:$C$8,2,FALSE())</f>
        <v>Consumo intermedio</v>
      </c>
      <c r="D247" s="9" t="str">
        <f aca="false">VLOOKUP(B247, AT_FILAS!$A$2:$C$8,3,FALSE())</f>
        <v>P2</v>
      </c>
      <c r="E247" s="9" t="s">
        <v>2057</v>
      </c>
      <c r="F247" s="9" t="s">
        <v>2058</v>
      </c>
      <c r="G247" s="9" t="s">
        <v>1750</v>
      </c>
      <c r="H247" s="9" t="n">
        <v>4</v>
      </c>
      <c r="I247" s="9" t="s">
        <v>1750</v>
      </c>
      <c r="J247" s="9" t="s">
        <v>1750</v>
      </c>
      <c r="K247" s="1" t="n">
        <v>6</v>
      </c>
      <c r="L247" s="1" t="str">
        <f aca="false">VLOOKUP(K247,clasif_filas!$A$1:$J$39,2,FALSE())</f>
        <v>Otros servicios</v>
      </c>
      <c r="M247" s="1" t="n">
        <f aca="false">VLOOKUP(K247,clasif_filas!$A$1:$J$39,3,FALSE())</f>
        <v>6</v>
      </c>
      <c r="N247" s="1" t="str">
        <f aca="false">VLOOKUP(K247,clasif_filas!$A$1:$J$39,4,FALSE())</f>
        <v>Otros servicios</v>
      </c>
      <c r="O247" s="1" t="n">
        <f aca="false">VLOOKUP(K247,clasif_filas!$A$1:$J$39,5,FALSE())</f>
        <v>99</v>
      </c>
      <c r="P247" s="1" t="str">
        <f aca="false">VLOOKUP(K247,clasif_filas!$A$1:$J$39,6,FALSE())</f>
        <v>No Bioeconomía</v>
      </c>
      <c r="Q247" s="1" t="n">
        <f aca="false">VLOOKUP(K247,clasif_filas!$A$1:$J$39,7,FALSE())</f>
        <v>6</v>
      </c>
      <c r="R247" s="1" t="str">
        <f aca="false">VLOOKUP(K247,clasif_filas!$A$1:$J$39,8,FALSE())</f>
        <v>Servicios comerciales de distribución; alojamiento, servicios de suministro de comidas y bebidas; servicios de transporte; y servicios de distribución de electricidad, gas y agua</v>
      </c>
      <c r="S247" s="1" t="n">
        <f aca="false">VLOOKUP(K247,clasif_filas!$A$1:$J$39,9,FALSE())</f>
        <v>3</v>
      </c>
      <c r="T247" s="1" t="str">
        <f aca="false">VLOOKUP(K247,clasif_filas!$A$1:$J$39,10,FALSE())</f>
        <v>No bioeconomía</v>
      </c>
      <c r="U247" s="61"/>
    </row>
    <row r="248" customFormat="false" ht="14.25" hidden="false" customHeight="false" outlineLevel="0" collapsed="false">
      <c r="A248" s="24" t="s">
        <v>757</v>
      </c>
      <c r="B248" s="9" t="s">
        <v>2079</v>
      </c>
      <c r="C248" s="9" t="str">
        <f aca="false">VLOOKUP(B248, AT_FILAS!$A$2:$C$8,2,FALSE())</f>
        <v>Consumo intermedio</v>
      </c>
      <c r="D248" s="9" t="str">
        <f aca="false">VLOOKUP(B248, AT_FILAS!$A$2:$C$8,3,FALSE())</f>
        <v>P2</v>
      </c>
      <c r="E248" s="9" t="s">
        <v>2059</v>
      </c>
      <c r="F248" s="9" t="s">
        <v>2060</v>
      </c>
      <c r="G248" s="9" t="s">
        <v>1750</v>
      </c>
      <c r="H248" s="9" t="n">
        <v>4</v>
      </c>
      <c r="I248" s="9" t="s">
        <v>1750</v>
      </c>
      <c r="J248" s="9" t="s">
        <v>1750</v>
      </c>
      <c r="K248" s="1" t="n">
        <v>6</v>
      </c>
      <c r="L248" s="1" t="str">
        <f aca="false">VLOOKUP(K248,clasif_filas!$A$1:$J$39,2,FALSE())</f>
        <v>Otros servicios</v>
      </c>
      <c r="M248" s="1" t="n">
        <f aca="false">VLOOKUP(K248,clasif_filas!$A$1:$J$39,3,FALSE())</f>
        <v>6</v>
      </c>
      <c r="N248" s="1" t="str">
        <f aca="false">VLOOKUP(K248,clasif_filas!$A$1:$J$39,4,FALSE())</f>
        <v>Otros servicios</v>
      </c>
      <c r="O248" s="1" t="n">
        <f aca="false">VLOOKUP(K248,clasif_filas!$A$1:$J$39,5,FALSE())</f>
        <v>99</v>
      </c>
      <c r="P248" s="1" t="str">
        <f aca="false">VLOOKUP(K248,clasif_filas!$A$1:$J$39,6,FALSE())</f>
        <v>No Bioeconomía</v>
      </c>
      <c r="Q248" s="1" t="n">
        <f aca="false">VLOOKUP(K248,clasif_filas!$A$1:$J$39,7,FALSE())</f>
        <v>6</v>
      </c>
      <c r="R248" s="1" t="str">
        <f aca="false">VLOOKUP(K248,clasif_filas!$A$1:$J$39,8,FALSE())</f>
        <v>Servicios comerciales de distribución; alojamiento, servicios de suministro de comidas y bebidas; servicios de transporte; y servicios de distribución de electricidad, gas y agua</v>
      </c>
      <c r="S248" s="1" t="n">
        <f aca="false">VLOOKUP(K248,clasif_filas!$A$1:$J$39,9,FALSE())</f>
        <v>3</v>
      </c>
      <c r="T248" s="1" t="str">
        <f aca="false">VLOOKUP(K248,clasif_filas!$A$1:$J$39,10,FALSE())</f>
        <v>No bioeconomía</v>
      </c>
      <c r="U248" s="61"/>
    </row>
    <row r="249" customFormat="false" ht="14.25" hidden="false" customHeight="false" outlineLevel="0" collapsed="false">
      <c r="A249" s="24" t="s">
        <v>759</v>
      </c>
      <c r="B249" s="9" t="s">
        <v>2079</v>
      </c>
      <c r="C249" s="9" t="str">
        <f aca="false">VLOOKUP(B249, AT_FILAS!$A$2:$C$8,2,FALSE())</f>
        <v>Consumo intermedio</v>
      </c>
      <c r="D249" s="9" t="str">
        <f aca="false">VLOOKUP(B249, AT_FILAS!$A$2:$C$8,3,FALSE())</f>
        <v>P2</v>
      </c>
      <c r="E249" s="9" t="s">
        <v>2061</v>
      </c>
      <c r="F249" s="9" t="s">
        <v>2062</v>
      </c>
      <c r="G249" s="9" t="s">
        <v>1750</v>
      </c>
      <c r="H249" s="9" t="n">
        <v>4</v>
      </c>
      <c r="I249" s="9" t="s">
        <v>1750</v>
      </c>
      <c r="J249" s="9" t="s">
        <v>1750</v>
      </c>
      <c r="K249" s="1" t="n">
        <v>6</v>
      </c>
      <c r="L249" s="1" t="str">
        <f aca="false">VLOOKUP(K249,clasif_filas!$A$1:$J$39,2,FALSE())</f>
        <v>Otros servicios</v>
      </c>
      <c r="M249" s="1" t="n">
        <f aca="false">VLOOKUP(K249,clasif_filas!$A$1:$J$39,3,FALSE())</f>
        <v>6</v>
      </c>
      <c r="N249" s="1" t="str">
        <f aca="false">VLOOKUP(K249,clasif_filas!$A$1:$J$39,4,FALSE())</f>
        <v>Otros servicios</v>
      </c>
      <c r="O249" s="1" t="n">
        <f aca="false">VLOOKUP(K249,clasif_filas!$A$1:$J$39,5,FALSE())</f>
        <v>99</v>
      </c>
      <c r="P249" s="1" t="str">
        <f aca="false">VLOOKUP(K249,clasif_filas!$A$1:$J$39,6,FALSE())</f>
        <v>No Bioeconomía</v>
      </c>
      <c r="Q249" s="1" t="n">
        <f aca="false">VLOOKUP(K249,clasif_filas!$A$1:$J$39,7,FALSE())</f>
        <v>6</v>
      </c>
      <c r="R249" s="1" t="str">
        <f aca="false">VLOOKUP(K249,clasif_filas!$A$1:$J$39,8,FALSE())</f>
        <v>Servicios comerciales de distribución; alojamiento, servicios de suministro de comidas y bebidas; servicios de transporte; y servicios de distribución de electricidad, gas y agua</v>
      </c>
      <c r="S249" s="1" t="n">
        <f aca="false">VLOOKUP(K249,clasif_filas!$A$1:$J$39,9,FALSE())</f>
        <v>3</v>
      </c>
      <c r="T249" s="1" t="str">
        <f aca="false">VLOOKUP(K249,clasif_filas!$A$1:$J$39,10,FALSE())</f>
        <v>No bioeconomía</v>
      </c>
      <c r="U249" s="61"/>
    </row>
    <row r="250" customFormat="false" ht="14.25" hidden="false" customHeight="false" outlineLevel="0" collapsed="false">
      <c r="A250" s="24" t="s">
        <v>761</v>
      </c>
      <c r="B250" s="9" t="s">
        <v>2079</v>
      </c>
      <c r="C250" s="9" t="str">
        <f aca="false">VLOOKUP(B250, AT_FILAS!$A$2:$C$8,2,FALSE())</f>
        <v>Consumo intermedio</v>
      </c>
      <c r="D250" s="9" t="str">
        <f aca="false">VLOOKUP(B250, AT_FILAS!$A$2:$C$8,3,FALSE())</f>
        <v>P2</v>
      </c>
      <c r="E250" s="9" t="s">
        <v>2063</v>
      </c>
      <c r="F250" s="9" t="s">
        <v>2064</v>
      </c>
      <c r="G250" s="9" t="s">
        <v>1750</v>
      </c>
      <c r="H250" s="9" t="n">
        <v>4</v>
      </c>
      <c r="I250" s="9" t="s">
        <v>1750</v>
      </c>
      <c r="J250" s="9" t="s">
        <v>1750</v>
      </c>
      <c r="K250" s="1" t="n">
        <v>6</v>
      </c>
      <c r="L250" s="1" t="str">
        <f aca="false">VLOOKUP(K250,clasif_filas!$A$1:$J$39,2,FALSE())</f>
        <v>Otros servicios</v>
      </c>
      <c r="M250" s="1" t="n">
        <f aca="false">VLOOKUP(K250,clasif_filas!$A$1:$J$39,3,FALSE())</f>
        <v>6</v>
      </c>
      <c r="N250" s="1" t="str">
        <f aca="false">VLOOKUP(K250,clasif_filas!$A$1:$J$39,4,FALSE())</f>
        <v>Otros servicios</v>
      </c>
      <c r="O250" s="1" t="n">
        <f aca="false">VLOOKUP(K250,clasif_filas!$A$1:$J$39,5,FALSE())</f>
        <v>99</v>
      </c>
      <c r="P250" s="1" t="str">
        <f aca="false">VLOOKUP(K250,clasif_filas!$A$1:$J$39,6,FALSE())</f>
        <v>No Bioeconomía</v>
      </c>
      <c r="Q250" s="1" t="n">
        <f aca="false">VLOOKUP(K250,clasif_filas!$A$1:$J$39,7,FALSE())</f>
        <v>6</v>
      </c>
      <c r="R250" s="1" t="str">
        <f aca="false">VLOOKUP(K250,clasif_filas!$A$1:$J$39,8,FALSE())</f>
        <v>Servicios comerciales de distribución; alojamiento, servicios de suministro de comidas y bebidas; servicios de transporte; y servicios de distribución de electricidad, gas y agua</v>
      </c>
      <c r="S250" s="1" t="n">
        <f aca="false">VLOOKUP(K250,clasif_filas!$A$1:$J$39,9,FALSE())</f>
        <v>3</v>
      </c>
      <c r="T250" s="1" t="str">
        <f aca="false">VLOOKUP(K250,clasif_filas!$A$1:$J$39,10,FALSE())</f>
        <v>No bioeconomía</v>
      </c>
      <c r="U250" s="61"/>
    </row>
    <row r="251" customFormat="false" ht="14.25" hidden="false" customHeight="false" outlineLevel="0" collapsed="false">
      <c r="A251" s="24" t="s">
        <v>763</v>
      </c>
      <c r="B251" s="9" t="s">
        <v>2079</v>
      </c>
      <c r="C251" s="9" t="str">
        <f aca="false">VLOOKUP(B251, AT_FILAS!$A$2:$C$8,2,FALSE())</f>
        <v>Consumo intermedio</v>
      </c>
      <c r="D251" s="9" t="str">
        <f aca="false">VLOOKUP(B251, AT_FILAS!$A$2:$C$8,3,FALSE())</f>
        <v>P2</v>
      </c>
      <c r="E251" s="9" t="s">
        <v>2065</v>
      </c>
      <c r="F251" s="9" t="s">
        <v>2066</v>
      </c>
      <c r="G251" s="9" t="s">
        <v>1750</v>
      </c>
      <c r="H251" s="9" t="n">
        <v>4</v>
      </c>
      <c r="I251" s="9" t="s">
        <v>1750</v>
      </c>
      <c r="J251" s="9" t="s">
        <v>1750</v>
      </c>
      <c r="K251" s="1" t="n">
        <v>6</v>
      </c>
      <c r="L251" s="1" t="str">
        <f aca="false">VLOOKUP(K251,clasif_filas!$A$1:$J$39,2,FALSE())</f>
        <v>Otros servicios</v>
      </c>
      <c r="M251" s="1" t="n">
        <f aca="false">VLOOKUP(K251,clasif_filas!$A$1:$J$39,3,FALSE())</f>
        <v>6</v>
      </c>
      <c r="N251" s="1" t="str">
        <f aca="false">VLOOKUP(K251,clasif_filas!$A$1:$J$39,4,FALSE())</f>
        <v>Otros servicios</v>
      </c>
      <c r="O251" s="1" t="n">
        <f aca="false">VLOOKUP(K251,clasif_filas!$A$1:$J$39,5,FALSE())</f>
        <v>99</v>
      </c>
      <c r="P251" s="1" t="str">
        <f aca="false">VLOOKUP(K251,clasif_filas!$A$1:$J$39,6,FALSE())</f>
        <v>No Bioeconomía</v>
      </c>
      <c r="Q251" s="1" t="n">
        <f aca="false">VLOOKUP(K251,clasif_filas!$A$1:$J$39,7,FALSE())</f>
        <v>6</v>
      </c>
      <c r="R251" s="1" t="str">
        <f aca="false">VLOOKUP(K251,clasif_filas!$A$1:$J$39,8,FALSE())</f>
        <v>Servicios comerciales de distribución; alojamiento, servicios de suministro de comidas y bebidas; servicios de transporte; y servicios de distribución de electricidad, gas y agua</v>
      </c>
      <c r="S251" s="1" t="n">
        <f aca="false">VLOOKUP(K251,clasif_filas!$A$1:$J$39,9,FALSE())</f>
        <v>3</v>
      </c>
      <c r="T251" s="1" t="str">
        <f aca="false">VLOOKUP(K251,clasif_filas!$A$1:$J$39,10,FALSE())</f>
        <v>No bioeconomía</v>
      </c>
      <c r="U251" s="61"/>
    </row>
    <row r="252" customFormat="false" ht="14.25" hidden="false" customHeight="false" outlineLevel="0" collapsed="false">
      <c r="A252" s="24" t="s">
        <v>765</v>
      </c>
      <c r="B252" s="9" t="s">
        <v>2079</v>
      </c>
      <c r="C252" s="9" t="str">
        <f aca="false">VLOOKUP(B252, AT_FILAS!$A$2:$C$8,2,FALSE())</f>
        <v>Consumo intermedio</v>
      </c>
      <c r="D252" s="9" t="str">
        <f aca="false">VLOOKUP(B252, AT_FILAS!$A$2:$C$8,3,FALSE())</f>
        <v>P2</v>
      </c>
      <c r="E252" s="9" t="s">
        <v>2067</v>
      </c>
      <c r="F252" s="9" t="s">
        <v>2068</v>
      </c>
      <c r="G252" s="9" t="s">
        <v>1750</v>
      </c>
      <c r="H252" s="9" t="n">
        <v>4</v>
      </c>
      <c r="I252" s="9" t="s">
        <v>1750</v>
      </c>
      <c r="J252" s="9" t="s">
        <v>1750</v>
      </c>
      <c r="K252" s="1" t="n">
        <v>6</v>
      </c>
      <c r="L252" s="1" t="str">
        <f aca="false">VLOOKUP(K252,clasif_filas!$A$1:$J$39,2,FALSE())</f>
        <v>Otros servicios</v>
      </c>
      <c r="M252" s="1" t="n">
        <f aca="false">VLOOKUP(K252,clasif_filas!$A$1:$J$39,3,FALSE())</f>
        <v>6</v>
      </c>
      <c r="N252" s="1" t="str">
        <f aca="false">VLOOKUP(K252,clasif_filas!$A$1:$J$39,4,FALSE())</f>
        <v>Otros servicios</v>
      </c>
      <c r="O252" s="1" t="n">
        <f aca="false">VLOOKUP(K252,clasif_filas!$A$1:$J$39,5,FALSE())</f>
        <v>99</v>
      </c>
      <c r="P252" s="1" t="str">
        <f aca="false">VLOOKUP(K252,clasif_filas!$A$1:$J$39,6,FALSE())</f>
        <v>No Bioeconomía</v>
      </c>
      <c r="Q252" s="1" t="n">
        <f aca="false">VLOOKUP(K252,clasif_filas!$A$1:$J$39,7,FALSE())</f>
        <v>6</v>
      </c>
      <c r="R252" s="1" t="str">
        <f aca="false">VLOOKUP(K252,clasif_filas!$A$1:$J$39,8,FALSE())</f>
        <v>Servicios comerciales de distribución; alojamiento, servicios de suministro de comidas y bebidas; servicios de transporte; y servicios de distribución de electricidad, gas y agua</v>
      </c>
      <c r="S252" s="1" t="n">
        <f aca="false">VLOOKUP(K252,clasif_filas!$A$1:$J$39,9,FALSE())</f>
        <v>3</v>
      </c>
      <c r="T252" s="1" t="str">
        <f aca="false">VLOOKUP(K252,clasif_filas!$A$1:$J$39,10,FALSE())</f>
        <v>No bioeconomía</v>
      </c>
      <c r="U252" s="61"/>
    </row>
    <row r="253" customFormat="false" ht="14.25" hidden="false" customHeight="false" outlineLevel="0" collapsed="false">
      <c r="A253" s="24" t="s">
        <v>767</v>
      </c>
      <c r="B253" s="9" t="s">
        <v>2079</v>
      </c>
      <c r="C253" s="9" t="str">
        <f aca="false">VLOOKUP(B253, AT_FILAS!$A$2:$C$8,2,FALSE())</f>
        <v>Consumo intermedio</v>
      </c>
      <c r="D253" s="9" t="str">
        <f aca="false">VLOOKUP(B253, AT_FILAS!$A$2:$C$8,3,FALSE())</f>
        <v>P2</v>
      </c>
      <c r="E253" s="9" t="s">
        <v>2069</v>
      </c>
      <c r="F253" s="9" t="s">
        <v>2070</v>
      </c>
      <c r="G253" s="9" t="s">
        <v>1750</v>
      </c>
      <c r="H253" s="9" t="n">
        <v>4</v>
      </c>
      <c r="I253" s="9" t="s">
        <v>1750</v>
      </c>
      <c r="J253" s="9" t="s">
        <v>1750</v>
      </c>
      <c r="K253" s="1" t="n">
        <v>6</v>
      </c>
      <c r="L253" s="1" t="str">
        <f aca="false">VLOOKUP(K253,clasif_filas!$A$1:$J$39,2,FALSE())</f>
        <v>Otros servicios</v>
      </c>
      <c r="M253" s="1" t="n">
        <f aca="false">VLOOKUP(K253,clasif_filas!$A$1:$J$39,3,FALSE())</f>
        <v>6</v>
      </c>
      <c r="N253" s="1" t="str">
        <f aca="false">VLOOKUP(K253,clasif_filas!$A$1:$J$39,4,FALSE())</f>
        <v>Otros servicios</v>
      </c>
      <c r="O253" s="1" t="n">
        <f aca="false">VLOOKUP(K253,clasif_filas!$A$1:$J$39,5,FALSE())</f>
        <v>99</v>
      </c>
      <c r="P253" s="1" t="str">
        <f aca="false">VLOOKUP(K253,clasif_filas!$A$1:$J$39,6,FALSE())</f>
        <v>No Bioeconomía</v>
      </c>
      <c r="Q253" s="1" t="n">
        <f aca="false">VLOOKUP(K253,clasif_filas!$A$1:$J$39,7,FALSE())</f>
        <v>6</v>
      </c>
      <c r="R253" s="1" t="str">
        <f aca="false">VLOOKUP(K253,clasif_filas!$A$1:$J$39,8,FALSE())</f>
        <v>Servicios comerciales de distribución; alojamiento, servicios de suministro de comidas y bebidas; servicios de transporte; y servicios de distribución de electricidad, gas y agua</v>
      </c>
      <c r="S253" s="1" t="n">
        <f aca="false">VLOOKUP(K253,clasif_filas!$A$1:$J$39,9,FALSE())</f>
        <v>3</v>
      </c>
      <c r="T253" s="1" t="str">
        <f aca="false">VLOOKUP(K253,clasif_filas!$A$1:$J$39,10,FALSE())</f>
        <v>No bioeconomía</v>
      </c>
      <c r="U253" s="61"/>
    </row>
    <row r="254" customFormat="false" ht="14.25" hidden="false" customHeight="false" outlineLevel="0" collapsed="false">
      <c r="A254" s="24" t="s">
        <v>769</v>
      </c>
      <c r="B254" s="9" t="s">
        <v>2079</v>
      </c>
      <c r="C254" s="9" t="str">
        <f aca="false">VLOOKUP(B254, AT_FILAS!$A$2:$C$8,2,FALSE())</f>
        <v>Consumo intermedio</v>
      </c>
      <c r="D254" s="9" t="str">
        <f aca="false">VLOOKUP(B254, AT_FILAS!$A$2:$C$8,3,FALSE())</f>
        <v>P2</v>
      </c>
      <c r="E254" s="9" t="s">
        <v>2071</v>
      </c>
      <c r="F254" s="9" t="s">
        <v>2072</v>
      </c>
      <c r="G254" s="9" t="s">
        <v>1750</v>
      </c>
      <c r="H254" s="9" t="n">
        <v>4</v>
      </c>
      <c r="I254" s="9" t="s">
        <v>1750</v>
      </c>
      <c r="J254" s="9" t="s">
        <v>1750</v>
      </c>
      <c r="K254" s="1" t="n">
        <v>6</v>
      </c>
      <c r="L254" s="1" t="str">
        <f aca="false">VLOOKUP(K254,clasif_filas!$A$1:$J$39,2,FALSE())</f>
        <v>Otros servicios</v>
      </c>
      <c r="M254" s="1" t="n">
        <f aca="false">VLOOKUP(K254,clasif_filas!$A$1:$J$39,3,FALSE())</f>
        <v>6</v>
      </c>
      <c r="N254" s="1" t="str">
        <f aca="false">VLOOKUP(K254,clasif_filas!$A$1:$J$39,4,FALSE())</f>
        <v>Otros servicios</v>
      </c>
      <c r="O254" s="1" t="n">
        <f aca="false">VLOOKUP(K254,clasif_filas!$A$1:$J$39,5,FALSE())</f>
        <v>99</v>
      </c>
      <c r="P254" s="1" t="str">
        <f aca="false">VLOOKUP(K254,clasif_filas!$A$1:$J$39,6,FALSE())</f>
        <v>No Bioeconomía</v>
      </c>
      <c r="Q254" s="1" t="n">
        <f aca="false">VLOOKUP(K254,clasif_filas!$A$1:$J$39,7,FALSE())</f>
        <v>6</v>
      </c>
      <c r="R254" s="1" t="str">
        <f aca="false">VLOOKUP(K254,clasif_filas!$A$1:$J$39,8,FALSE())</f>
        <v>Servicios comerciales de distribución; alojamiento, servicios de suministro de comidas y bebidas; servicios de transporte; y servicios de distribución de electricidad, gas y agua</v>
      </c>
      <c r="S254" s="1" t="n">
        <f aca="false">VLOOKUP(K254,clasif_filas!$A$1:$J$39,9,FALSE())</f>
        <v>3</v>
      </c>
      <c r="T254" s="1" t="str">
        <f aca="false">VLOOKUP(K254,clasif_filas!$A$1:$J$39,10,FALSE())</f>
        <v>No bioeconomía</v>
      </c>
      <c r="U254" s="61"/>
    </row>
    <row r="255" customFormat="false" ht="14.25" hidden="false" customHeight="false" outlineLevel="0" collapsed="false">
      <c r="A255" s="24" t="s">
        <v>771</v>
      </c>
      <c r="B255" s="9" t="s">
        <v>2079</v>
      </c>
      <c r="C255" s="9" t="str">
        <f aca="false">VLOOKUP(B255, AT_FILAS!$A$2:$C$8,2,FALSE())</f>
        <v>Consumo intermedio</v>
      </c>
      <c r="D255" s="9" t="str">
        <f aca="false">VLOOKUP(B255, AT_FILAS!$A$2:$C$8,3,FALSE())</f>
        <v>P2</v>
      </c>
      <c r="E255" s="9" t="s">
        <v>2073</v>
      </c>
      <c r="F255" s="9" t="s">
        <v>2074</v>
      </c>
      <c r="G255" s="9" t="s">
        <v>1750</v>
      </c>
      <c r="H255" s="9" t="n">
        <v>4</v>
      </c>
      <c r="I255" s="9" t="s">
        <v>1750</v>
      </c>
      <c r="J255" s="9" t="s">
        <v>1750</v>
      </c>
      <c r="K255" s="1" t="n">
        <v>6</v>
      </c>
      <c r="L255" s="1" t="str">
        <f aca="false">VLOOKUP(K255,clasif_filas!$A$1:$J$39,2,FALSE())</f>
        <v>Otros servicios</v>
      </c>
      <c r="M255" s="1" t="n">
        <f aca="false">VLOOKUP(K255,clasif_filas!$A$1:$J$39,3,FALSE())</f>
        <v>6</v>
      </c>
      <c r="N255" s="1" t="str">
        <f aca="false">VLOOKUP(K255,clasif_filas!$A$1:$J$39,4,FALSE())</f>
        <v>Otros servicios</v>
      </c>
      <c r="O255" s="1" t="n">
        <f aca="false">VLOOKUP(K255,clasif_filas!$A$1:$J$39,5,FALSE())</f>
        <v>99</v>
      </c>
      <c r="P255" s="1" t="str">
        <f aca="false">VLOOKUP(K255,clasif_filas!$A$1:$J$39,6,FALSE())</f>
        <v>No Bioeconomía</v>
      </c>
      <c r="Q255" s="1" t="n">
        <f aca="false">VLOOKUP(K255,clasif_filas!$A$1:$J$39,7,FALSE())</f>
        <v>6</v>
      </c>
      <c r="R255" s="1" t="str">
        <f aca="false">VLOOKUP(K255,clasif_filas!$A$1:$J$39,8,FALSE())</f>
        <v>Servicios comerciales de distribución; alojamiento, servicios de suministro de comidas y bebidas; servicios de transporte; y servicios de distribución de electricidad, gas y agua</v>
      </c>
      <c r="S255" s="1" t="n">
        <f aca="false">VLOOKUP(K255,clasif_filas!$A$1:$J$39,9,FALSE())</f>
        <v>3</v>
      </c>
      <c r="T255" s="1" t="str">
        <f aca="false">VLOOKUP(K255,clasif_filas!$A$1:$J$39,10,FALSE())</f>
        <v>No bioeconomía</v>
      </c>
      <c r="U255" s="61"/>
    </row>
    <row r="256" customFormat="false" ht="14.25" hidden="false" customHeight="false" outlineLevel="0" collapsed="false">
      <c r="A256" s="24" t="s">
        <v>773</v>
      </c>
      <c r="B256" s="9" t="s">
        <v>2079</v>
      </c>
      <c r="C256" s="9" t="str">
        <f aca="false">VLOOKUP(B256, AT_FILAS!$A$2:$C$8,2,FALSE())</f>
        <v>Consumo intermedio</v>
      </c>
      <c r="D256" s="9" t="str">
        <f aca="false">VLOOKUP(B256, AT_FILAS!$A$2:$C$8,3,FALSE())</f>
        <v>P2</v>
      </c>
      <c r="E256" s="9" t="s">
        <v>2075</v>
      </c>
      <c r="F256" s="9" t="s">
        <v>2076</v>
      </c>
      <c r="G256" s="9" t="s">
        <v>1750</v>
      </c>
      <c r="H256" s="9" t="n">
        <v>4</v>
      </c>
      <c r="I256" s="9" t="s">
        <v>1750</v>
      </c>
      <c r="J256" s="9" t="s">
        <v>1750</v>
      </c>
      <c r="K256" s="1" t="n">
        <v>6</v>
      </c>
      <c r="L256" s="1" t="str">
        <f aca="false">VLOOKUP(K256,clasif_filas!$A$1:$J$39,2,FALSE())</f>
        <v>Otros servicios</v>
      </c>
      <c r="M256" s="1" t="n">
        <f aca="false">VLOOKUP(K256,clasif_filas!$A$1:$J$39,3,FALSE())</f>
        <v>6</v>
      </c>
      <c r="N256" s="1" t="str">
        <f aca="false">VLOOKUP(K256,clasif_filas!$A$1:$J$39,4,FALSE())</f>
        <v>Otros servicios</v>
      </c>
      <c r="O256" s="1" t="n">
        <f aca="false">VLOOKUP(K256,clasif_filas!$A$1:$J$39,5,FALSE())</f>
        <v>99</v>
      </c>
      <c r="P256" s="1" t="str">
        <f aca="false">VLOOKUP(K256,clasif_filas!$A$1:$J$39,6,FALSE())</f>
        <v>No Bioeconomía</v>
      </c>
      <c r="Q256" s="1" t="n">
        <f aca="false">VLOOKUP(K256,clasif_filas!$A$1:$J$39,7,FALSE())</f>
        <v>6</v>
      </c>
      <c r="R256" s="1" t="str">
        <f aca="false">VLOOKUP(K256,clasif_filas!$A$1:$J$39,8,FALSE())</f>
        <v>Servicios comerciales de distribución; alojamiento, servicios de suministro de comidas y bebidas; servicios de transporte; y servicios de distribución de electricidad, gas y agua</v>
      </c>
      <c r="S256" s="1" t="n">
        <f aca="false">VLOOKUP(K256,clasif_filas!$A$1:$J$39,9,FALSE())</f>
        <v>3</v>
      </c>
      <c r="T256" s="1" t="str">
        <f aca="false">VLOOKUP(K256,clasif_filas!$A$1:$J$39,10,FALSE())</f>
        <v>No bioeconomía</v>
      </c>
      <c r="U256" s="61"/>
    </row>
    <row r="257" customFormat="false" ht="14.25" hidden="false" customHeight="false" outlineLevel="0" collapsed="false">
      <c r="A257" s="24" t="s">
        <v>775</v>
      </c>
      <c r="B257" s="9" t="s">
        <v>2079</v>
      </c>
      <c r="C257" s="9" t="str">
        <f aca="false">VLOOKUP(B257, AT_FILAS!$A$2:$C$8,2,FALSE())</f>
        <v>Consumo intermedio</v>
      </c>
      <c r="D257" s="9" t="str">
        <f aca="false">VLOOKUP(B257, AT_FILAS!$A$2:$C$8,3,FALSE())</f>
        <v>P2</v>
      </c>
      <c r="E257" s="9" t="s">
        <v>2077</v>
      </c>
      <c r="F257" s="9" t="s">
        <v>2078</v>
      </c>
      <c r="G257" s="9" t="s">
        <v>1750</v>
      </c>
      <c r="H257" s="9" t="n">
        <v>4</v>
      </c>
      <c r="I257" s="9" t="s">
        <v>1750</v>
      </c>
      <c r="J257" s="9" t="s">
        <v>1750</v>
      </c>
      <c r="K257" s="1" t="n">
        <v>6</v>
      </c>
      <c r="L257" s="1" t="str">
        <f aca="false">VLOOKUP(K257,clasif_filas!$A$1:$J$39,2,FALSE())</f>
        <v>Otros servicios</v>
      </c>
      <c r="M257" s="1" t="n">
        <f aca="false">VLOOKUP(K257,clasif_filas!$A$1:$J$39,3,FALSE())</f>
        <v>6</v>
      </c>
      <c r="N257" s="1" t="str">
        <f aca="false">VLOOKUP(K257,clasif_filas!$A$1:$J$39,4,FALSE())</f>
        <v>Otros servicios</v>
      </c>
      <c r="O257" s="1" t="n">
        <f aca="false">VLOOKUP(K257,clasif_filas!$A$1:$J$39,5,FALSE())</f>
        <v>99</v>
      </c>
      <c r="P257" s="1" t="str">
        <f aca="false">VLOOKUP(K257,clasif_filas!$A$1:$J$39,6,FALSE())</f>
        <v>No Bioeconomía</v>
      </c>
      <c r="Q257" s="1" t="n">
        <f aca="false">VLOOKUP(K257,clasif_filas!$A$1:$J$39,7,FALSE())</f>
        <v>6</v>
      </c>
      <c r="R257" s="1" t="str">
        <f aca="false">VLOOKUP(K257,clasif_filas!$A$1:$J$39,8,FALSE())</f>
        <v>Servicios comerciales de distribución; alojamiento, servicios de suministro de comidas y bebidas; servicios de transporte; y servicios de distribución de electricidad, gas y agua</v>
      </c>
      <c r="S257" s="1" t="n">
        <f aca="false">VLOOKUP(K257,clasif_filas!$A$1:$J$39,9,FALSE())</f>
        <v>3</v>
      </c>
      <c r="T257" s="1" t="str">
        <f aca="false">VLOOKUP(K257,clasif_filas!$A$1:$J$39,10,FALSE())</f>
        <v>No bioeconomía</v>
      </c>
      <c r="U257" s="65"/>
    </row>
    <row r="258" customFormat="false" ht="14.25" hidden="false" customHeight="false" outlineLevel="0" collapsed="false">
      <c r="A258" s="66" t="s">
        <v>909</v>
      </c>
      <c r="B258" s="67" t="s">
        <v>2080</v>
      </c>
      <c r="C258" s="67" t="str">
        <f aca="false">VLOOKUP(B258, AT_FILAS!$A$2:$C$8,2,FALSE())</f>
        <v>Valor Agregado</v>
      </c>
      <c r="D258" s="67" t="str">
        <f aca="false">VLOOKUP(B258, AT_FILAS!$A$2:$C$8,3,FALSE())</f>
        <v>-</v>
      </c>
      <c r="E258" s="67" t="s">
        <v>1565</v>
      </c>
      <c r="F258" s="67" t="s">
        <v>2081</v>
      </c>
      <c r="G258" s="67" t="s">
        <v>1565</v>
      </c>
      <c r="H258" s="67" t="s">
        <v>1565</v>
      </c>
      <c r="I258" s="67" t="s">
        <v>1565</v>
      </c>
      <c r="J258" s="67" t="s">
        <v>1565</v>
      </c>
      <c r="K258" s="68" t="s">
        <v>1565</v>
      </c>
      <c r="L258" s="1" t="s">
        <v>1565</v>
      </c>
      <c r="M258" s="1" t="s">
        <v>1565</v>
      </c>
      <c r="N258" s="1" t="s">
        <v>1565</v>
      </c>
      <c r="O258" s="1" t="s">
        <v>1565</v>
      </c>
      <c r="P258" s="1" t="s">
        <v>1565</v>
      </c>
      <c r="Q258" s="1" t="s">
        <v>1565</v>
      </c>
      <c r="R258" s="1" t="s">
        <v>1565</v>
      </c>
      <c r="S258" s="1" t="s">
        <v>1565</v>
      </c>
      <c r="T258" s="1" t="s">
        <v>1565</v>
      </c>
      <c r="U258" s="68"/>
      <c r="V258" s="69"/>
    </row>
    <row r="259" customFormat="false" ht="14.25" hidden="false" customHeight="false" outlineLevel="0" collapsed="false">
      <c r="F259" s="70"/>
      <c r="G259" s="70"/>
      <c r="H259" s="70"/>
      <c r="I259" s="70"/>
      <c r="J259" s="70"/>
    </row>
    <row r="260" customFormat="false" ht="14.25" hidden="false" customHeight="false" outlineLevel="0" collapsed="false">
      <c r="F260" s="70"/>
      <c r="G260" s="70"/>
      <c r="H260" s="70"/>
      <c r="I260" s="70"/>
      <c r="J260" s="70"/>
    </row>
    <row r="261" customFormat="false" ht="14.25" hidden="false" customHeight="false" outlineLevel="0" collapsed="false">
      <c r="F261" s="70"/>
      <c r="G261" s="70"/>
      <c r="H261" s="70"/>
      <c r="I261" s="70"/>
      <c r="J261" s="70"/>
    </row>
    <row r="262" customFormat="false" ht="14.25" hidden="false" customHeight="false" outlineLevel="0" collapsed="false">
      <c r="F262" s="71"/>
      <c r="G262" s="71"/>
      <c r="H262" s="71"/>
      <c r="I262" s="71"/>
      <c r="J262" s="71"/>
    </row>
    <row r="263" customFormat="false" ht="14.25" hidden="false" customHeight="false" outlineLevel="0" collapsed="false">
      <c r="F263" s="70"/>
      <c r="G263" s="70"/>
      <c r="H263" s="70"/>
      <c r="I263" s="70"/>
      <c r="J263" s="70"/>
    </row>
    <row r="264" customFormat="false" ht="14.25" hidden="false" customHeight="false" outlineLevel="0" collapsed="false">
      <c r="F264" s="70"/>
      <c r="G264" s="70"/>
      <c r="H264" s="70"/>
      <c r="I264" s="70"/>
      <c r="J264" s="70"/>
    </row>
    <row r="265" customFormat="false" ht="14.25" hidden="false" customHeight="false" outlineLevel="0" collapsed="false">
      <c r="F265" s="71"/>
      <c r="G265" s="71"/>
      <c r="H265" s="71"/>
      <c r="I265" s="71"/>
      <c r="J265" s="71"/>
    </row>
    <row r="266" customFormat="false" ht="14.25" hidden="false" customHeight="false" outlineLevel="0" collapsed="false">
      <c r="F266" s="70"/>
      <c r="G266" s="70"/>
      <c r="H266" s="70"/>
      <c r="I266" s="70"/>
      <c r="J266" s="70"/>
    </row>
    <row r="267" customFormat="false" ht="14.25" hidden="false" customHeight="false" outlineLevel="0" collapsed="false">
      <c r="F267" s="70"/>
      <c r="G267" s="70"/>
      <c r="H267" s="70"/>
      <c r="I267" s="70"/>
      <c r="J267" s="70"/>
    </row>
    <row r="268" customFormat="false" ht="14.25" hidden="false" customHeight="false" outlineLevel="0" collapsed="false">
      <c r="F268" s="71"/>
      <c r="G268" s="71"/>
      <c r="H268" s="71"/>
      <c r="I268" s="71"/>
      <c r="J268" s="71"/>
    </row>
    <row r="269" customFormat="false" ht="14.25" hidden="false" customHeight="false" outlineLevel="0" collapsed="false">
      <c r="F269" s="70"/>
      <c r="G269" s="70"/>
      <c r="H269" s="70"/>
      <c r="I269" s="70"/>
      <c r="J269" s="70"/>
    </row>
    <row r="270" customFormat="false" ht="14.25" hidden="false" customHeight="false" outlineLevel="0" collapsed="false">
      <c r="F270" s="70"/>
      <c r="G270" s="70"/>
      <c r="H270" s="70"/>
      <c r="I270" s="70"/>
      <c r="J270" s="70"/>
    </row>
    <row r="271" customFormat="false" ht="14.25" hidden="false" customHeight="false" outlineLevel="0" collapsed="false">
      <c r="F271" s="71"/>
      <c r="G271" s="71"/>
      <c r="H271" s="71"/>
      <c r="I271" s="71"/>
      <c r="J271" s="7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129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22" activeCellId="0" sqref="B22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29.18"/>
    <col collapsed="false" customWidth="true" hidden="false" outlineLevel="0" max="2" min="2" style="1" width="14.82"/>
    <col collapsed="false" customWidth="true" hidden="false" outlineLevel="0" max="3" min="3" style="1" width="139.54"/>
    <col collapsed="false" customWidth="true" hidden="false" outlineLevel="0" max="7" min="7" style="1" width="20.09"/>
  </cols>
  <sheetData>
    <row r="1" customFormat="false" ht="14.25" hidden="false" customHeight="false" outlineLevel="0" collapsed="false">
      <c r="A1" s="20" t="s">
        <v>2082</v>
      </c>
      <c r="B1" s="21" t="s">
        <v>1776</v>
      </c>
      <c r="C1" s="21" t="s">
        <v>1777</v>
      </c>
      <c r="D1" s="21" t="s">
        <v>1778</v>
      </c>
      <c r="E1" s="21" t="s">
        <v>1779</v>
      </c>
      <c r="F1" s="21" t="s">
        <v>1780</v>
      </c>
      <c r="G1" s="21" t="s">
        <v>1781</v>
      </c>
      <c r="H1" s="21" t="s">
        <v>1782</v>
      </c>
      <c r="I1" s="21" t="s">
        <v>1783</v>
      </c>
      <c r="J1" s="21" t="s">
        <v>1784</v>
      </c>
      <c r="K1" s="21" t="s">
        <v>1785</v>
      </c>
      <c r="L1" s="60"/>
    </row>
    <row r="2" customFormat="false" ht="14.25" hidden="true" customHeight="false" outlineLevel="0" collapsed="false">
      <c r="A2" s="9" t="s">
        <v>1788</v>
      </c>
      <c r="B2" s="1" t="n">
        <v>1</v>
      </c>
      <c r="C2" s="1" t="str">
        <f aca="false">VLOOKUP(B2,clasif_filas!$A$1:$J$39,2,FALSE())</f>
        <v>Productos de la agricultura, la horticultura y la jardinería comercial</v>
      </c>
      <c r="D2" s="1" t="n">
        <f aca="false">VLOOKUP(B2,clasif_filas!$A$1:$J$39,3,FALSE())</f>
        <v>1</v>
      </c>
      <c r="E2" s="1" t="str">
        <f aca="false">VLOOKUP(B2,clasif_filas!$A$1:$J$39,4,FALSE())</f>
        <v>Productos de la agricultura, la horticultura y la jardinería comercial</v>
      </c>
      <c r="F2" s="1" t="n">
        <f aca="false">VLOOKUP(B2,clasif_filas!$A$1:$J$39,5,FALSE())</f>
        <v>1</v>
      </c>
      <c r="G2" s="1" t="str">
        <f aca="false">VLOOKUP(B2,clasif_filas!$A$1:$J$39,6,FALSE())</f>
        <v>Biomasa que se cultiva para producir alimentos, forrajes, fibras y energía</v>
      </c>
      <c r="H2" s="1" t="n">
        <f aca="false">VLOOKUP(B2,clasif_filas!$A$1:$J$39,7,FALSE())</f>
        <v>0</v>
      </c>
      <c r="I2" s="1" t="str">
        <f aca="false">VLOOKUP(B2,clasif_filas!$A$1:$J$39,8,FALSE())</f>
        <v>Productos de la agricultura, la silvicultura yla pesca</v>
      </c>
      <c r="J2" s="1" t="n">
        <f aca="false">VLOOKUP(B2,clasif_filas!$A$1:$J$39,9,FALSE())</f>
        <v>1</v>
      </c>
      <c r="K2" s="1" t="str">
        <f aca="false">VLOOKUP(B2,clasif_filas!$A$1:$J$39,10,FALSE())</f>
        <v>Bioeconomía</v>
      </c>
      <c r="L2" s="61"/>
    </row>
    <row r="3" customFormat="false" ht="14.25" hidden="true" customHeight="false" outlineLevel="0" collapsed="false">
      <c r="A3" s="9" t="s">
        <v>1793</v>
      </c>
      <c r="B3" s="1" t="n">
        <v>1</v>
      </c>
      <c r="C3" s="1" t="str">
        <f aca="false">VLOOKUP(B3,clasif_filas!$A$1:$J$39,2,FALSE())</f>
        <v>Productos de la agricultura, la horticultura y la jardinería comercial</v>
      </c>
      <c r="D3" s="1" t="n">
        <f aca="false">VLOOKUP(B3,clasif_filas!$A$1:$J$39,3,FALSE())</f>
        <v>1</v>
      </c>
      <c r="E3" s="1" t="str">
        <f aca="false">VLOOKUP(B3,clasif_filas!$A$1:$J$39,4,FALSE())</f>
        <v>Productos de la agricultura, la horticultura y la jardinería comercial</v>
      </c>
      <c r="F3" s="1" t="n">
        <f aca="false">VLOOKUP(B3,clasif_filas!$A$1:$J$39,5,FALSE())</f>
        <v>1</v>
      </c>
      <c r="G3" s="1" t="str">
        <f aca="false">VLOOKUP(B3,clasif_filas!$A$1:$J$39,6,FALSE())</f>
        <v>Biomasa que se cultiva para producir alimentos, forrajes, fibras y energía</v>
      </c>
      <c r="H3" s="1" t="n">
        <f aca="false">VLOOKUP(B3,clasif_filas!$A$1:$J$39,7,FALSE())</f>
        <v>0</v>
      </c>
      <c r="I3" s="1" t="str">
        <f aca="false">VLOOKUP(B3,clasif_filas!$A$1:$J$39,8,FALSE())</f>
        <v>Productos de la agricultura, la silvicultura yla pesca</v>
      </c>
      <c r="J3" s="1" t="n">
        <f aca="false">VLOOKUP(B3,clasif_filas!$A$1:$J$39,9,FALSE())</f>
        <v>1</v>
      </c>
      <c r="K3" s="1" t="str">
        <f aca="false">VLOOKUP(B3,clasif_filas!$A$1:$J$39,10,FALSE())</f>
        <v>Bioeconomía</v>
      </c>
      <c r="L3" s="61"/>
    </row>
    <row r="4" customFormat="false" ht="14.25" hidden="true" customHeight="false" outlineLevel="0" collapsed="false">
      <c r="A4" s="9" t="s">
        <v>1795</v>
      </c>
      <c r="B4" s="1" t="n">
        <v>1</v>
      </c>
      <c r="C4" s="1" t="str">
        <f aca="false">VLOOKUP(B4,clasif_filas!$A$1:$J$39,2,FALSE())</f>
        <v>Productos de la agricultura, la horticultura y la jardinería comercial</v>
      </c>
      <c r="D4" s="1" t="n">
        <f aca="false">VLOOKUP(B4,clasif_filas!$A$1:$J$39,3,FALSE())</f>
        <v>1</v>
      </c>
      <c r="E4" s="1" t="str">
        <f aca="false">VLOOKUP(B4,clasif_filas!$A$1:$J$39,4,FALSE())</f>
        <v>Productos de la agricultura, la horticultura y la jardinería comercial</v>
      </c>
      <c r="F4" s="1" t="n">
        <f aca="false">VLOOKUP(B4,clasif_filas!$A$1:$J$39,5,FALSE())</f>
        <v>1</v>
      </c>
      <c r="G4" s="1" t="str">
        <f aca="false">VLOOKUP(B4,clasif_filas!$A$1:$J$39,6,FALSE())</f>
        <v>Biomasa que se cultiva para producir alimentos, forrajes, fibras y energía</v>
      </c>
      <c r="H4" s="1" t="n">
        <f aca="false">VLOOKUP(B4,clasif_filas!$A$1:$J$39,7,FALSE())</f>
        <v>0</v>
      </c>
      <c r="I4" s="1" t="str">
        <f aca="false">VLOOKUP(B4,clasif_filas!$A$1:$J$39,8,FALSE())</f>
        <v>Productos de la agricultura, la silvicultura yla pesca</v>
      </c>
      <c r="J4" s="1" t="n">
        <f aca="false">VLOOKUP(B4,clasif_filas!$A$1:$J$39,9,FALSE())</f>
        <v>1</v>
      </c>
      <c r="K4" s="1" t="str">
        <f aca="false">VLOOKUP(B4,clasif_filas!$A$1:$J$39,10,FALSE())</f>
        <v>Bioeconomía</v>
      </c>
      <c r="L4" s="61"/>
    </row>
    <row r="5" customFormat="false" ht="14.25" hidden="true" customHeight="false" outlineLevel="0" collapsed="false">
      <c r="A5" s="9" t="s">
        <v>1798</v>
      </c>
      <c r="B5" s="1" t="n">
        <v>1</v>
      </c>
      <c r="C5" s="1" t="str">
        <f aca="false">VLOOKUP(B5,clasif_filas!$A$1:$J$39,2,FALSE())</f>
        <v>Productos de la agricultura, la horticultura y la jardinería comercial</v>
      </c>
      <c r="D5" s="1" t="n">
        <f aca="false">VLOOKUP(B5,clasif_filas!$A$1:$J$39,3,FALSE())</f>
        <v>1</v>
      </c>
      <c r="E5" s="1" t="str">
        <f aca="false">VLOOKUP(B5,clasif_filas!$A$1:$J$39,4,FALSE())</f>
        <v>Productos de la agricultura, la horticultura y la jardinería comercial</v>
      </c>
      <c r="F5" s="1" t="n">
        <f aca="false">VLOOKUP(B5,clasif_filas!$A$1:$J$39,5,FALSE())</f>
        <v>1</v>
      </c>
      <c r="G5" s="1" t="str">
        <f aca="false">VLOOKUP(B5,clasif_filas!$A$1:$J$39,6,FALSE())</f>
        <v>Biomasa que se cultiva para producir alimentos, forrajes, fibras y energía</v>
      </c>
      <c r="H5" s="1" t="n">
        <f aca="false">VLOOKUP(B5,clasif_filas!$A$1:$J$39,7,FALSE())</f>
        <v>0</v>
      </c>
      <c r="I5" s="1" t="str">
        <f aca="false">VLOOKUP(B5,clasif_filas!$A$1:$J$39,8,FALSE())</f>
        <v>Productos de la agricultura, la silvicultura yla pesca</v>
      </c>
      <c r="J5" s="1" t="n">
        <f aca="false">VLOOKUP(B5,clasif_filas!$A$1:$J$39,9,FALSE())</f>
        <v>1</v>
      </c>
      <c r="K5" s="1" t="str">
        <f aca="false">VLOOKUP(B5,clasif_filas!$A$1:$J$39,10,FALSE())</f>
        <v>Bioeconomía</v>
      </c>
      <c r="L5" s="61"/>
    </row>
    <row r="6" customFormat="false" ht="14.25" hidden="true" customHeight="false" outlineLevel="0" collapsed="false">
      <c r="A6" s="9" t="s">
        <v>1801</v>
      </c>
      <c r="B6" s="1" t="n">
        <v>1</v>
      </c>
      <c r="C6" s="1" t="str">
        <f aca="false">VLOOKUP(B6,clasif_filas!$A$1:$J$39,2,FALSE())</f>
        <v>Productos de la agricultura, la horticultura y la jardinería comercial</v>
      </c>
      <c r="D6" s="1" t="n">
        <f aca="false">VLOOKUP(B6,clasif_filas!$A$1:$J$39,3,FALSE())</f>
        <v>1</v>
      </c>
      <c r="E6" s="1" t="str">
        <f aca="false">VLOOKUP(B6,clasif_filas!$A$1:$J$39,4,FALSE())</f>
        <v>Productos de la agricultura, la horticultura y la jardinería comercial</v>
      </c>
      <c r="F6" s="1" t="n">
        <f aca="false">VLOOKUP(B6,clasif_filas!$A$1:$J$39,5,FALSE())</f>
        <v>1</v>
      </c>
      <c r="G6" s="1" t="str">
        <f aca="false">VLOOKUP(B6,clasif_filas!$A$1:$J$39,6,FALSE())</f>
        <v>Biomasa que se cultiva para producir alimentos, forrajes, fibras y energía</v>
      </c>
      <c r="H6" s="1" t="n">
        <f aca="false">VLOOKUP(B6,clasif_filas!$A$1:$J$39,7,FALSE())</f>
        <v>0</v>
      </c>
      <c r="I6" s="1" t="str">
        <f aca="false">VLOOKUP(B6,clasif_filas!$A$1:$J$39,8,FALSE())</f>
        <v>Productos de la agricultura, la silvicultura yla pesca</v>
      </c>
      <c r="J6" s="1" t="n">
        <f aca="false">VLOOKUP(B6,clasif_filas!$A$1:$J$39,9,FALSE())</f>
        <v>1</v>
      </c>
      <c r="K6" s="1" t="str">
        <f aca="false">VLOOKUP(B6,clasif_filas!$A$1:$J$39,10,FALSE())</f>
        <v>Bioeconomía</v>
      </c>
      <c r="L6" s="61"/>
    </row>
    <row r="7" customFormat="false" ht="14.25" hidden="true" customHeight="false" outlineLevel="0" collapsed="false">
      <c r="A7" s="9" t="s">
        <v>1803</v>
      </c>
      <c r="B7" s="1" t="n">
        <v>1</v>
      </c>
      <c r="C7" s="1" t="str">
        <f aca="false">VLOOKUP(B7,clasif_filas!$A$1:$J$39,2,FALSE())</f>
        <v>Productos de la agricultura, la horticultura y la jardinería comercial</v>
      </c>
      <c r="D7" s="1" t="n">
        <f aca="false">VLOOKUP(B7,clasif_filas!$A$1:$J$39,3,FALSE())</f>
        <v>1</v>
      </c>
      <c r="E7" s="1" t="str">
        <f aca="false">VLOOKUP(B7,clasif_filas!$A$1:$J$39,4,FALSE())</f>
        <v>Productos de la agricultura, la horticultura y la jardinería comercial</v>
      </c>
      <c r="F7" s="1" t="n">
        <f aca="false">VLOOKUP(B7,clasif_filas!$A$1:$J$39,5,FALSE())</f>
        <v>1</v>
      </c>
      <c r="G7" s="1" t="str">
        <f aca="false">VLOOKUP(B7,clasif_filas!$A$1:$J$39,6,FALSE())</f>
        <v>Biomasa que se cultiva para producir alimentos, forrajes, fibras y energía</v>
      </c>
      <c r="H7" s="1" t="n">
        <f aca="false">VLOOKUP(B7,clasif_filas!$A$1:$J$39,7,FALSE())</f>
        <v>0</v>
      </c>
      <c r="I7" s="1" t="str">
        <f aca="false">VLOOKUP(B7,clasif_filas!$A$1:$J$39,8,FALSE())</f>
        <v>Productos de la agricultura, la silvicultura yla pesca</v>
      </c>
      <c r="J7" s="1" t="n">
        <f aca="false">VLOOKUP(B7,clasif_filas!$A$1:$J$39,9,FALSE())</f>
        <v>1</v>
      </c>
      <c r="K7" s="1" t="str">
        <f aca="false">VLOOKUP(B7,clasif_filas!$A$1:$J$39,10,FALSE())</f>
        <v>Bioeconomía</v>
      </c>
      <c r="L7" s="61"/>
    </row>
    <row r="8" customFormat="false" ht="14.25" hidden="true" customHeight="false" outlineLevel="0" collapsed="false">
      <c r="A8" s="9" t="s">
        <v>1806</v>
      </c>
      <c r="B8" s="1" t="n">
        <v>1</v>
      </c>
      <c r="C8" s="1" t="str">
        <f aca="false">VLOOKUP(B8,clasif_filas!$A$1:$J$39,2,FALSE())</f>
        <v>Productos de la agricultura, la horticultura y la jardinería comercial</v>
      </c>
      <c r="D8" s="1" t="n">
        <f aca="false">VLOOKUP(B8,clasif_filas!$A$1:$J$39,3,FALSE())</f>
        <v>1</v>
      </c>
      <c r="E8" s="1" t="str">
        <f aca="false">VLOOKUP(B8,clasif_filas!$A$1:$J$39,4,FALSE())</f>
        <v>Productos de la agricultura, la horticultura y la jardinería comercial</v>
      </c>
      <c r="F8" s="1" t="n">
        <f aca="false">VLOOKUP(B8,clasif_filas!$A$1:$J$39,5,FALSE())</f>
        <v>1</v>
      </c>
      <c r="G8" s="1" t="str">
        <f aca="false">VLOOKUP(B8,clasif_filas!$A$1:$J$39,6,FALSE())</f>
        <v>Biomasa que se cultiva para producir alimentos, forrajes, fibras y energía</v>
      </c>
      <c r="H8" s="1" t="n">
        <f aca="false">VLOOKUP(B8,clasif_filas!$A$1:$J$39,7,FALSE())</f>
        <v>0</v>
      </c>
      <c r="I8" s="1" t="str">
        <f aca="false">VLOOKUP(B8,clasif_filas!$A$1:$J$39,8,FALSE())</f>
        <v>Productos de la agricultura, la silvicultura yla pesca</v>
      </c>
      <c r="J8" s="1" t="n">
        <f aca="false">VLOOKUP(B8,clasif_filas!$A$1:$J$39,9,FALSE())</f>
        <v>1</v>
      </c>
      <c r="K8" s="1" t="str">
        <f aca="false">VLOOKUP(B8,clasif_filas!$A$1:$J$39,10,FALSE())</f>
        <v>Bioeconomía</v>
      </c>
      <c r="L8" s="61"/>
    </row>
    <row r="9" customFormat="false" ht="14.25" hidden="true" customHeight="false" outlineLevel="0" collapsed="false">
      <c r="A9" s="9" t="s">
        <v>1809</v>
      </c>
      <c r="B9" s="1" t="n">
        <v>1</v>
      </c>
      <c r="C9" s="1" t="str">
        <f aca="false">VLOOKUP(B9,clasif_filas!$A$1:$J$39,2,FALSE())</f>
        <v>Productos de la agricultura, la horticultura y la jardinería comercial</v>
      </c>
      <c r="D9" s="1" t="n">
        <f aca="false">VLOOKUP(B9,clasif_filas!$A$1:$J$39,3,FALSE())</f>
        <v>1</v>
      </c>
      <c r="E9" s="1" t="str">
        <f aca="false">VLOOKUP(B9,clasif_filas!$A$1:$J$39,4,FALSE())</f>
        <v>Productos de la agricultura, la horticultura y la jardinería comercial</v>
      </c>
      <c r="F9" s="1" t="n">
        <f aca="false">VLOOKUP(B9,clasif_filas!$A$1:$J$39,5,FALSE())</f>
        <v>1</v>
      </c>
      <c r="G9" s="1" t="str">
        <f aca="false">VLOOKUP(B9,clasif_filas!$A$1:$J$39,6,FALSE())</f>
        <v>Biomasa que se cultiva para producir alimentos, forrajes, fibras y energía</v>
      </c>
      <c r="H9" s="1" t="n">
        <f aca="false">VLOOKUP(B9,clasif_filas!$A$1:$J$39,7,FALSE())</f>
        <v>0</v>
      </c>
      <c r="I9" s="1" t="str">
        <f aca="false">VLOOKUP(B9,clasif_filas!$A$1:$J$39,8,FALSE())</f>
        <v>Productos de la agricultura, la silvicultura yla pesca</v>
      </c>
      <c r="J9" s="1" t="n">
        <f aca="false">VLOOKUP(B9,clasif_filas!$A$1:$J$39,9,FALSE())</f>
        <v>1</v>
      </c>
      <c r="K9" s="1" t="str">
        <f aca="false">VLOOKUP(B9,clasif_filas!$A$1:$J$39,10,FALSE())</f>
        <v>Bioeconomía</v>
      </c>
      <c r="L9" s="61"/>
    </row>
    <row r="10" customFormat="false" ht="14.25" hidden="true" customHeight="false" outlineLevel="0" collapsed="false">
      <c r="A10" s="9" t="s">
        <v>1812</v>
      </c>
      <c r="B10" s="1" t="n">
        <v>1</v>
      </c>
      <c r="C10" s="1" t="str">
        <f aca="false">VLOOKUP(B10,clasif_filas!$A$1:$J$39,2,FALSE())</f>
        <v>Productos de la agricultura, la horticultura y la jardinería comercial</v>
      </c>
      <c r="D10" s="1" t="n">
        <f aca="false">VLOOKUP(B10,clasif_filas!$A$1:$J$39,3,FALSE())</f>
        <v>1</v>
      </c>
      <c r="E10" s="1" t="str">
        <f aca="false">VLOOKUP(B10,clasif_filas!$A$1:$J$39,4,FALSE())</f>
        <v>Productos de la agricultura, la horticultura y la jardinería comercial</v>
      </c>
      <c r="F10" s="1" t="n">
        <f aca="false">VLOOKUP(B10,clasif_filas!$A$1:$J$39,5,FALSE())</f>
        <v>1</v>
      </c>
      <c r="G10" s="1" t="str">
        <f aca="false">VLOOKUP(B10,clasif_filas!$A$1:$J$39,6,FALSE())</f>
        <v>Biomasa que se cultiva para producir alimentos, forrajes, fibras y energía</v>
      </c>
      <c r="H10" s="1" t="n">
        <f aca="false">VLOOKUP(B10,clasif_filas!$A$1:$J$39,7,FALSE())</f>
        <v>0</v>
      </c>
      <c r="I10" s="1" t="str">
        <f aca="false">VLOOKUP(B10,clasif_filas!$A$1:$J$39,8,FALSE())</f>
        <v>Productos de la agricultura, la silvicultura yla pesca</v>
      </c>
      <c r="J10" s="1" t="n">
        <f aca="false">VLOOKUP(B10,clasif_filas!$A$1:$J$39,9,FALSE())</f>
        <v>1</v>
      </c>
      <c r="K10" s="1" t="str">
        <f aca="false">VLOOKUP(B10,clasif_filas!$A$1:$J$39,10,FALSE())</f>
        <v>Bioeconomía</v>
      </c>
      <c r="L10" s="61"/>
    </row>
    <row r="11" customFormat="false" ht="14.25" hidden="false" customHeight="false" outlineLevel="0" collapsed="false">
      <c r="A11" s="9" t="s">
        <v>1816</v>
      </c>
      <c r="B11" s="1" t="n">
        <v>2</v>
      </c>
      <c r="C11" s="1" t="str">
        <f aca="false">VLOOKUP(B11,clasif_filas!$A$1:$J$39,2,FALSE())</f>
        <v>Animales vivos y productos animales (excepto la carne)</v>
      </c>
      <c r="D11" s="1" t="n">
        <f aca="false">VLOOKUP(B11,clasif_filas!$A$1:$J$39,3,FALSE())</f>
        <v>2</v>
      </c>
      <c r="E11" s="1" t="str">
        <f aca="false">VLOOKUP(B11,clasif_filas!$A$1:$J$39,4,FALSE())</f>
        <v>Animales vivos y productos animales (excepto la carne)</v>
      </c>
      <c r="F11" s="1" t="n">
        <f aca="false">VLOOKUP(B11,clasif_filas!$A$1:$J$39,5,FALSE())</f>
        <v>1</v>
      </c>
      <c r="G11" s="1" t="str">
        <f aca="false">VLOOKUP(B11,clasif_filas!$A$1:$J$39,6,FALSE())</f>
        <v>Biomasa que se cultiva para producir alimentos, forrajes, fibras y energía</v>
      </c>
      <c r="H11" s="1" t="n">
        <f aca="false">VLOOKUP(B11,clasif_filas!$A$1:$J$39,7,FALSE())</f>
        <v>0</v>
      </c>
      <c r="I11" s="1" t="str">
        <f aca="false">VLOOKUP(B11,clasif_filas!$A$1:$J$39,8,FALSE())</f>
        <v>Productos de la agricultura, la silvicultura yla pesca</v>
      </c>
      <c r="J11" s="1" t="n">
        <f aca="false">VLOOKUP(B11,clasif_filas!$A$1:$J$39,9,FALSE())</f>
        <v>1</v>
      </c>
      <c r="K11" s="1" t="str">
        <f aca="false">VLOOKUP(B11,clasif_filas!$A$1:$J$39,10,FALSE())</f>
        <v>Bioeconomía</v>
      </c>
      <c r="L11" s="61"/>
    </row>
    <row r="12" customFormat="false" ht="14.25" hidden="true" customHeight="false" outlineLevel="0" collapsed="false">
      <c r="A12" s="9" t="s">
        <v>1819</v>
      </c>
      <c r="B12" s="1" t="n">
        <v>2</v>
      </c>
      <c r="C12" s="1" t="str">
        <f aca="false">VLOOKUP(B12,clasif_filas!$A$1:$J$39,2,FALSE())</f>
        <v>Animales vivos y productos animales (excepto la carne)</v>
      </c>
      <c r="D12" s="1" t="n">
        <f aca="false">VLOOKUP(B12,clasif_filas!$A$1:$J$39,3,FALSE())</f>
        <v>2</v>
      </c>
      <c r="E12" s="1" t="str">
        <f aca="false">VLOOKUP(B12,clasif_filas!$A$1:$J$39,4,FALSE())</f>
        <v>Animales vivos y productos animales (excepto la carne)</v>
      </c>
      <c r="F12" s="1" t="n">
        <f aca="false">VLOOKUP(B12,clasif_filas!$A$1:$J$39,5,FALSE())</f>
        <v>1</v>
      </c>
      <c r="G12" s="1" t="str">
        <f aca="false">VLOOKUP(B12,clasif_filas!$A$1:$J$39,6,FALSE())</f>
        <v>Biomasa que se cultiva para producir alimentos, forrajes, fibras y energía</v>
      </c>
      <c r="H12" s="1" t="n">
        <f aca="false">VLOOKUP(B12,clasif_filas!$A$1:$J$39,7,FALSE())</f>
        <v>0</v>
      </c>
      <c r="I12" s="1" t="str">
        <f aca="false">VLOOKUP(B12,clasif_filas!$A$1:$J$39,8,FALSE())</f>
        <v>Productos de la agricultura, la silvicultura yla pesca</v>
      </c>
      <c r="J12" s="1" t="n">
        <f aca="false">VLOOKUP(B12,clasif_filas!$A$1:$J$39,9,FALSE())</f>
        <v>1</v>
      </c>
      <c r="K12" s="1" t="str">
        <f aca="false">VLOOKUP(B12,clasif_filas!$A$1:$J$39,10,FALSE())</f>
        <v>Bioeconomía</v>
      </c>
      <c r="L12" s="61"/>
    </row>
    <row r="13" customFormat="false" ht="14.25" hidden="true" customHeight="false" outlineLevel="0" collapsed="false">
      <c r="A13" s="9" t="s">
        <v>1822</v>
      </c>
      <c r="B13" s="1" t="n">
        <v>2</v>
      </c>
      <c r="C13" s="1" t="str">
        <f aca="false">VLOOKUP(B13,clasif_filas!$A$1:$J$39,2,FALSE())</f>
        <v>Animales vivos y productos animales (excepto la carne)</v>
      </c>
      <c r="D13" s="1" t="n">
        <f aca="false">VLOOKUP(B13,clasif_filas!$A$1:$J$39,3,FALSE())</f>
        <v>2</v>
      </c>
      <c r="E13" s="1" t="str">
        <f aca="false">VLOOKUP(B13,clasif_filas!$A$1:$J$39,4,FALSE())</f>
        <v>Animales vivos y productos animales (excepto la carne)</v>
      </c>
      <c r="F13" s="1" t="n">
        <f aca="false">VLOOKUP(B13,clasif_filas!$A$1:$J$39,5,FALSE())</f>
        <v>1</v>
      </c>
      <c r="G13" s="1" t="str">
        <f aca="false">VLOOKUP(B13,clasif_filas!$A$1:$J$39,6,FALSE())</f>
        <v>Biomasa que se cultiva para producir alimentos, forrajes, fibras y energía</v>
      </c>
      <c r="H13" s="1" t="n">
        <f aca="false">VLOOKUP(B13,clasif_filas!$A$1:$J$39,7,FALSE())</f>
        <v>0</v>
      </c>
      <c r="I13" s="1" t="str">
        <f aca="false">VLOOKUP(B13,clasif_filas!$A$1:$J$39,8,FALSE())</f>
        <v>Productos de la agricultura, la silvicultura yla pesca</v>
      </c>
      <c r="J13" s="1" t="n">
        <f aca="false">VLOOKUP(B13,clasif_filas!$A$1:$J$39,9,FALSE())</f>
        <v>1</v>
      </c>
      <c r="K13" s="1" t="str">
        <f aca="false">VLOOKUP(B13,clasif_filas!$A$1:$J$39,10,FALSE())</f>
        <v>Bioeconomía</v>
      </c>
      <c r="L13" s="61"/>
    </row>
    <row r="14" customFormat="false" ht="14.25" hidden="true" customHeight="false" outlineLevel="0" collapsed="false">
      <c r="A14" s="9" t="s">
        <v>1824</v>
      </c>
      <c r="B14" s="1" t="n">
        <v>2</v>
      </c>
      <c r="C14" s="1" t="str">
        <f aca="false">VLOOKUP(B14,clasif_filas!$A$1:$J$39,2,FALSE())</f>
        <v>Animales vivos y productos animales (excepto la carne)</v>
      </c>
      <c r="D14" s="1" t="n">
        <f aca="false">VLOOKUP(B14,clasif_filas!$A$1:$J$39,3,FALSE())</f>
        <v>2</v>
      </c>
      <c r="E14" s="1" t="str">
        <f aca="false">VLOOKUP(B14,clasif_filas!$A$1:$J$39,4,FALSE())</f>
        <v>Animales vivos y productos animales (excepto la carne)</v>
      </c>
      <c r="F14" s="1" t="n">
        <f aca="false">VLOOKUP(B14,clasif_filas!$A$1:$J$39,5,FALSE())</f>
        <v>1</v>
      </c>
      <c r="G14" s="1" t="str">
        <f aca="false">VLOOKUP(B14,clasif_filas!$A$1:$J$39,6,FALSE())</f>
        <v>Biomasa que se cultiva para producir alimentos, forrajes, fibras y energía</v>
      </c>
      <c r="H14" s="1" t="n">
        <f aca="false">VLOOKUP(B14,clasif_filas!$A$1:$J$39,7,FALSE())</f>
        <v>0</v>
      </c>
      <c r="I14" s="1" t="str">
        <f aca="false">VLOOKUP(B14,clasif_filas!$A$1:$J$39,8,FALSE())</f>
        <v>Productos de la agricultura, la silvicultura yla pesca</v>
      </c>
      <c r="J14" s="1" t="n">
        <f aca="false">VLOOKUP(B14,clasif_filas!$A$1:$J$39,9,FALSE())</f>
        <v>1</v>
      </c>
      <c r="K14" s="1" t="str">
        <f aca="false">VLOOKUP(B14,clasif_filas!$A$1:$J$39,10,FALSE())</f>
        <v>Bioeconomía</v>
      </c>
      <c r="L14" s="61"/>
    </row>
    <row r="15" customFormat="false" ht="14.25" hidden="true" customHeight="false" outlineLevel="0" collapsed="false">
      <c r="A15" s="9" t="s">
        <v>1826</v>
      </c>
      <c r="B15" s="1" t="n">
        <v>3</v>
      </c>
      <c r="C15" s="1" t="str">
        <f aca="false">VLOOKUP(B15,clasif_filas!$A$1:$J$39,2,FALSE())</f>
        <v>Productos forestales y de la tala</v>
      </c>
      <c r="D15" s="1" t="n">
        <f aca="false">VLOOKUP(B15,clasif_filas!$A$1:$J$39,3,FALSE())</f>
        <v>3</v>
      </c>
      <c r="E15" s="1" t="str">
        <f aca="false">VLOOKUP(B15,clasif_filas!$A$1:$J$39,4,FALSE())</f>
        <v>Productos forestales y de la tala</v>
      </c>
      <c r="F15" s="1" t="n">
        <f aca="false">VLOOKUP(B15,clasif_filas!$A$1:$J$39,5,FALSE())</f>
        <v>3</v>
      </c>
      <c r="G15" s="1" t="str">
        <f aca="false">VLOOKUP(B15,clasif_filas!$A$1:$J$39,6,FALSE())</f>
        <v>Biomasa forestal, sobre todo la que se cultiva para su aprovechamiento en las industrias forestal y del papel, y aquella extraída legalmente de ecosistemas naturales</v>
      </c>
      <c r="H15" s="1" t="n">
        <f aca="false">VLOOKUP(B15,clasif_filas!$A$1:$J$39,7,FALSE())</f>
        <v>0</v>
      </c>
      <c r="I15" s="1" t="str">
        <f aca="false">VLOOKUP(B15,clasif_filas!$A$1:$J$39,8,FALSE())</f>
        <v>Productos de la agricultura, la silvicultura yla pesca</v>
      </c>
      <c r="J15" s="1" t="n">
        <f aca="false">VLOOKUP(B15,clasif_filas!$A$1:$J$39,9,FALSE())</f>
        <v>1</v>
      </c>
      <c r="K15" s="1" t="str">
        <f aca="false">VLOOKUP(B15,clasif_filas!$A$1:$J$39,10,FALSE())</f>
        <v>Bioeconomía</v>
      </c>
      <c r="L15" s="61"/>
    </row>
    <row r="16" customFormat="false" ht="14.25" hidden="true" customHeight="false" outlineLevel="0" collapsed="false">
      <c r="A16" s="9" t="s">
        <v>1829</v>
      </c>
      <c r="B16" s="1" t="n">
        <v>4</v>
      </c>
      <c r="C16" s="1" t="str">
        <f aca="false">VLOOKUP(B16,clasif_filas!$A$1:$J$39,2,FALSE())</f>
        <v>Pescado y otros productos de la pesca</v>
      </c>
      <c r="D16" s="1" t="n">
        <f aca="false">VLOOKUP(B16,clasif_filas!$A$1:$J$39,3,FALSE())</f>
        <v>4</v>
      </c>
      <c r="E16" s="1" t="str">
        <f aca="false">VLOOKUP(B16,clasif_filas!$A$1:$J$39,4,FALSE())</f>
        <v>Pescado y otros productos de la pesca</v>
      </c>
      <c r="F16" s="1" t="n">
        <f aca="false">VLOOKUP(B16,clasif_filas!$A$1:$J$39,5,FALSE())</f>
        <v>2</v>
      </c>
      <c r="G16" s="1" t="str">
        <f aca="false">VLOOKUP(B16,clasif_filas!$A$1:$J$39,6,FALSE())</f>
        <v>Biomasa de los recursos marinos y la producida mediante la acuicultura</v>
      </c>
      <c r="H16" s="1" t="n">
        <f aca="false">VLOOKUP(B16,clasif_filas!$A$1:$J$39,7,FALSE())</f>
        <v>0</v>
      </c>
      <c r="I16" s="1" t="str">
        <f aca="false">VLOOKUP(B16,clasif_filas!$A$1:$J$39,8,FALSE())</f>
        <v>Productos de la agricultura, la silvicultura yla pesca</v>
      </c>
      <c r="J16" s="1" t="n">
        <f aca="false">VLOOKUP(B16,clasif_filas!$A$1:$J$39,9,FALSE())</f>
        <v>1</v>
      </c>
      <c r="K16" s="1" t="str">
        <f aca="false">VLOOKUP(B16,clasif_filas!$A$1:$J$39,10,FALSE())</f>
        <v>Bioeconomía</v>
      </c>
      <c r="L16" s="61"/>
    </row>
    <row r="17" customFormat="false" ht="14.25" hidden="true" customHeight="false" outlineLevel="0" collapsed="false">
      <c r="A17" s="9" t="s">
        <v>1832</v>
      </c>
      <c r="B17" s="1" t="n">
        <v>11</v>
      </c>
      <c r="C17" s="1" t="str">
        <f aca="false">VLOOKUP(B17,clasif_filas!$A$1:$J$39,2,FALSE())</f>
        <v>Minerales, combustibles y derivados</v>
      </c>
      <c r="D17" s="1" t="n">
        <f aca="false">VLOOKUP(B17,clasif_filas!$A$1:$J$39,3,FALSE())</f>
        <v>11</v>
      </c>
      <c r="E17" s="1" t="str">
        <f aca="false">VLOOKUP(B17,clasif_filas!$A$1:$J$39,4,FALSE())</f>
        <v>Minerales, combustibles y derivados</v>
      </c>
      <c r="F17" s="1" t="n">
        <f aca="false">VLOOKUP(B17,clasif_filas!$A$1:$J$39,5,FALSE())</f>
        <v>99</v>
      </c>
      <c r="G17" s="1" t="str">
        <f aca="false">VLOOKUP(B17,clasif_filas!$A$1:$J$39,6,FALSE())</f>
        <v>No Bioeconomía</v>
      </c>
      <c r="H17" s="1" t="n">
        <f aca="false">VLOOKUP(B17,clasif_filas!$A$1:$J$39,7,FALSE())</f>
        <v>1</v>
      </c>
      <c r="I17" s="1" t="str">
        <f aca="false">VLOOKUP(B17,clasif_filas!$A$1:$J$39,8,FALSE())</f>
        <v>Minerales; electricidad, gas y agua</v>
      </c>
      <c r="J17" s="1" t="n">
        <f aca="false">VLOOKUP(B17,clasif_filas!$A$1:$J$39,9,FALSE())</f>
        <v>3</v>
      </c>
      <c r="K17" s="1" t="str">
        <f aca="false">VLOOKUP(B17,clasif_filas!$A$1:$J$39,10,FALSE())</f>
        <v>No bioeconomía</v>
      </c>
      <c r="L17" s="61"/>
    </row>
    <row r="18" customFormat="false" ht="14.25" hidden="true" customHeight="false" outlineLevel="0" collapsed="false">
      <c r="A18" s="9" t="s">
        <v>1834</v>
      </c>
      <c r="B18" s="1" t="n">
        <v>11</v>
      </c>
      <c r="C18" s="1" t="str">
        <f aca="false">VLOOKUP(B18,clasif_filas!$A$1:$J$39,2,FALSE())</f>
        <v>Minerales, combustibles y derivados</v>
      </c>
      <c r="D18" s="1" t="n">
        <f aca="false">VLOOKUP(B18,clasif_filas!$A$1:$J$39,3,FALSE())</f>
        <v>11</v>
      </c>
      <c r="E18" s="1" t="str">
        <f aca="false">VLOOKUP(B18,clasif_filas!$A$1:$J$39,4,FALSE())</f>
        <v>Minerales, combustibles y derivados</v>
      </c>
      <c r="F18" s="1" t="n">
        <f aca="false">VLOOKUP(B18,clasif_filas!$A$1:$J$39,5,FALSE())</f>
        <v>99</v>
      </c>
      <c r="G18" s="1" t="str">
        <f aca="false">VLOOKUP(B18,clasif_filas!$A$1:$J$39,6,FALSE())</f>
        <v>No Bioeconomía</v>
      </c>
      <c r="H18" s="1" t="n">
        <f aca="false">VLOOKUP(B18,clasif_filas!$A$1:$J$39,7,FALSE())</f>
        <v>1</v>
      </c>
      <c r="I18" s="1" t="str">
        <f aca="false">VLOOKUP(B18,clasif_filas!$A$1:$J$39,8,FALSE())</f>
        <v>Minerales; electricidad, gas y agua</v>
      </c>
      <c r="J18" s="1" t="n">
        <f aca="false">VLOOKUP(B18,clasif_filas!$A$1:$J$39,9,FALSE())</f>
        <v>3</v>
      </c>
      <c r="K18" s="1" t="str">
        <f aca="false">VLOOKUP(B18,clasif_filas!$A$1:$J$39,10,FALSE())</f>
        <v>No bioeconomía</v>
      </c>
      <c r="L18" s="61"/>
    </row>
    <row r="19" customFormat="false" ht="14.25" hidden="true" customHeight="false" outlineLevel="0" collapsed="false">
      <c r="A19" s="9" t="s">
        <v>1836</v>
      </c>
      <c r="B19" s="1" t="n">
        <v>11</v>
      </c>
      <c r="C19" s="1" t="str">
        <f aca="false">VLOOKUP(B19,clasif_filas!$A$1:$J$39,2,FALSE())</f>
        <v>Minerales, combustibles y derivados</v>
      </c>
      <c r="D19" s="1" t="n">
        <f aca="false">VLOOKUP(B19,clasif_filas!$A$1:$J$39,3,FALSE())</f>
        <v>11</v>
      </c>
      <c r="E19" s="1" t="str">
        <f aca="false">VLOOKUP(B19,clasif_filas!$A$1:$J$39,4,FALSE())</f>
        <v>Minerales, combustibles y derivados</v>
      </c>
      <c r="F19" s="1" t="n">
        <f aca="false">VLOOKUP(B19,clasif_filas!$A$1:$J$39,5,FALSE())</f>
        <v>99</v>
      </c>
      <c r="G19" s="1" t="str">
        <f aca="false">VLOOKUP(B19,clasif_filas!$A$1:$J$39,6,FALSE())</f>
        <v>No Bioeconomía</v>
      </c>
      <c r="H19" s="1" t="n">
        <f aca="false">VLOOKUP(B19,clasif_filas!$A$1:$J$39,7,FALSE())</f>
        <v>1</v>
      </c>
      <c r="I19" s="1" t="str">
        <f aca="false">VLOOKUP(B19,clasif_filas!$A$1:$J$39,8,FALSE())</f>
        <v>Minerales; electricidad, gas y agua</v>
      </c>
      <c r="J19" s="1" t="n">
        <f aca="false">VLOOKUP(B19,clasif_filas!$A$1:$J$39,9,FALSE())</f>
        <v>3</v>
      </c>
      <c r="K19" s="1" t="str">
        <f aca="false">VLOOKUP(B19,clasif_filas!$A$1:$J$39,10,FALSE())</f>
        <v>No bioeconomía</v>
      </c>
      <c r="L19" s="61"/>
    </row>
    <row r="20" customFormat="false" ht="14.25" hidden="true" customHeight="false" outlineLevel="0" collapsed="false">
      <c r="A20" s="9" t="s">
        <v>1838</v>
      </c>
      <c r="B20" s="1" t="n">
        <v>11</v>
      </c>
      <c r="C20" s="1" t="str">
        <f aca="false">VLOOKUP(B20,clasif_filas!$A$1:$J$39,2,FALSE())</f>
        <v>Minerales, combustibles y derivados</v>
      </c>
      <c r="D20" s="1" t="n">
        <f aca="false">VLOOKUP(B20,clasif_filas!$A$1:$J$39,3,FALSE())</f>
        <v>11</v>
      </c>
      <c r="E20" s="1" t="str">
        <f aca="false">VLOOKUP(B20,clasif_filas!$A$1:$J$39,4,FALSE())</f>
        <v>Minerales, combustibles y derivados</v>
      </c>
      <c r="F20" s="1" t="n">
        <f aca="false">VLOOKUP(B20,clasif_filas!$A$1:$J$39,5,FALSE())</f>
        <v>99</v>
      </c>
      <c r="G20" s="1" t="str">
        <f aca="false">VLOOKUP(B20,clasif_filas!$A$1:$J$39,6,FALSE())</f>
        <v>No Bioeconomía</v>
      </c>
      <c r="H20" s="1" t="n">
        <f aca="false">VLOOKUP(B20,clasif_filas!$A$1:$J$39,7,FALSE())</f>
        <v>1</v>
      </c>
      <c r="I20" s="1" t="str">
        <f aca="false">VLOOKUP(B20,clasif_filas!$A$1:$J$39,8,FALSE())</f>
        <v>Minerales; electricidad, gas y agua</v>
      </c>
      <c r="J20" s="1" t="n">
        <f aca="false">VLOOKUP(B20,clasif_filas!$A$1:$J$39,9,FALSE())</f>
        <v>3</v>
      </c>
      <c r="K20" s="1" t="str">
        <f aca="false">VLOOKUP(B20,clasif_filas!$A$1:$J$39,10,FALSE())</f>
        <v>No bioeconomía</v>
      </c>
      <c r="L20" s="61"/>
    </row>
    <row r="21" customFormat="false" ht="14.25" hidden="true" customHeight="false" outlineLevel="0" collapsed="false">
      <c r="A21" s="9" t="s">
        <v>1840</v>
      </c>
      <c r="B21" s="1" t="n">
        <v>11</v>
      </c>
      <c r="C21" s="1" t="str">
        <f aca="false">VLOOKUP(B21,clasif_filas!$A$1:$J$39,2,FALSE())</f>
        <v>Minerales, combustibles y derivados</v>
      </c>
      <c r="D21" s="1" t="n">
        <f aca="false">VLOOKUP(B21,clasif_filas!$A$1:$J$39,3,FALSE())</f>
        <v>11</v>
      </c>
      <c r="E21" s="1" t="str">
        <f aca="false">VLOOKUP(B21,clasif_filas!$A$1:$J$39,4,FALSE())</f>
        <v>Minerales, combustibles y derivados</v>
      </c>
      <c r="F21" s="1" t="n">
        <f aca="false">VLOOKUP(B21,clasif_filas!$A$1:$J$39,5,FALSE())</f>
        <v>99</v>
      </c>
      <c r="G21" s="1" t="str">
        <f aca="false">VLOOKUP(B21,clasif_filas!$A$1:$J$39,6,FALSE())</f>
        <v>No Bioeconomía</v>
      </c>
      <c r="H21" s="1" t="n">
        <f aca="false">VLOOKUP(B21,clasif_filas!$A$1:$J$39,7,FALSE())</f>
        <v>1</v>
      </c>
      <c r="I21" s="1" t="str">
        <f aca="false">VLOOKUP(B21,clasif_filas!$A$1:$J$39,8,FALSE())</f>
        <v>Minerales; electricidad, gas y agua</v>
      </c>
      <c r="J21" s="1" t="n">
        <f aca="false">VLOOKUP(B21,clasif_filas!$A$1:$J$39,9,FALSE())</f>
        <v>3</v>
      </c>
      <c r="K21" s="1" t="str">
        <f aca="false">VLOOKUP(B21,clasif_filas!$A$1:$J$39,10,FALSE())</f>
        <v>No bioeconomía</v>
      </c>
      <c r="L21" s="61"/>
    </row>
    <row r="22" customFormat="false" ht="14.25" hidden="false" customHeight="false" outlineLevel="0" collapsed="false">
      <c r="A22" s="9" t="s">
        <v>1842</v>
      </c>
      <c r="B22" s="1" t="n">
        <v>21</v>
      </c>
      <c r="C22" s="1" t="str">
        <f aca="false">VLOOKUP(B22,clasif_filas!$A$1:$J$39,2,FALSE())</f>
        <v>Carne, pescado, frutas, vegetales, aceites y grasas</v>
      </c>
      <c r="D22" s="1" t="n">
        <f aca="false">VLOOKUP(B22,clasif_filas!$A$1:$J$39,3,FALSE())</f>
        <v>21</v>
      </c>
      <c r="E22" s="1" t="str">
        <f aca="false">VLOOKUP(B22,clasif_filas!$A$1:$J$39,4,FALSE())</f>
        <v>Carne, pescado, frutas, vegetales, aceites y grasas</v>
      </c>
      <c r="F22" s="1" t="n">
        <f aca="false">VLOOKUP(B22,clasif_filas!$A$1:$J$39,5,FALSE())</f>
        <v>6</v>
      </c>
      <c r="G22" s="1" t="str">
        <f aca="false">VLOOKUP(B22,clasif_filas!$A$1:$J$39,6,FALSE())</f>
        <v>Conocimiento, procesos y servicios relacionados</v>
      </c>
      <c r="H22" s="1" t="n">
        <f aca="false">VLOOKUP(B22,clasif_filas!$A$1:$J$39,7,FALSE())</f>
        <v>2</v>
      </c>
      <c r="I22" s="1" t="str">
        <f aca="false">VLOOKUP(B22,clasif_filas!$A$1:$J$39,8,FALSE())</f>
        <v>Productos alimenticios, bebidas y tabaco; textiles, prendas de vestir y productos de cuero</v>
      </c>
      <c r="J22" s="1" t="n">
        <f aca="false">VLOOKUP(B22,clasif_filas!$A$1:$J$39,9,FALSE())</f>
        <v>1</v>
      </c>
      <c r="K22" s="1" t="str">
        <f aca="false">VLOOKUP(B22,clasif_filas!$A$1:$J$39,10,FALSE())</f>
        <v>Bioeconomía</v>
      </c>
      <c r="L22" s="61"/>
    </row>
    <row r="23" customFormat="false" ht="14.25" hidden="true" customHeight="false" outlineLevel="0" collapsed="false">
      <c r="A23" s="9" t="s">
        <v>1846</v>
      </c>
      <c r="B23" s="1" t="n">
        <v>21</v>
      </c>
      <c r="C23" s="1" t="str">
        <f aca="false">VLOOKUP(B23,clasif_filas!$A$1:$J$39,2,FALSE())</f>
        <v>Carne, pescado, frutas, vegetales, aceites y grasas</v>
      </c>
      <c r="D23" s="1" t="n">
        <f aca="false">VLOOKUP(B23,clasif_filas!$A$1:$J$39,3,FALSE())</f>
        <v>21</v>
      </c>
      <c r="E23" s="1" t="str">
        <f aca="false">VLOOKUP(B23,clasif_filas!$A$1:$J$39,4,FALSE())</f>
        <v>Carne, pescado, frutas, vegetales, aceites y grasas</v>
      </c>
      <c r="F23" s="1" t="n">
        <f aca="false">VLOOKUP(B23,clasif_filas!$A$1:$J$39,5,FALSE())</f>
        <v>6</v>
      </c>
      <c r="G23" s="1" t="str">
        <f aca="false">VLOOKUP(B23,clasif_filas!$A$1:$J$39,6,FALSE())</f>
        <v>Conocimiento, procesos y servicios relacionados</v>
      </c>
      <c r="H23" s="1" t="n">
        <f aca="false">VLOOKUP(B23,clasif_filas!$A$1:$J$39,7,FALSE())</f>
        <v>2</v>
      </c>
      <c r="I23" s="1" t="str">
        <f aca="false">VLOOKUP(B23,clasif_filas!$A$1:$J$39,8,FALSE())</f>
        <v>Productos alimenticios, bebidas y tabaco; textiles, prendas de vestir y productos de cuero</v>
      </c>
      <c r="J23" s="1" t="n">
        <f aca="false">VLOOKUP(B23,clasif_filas!$A$1:$J$39,9,FALSE())</f>
        <v>1</v>
      </c>
      <c r="K23" s="1" t="str">
        <f aca="false">VLOOKUP(B23,clasif_filas!$A$1:$J$39,10,FALSE())</f>
        <v>Bioeconomía</v>
      </c>
      <c r="L23" s="61"/>
    </row>
    <row r="24" customFormat="false" ht="14.25" hidden="true" customHeight="false" outlineLevel="0" collapsed="false">
      <c r="A24" s="9" t="s">
        <v>1848</v>
      </c>
      <c r="B24" s="1" t="n">
        <v>21</v>
      </c>
      <c r="C24" s="1" t="str">
        <f aca="false">VLOOKUP(B24,clasif_filas!$A$1:$J$39,2,FALSE())</f>
        <v>Carne, pescado, frutas, vegetales, aceites y grasas</v>
      </c>
      <c r="D24" s="1" t="n">
        <f aca="false">VLOOKUP(B24,clasif_filas!$A$1:$J$39,3,FALSE())</f>
        <v>21</v>
      </c>
      <c r="E24" s="1" t="str">
        <f aca="false">VLOOKUP(B24,clasif_filas!$A$1:$J$39,4,FALSE())</f>
        <v>Carne, pescado, frutas, vegetales, aceites y grasas</v>
      </c>
      <c r="F24" s="1" t="n">
        <f aca="false">VLOOKUP(B24,clasif_filas!$A$1:$J$39,5,FALSE())</f>
        <v>6</v>
      </c>
      <c r="G24" s="1" t="str">
        <f aca="false">VLOOKUP(B24,clasif_filas!$A$1:$J$39,6,FALSE())</f>
        <v>Conocimiento, procesos y servicios relacionados</v>
      </c>
      <c r="H24" s="1" t="n">
        <f aca="false">VLOOKUP(B24,clasif_filas!$A$1:$J$39,7,FALSE())</f>
        <v>2</v>
      </c>
      <c r="I24" s="1" t="str">
        <f aca="false">VLOOKUP(B24,clasif_filas!$A$1:$J$39,8,FALSE())</f>
        <v>Productos alimenticios, bebidas y tabaco; textiles, prendas de vestir y productos de cuero</v>
      </c>
      <c r="J24" s="1" t="n">
        <f aca="false">VLOOKUP(B24,clasif_filas!$A$1:$J$39,9,FALSE())</f>
        <v>1</v>
      </c>
      <c r="K24" s="1" t="str">
        <f aca="false">VLOOKUP(B24,clasif_filas!$A$1:$J$39,10,FALSE())</f>
        <v>Bioeconomía</v>
      </c>
      <c r="L24" s="61"/>
    </row>
    <row r="25" customFormat="false" ht="14.25" hidden="true" customHeight="false" outlineLevel="0" collapsed="false">
      <c r="A25" s="9" t="s">
        <v>1850</v>
      </c>
      <c r="B25" s="1" t="n">
        <v>21</v>
      </c>
      <c r="C25" s="1" t="str">
        <f aca="false">VLOOKUP(B25,clasif_filas!$A$1:$J$39,2,FALSE())</f>
        <v>Carne, pescado, frutas, vegetales, aceites y grasas</v>
      </c>
      <c r="D25" s="1" t="n">
        <f aca="false">VLOOKUP(B25,clasif_filas!$A$1:$J$39,3,FALSE())</f>
        <v>21</v>
      </c>
      <c r="E25" s="1" t="str">
        <f aca="false">VLOOKUP(B25,clasif_filas!$A$1:$J$39,4,FALSE())</f>
        <v>Carne, pescado, frutas, vegetales, aceites y grasas</v>
      </c>
      <c r="F25" s="1" t="n">
        <f aca="false">VLOOKUP(B25,clasif_filas!$A$1:$J$39,5,FALSE())</f>
        <v>6</v>
      </c>
      <c r="G25" s="1" t="str">
        <f aca="false">VLOOKUP(B25,clasif_filas!$A$1:$J$39,6,FALSE())</f>
        <v>Conocimiento, procesos y servicios relacionados</v>
      </c>
      <c r="H25" s="1" t="n">
        <f aca="false">VLOOKUP(B25,clasif_filas!$A$1:$J$39,7,FALSE())</f>
        <v>2</v>
      </c>
      <c r="I25" s="1" t="str">
        <f aca="false">VLOOKUP(B25,clasif_filas!$A$1:$J$39,8,FALSE())</f>
        <v>Productos alimenticios, bebidas y tabaco; textiles, prendas de vestir y productos de cuero</v>
      </c>
      <c r="J25" s="1" t="n">
        <f aca="false">VLOOKUP(B25,clasif_filas!$A$1:$J$39,9,FALSE())</f>
        <v>1</v>
      </c>
      <c r="K25" s="1" t="str">
        <f aca="false">VLOOKUP(B25,clasif_filas!$A$1:$J$39,10,FALSE())</f>
        <v>Bioeconomía</v>
      </c>
      <c r="L25" s="61"/>
    </row>
    <row r="26" customFormat="false" ht="14.25" hidden="true" customHeight="false" outlineLevel="0" collapsed="false">
      <c r="A26" s="9" t="s">
        <v>1852</v>
      </c>
      <c r="B26" s="1" t="n">
        <v>22</v>
      </c>
      <c r="C26" s="1" t="str">
        <f aca="false">VLOOKUP(B26,clasif_filas!$A$1:$J$39,2,FALSE())</f>
        <v>Productos lácteos y productos de huevo</v>
      </c>
      <c r="D26" s="1" t="n">
        <f aca="false">VLOOKUP(B26,clasif_filas!$A$1:$J$39,3,FALSE())</f>
        <v>22</v>
      </c>
      <c r="E26" s="1" t="str">
        <f aca="false">VLOOKUP(B26,clasif_filas!$A$1:$J$39,4,FALSE())</f>
        <v>Productos lácteos y productos de huevo</v>
      </c>
      <c r="F26" s="1" t="n">
        <f aca="false">VLOOKUP(B26,clasif_filas!$A$1:$J$39,5,FALSE())</f>
        <v>6</v>
      </c>
      <c r="G26" s="1" t="str">
        <f aca="false">VLOOKUP(B26,clasif_filas!$A$1:$J$39,6,FALSE())</f>
        <v>Conocimiento, procesos y servicios relacionados</v>
      </c>
      <c r="H26" s="1" t="n">
        <f aca="false">VLOOKUP(B26,clasif_filas!$A$1:$J$39,7,FALSE())</f>
        <v>2</v>
      </c>
      <c r="I26" s="1" t="str">
        <f aca="false">VLOOKUP(B26,clasif_filas!$A$1:$J$39,8,FALSE())</f>
        <v>Productos alimenticios, bebidas y tabaco; textiles, prendas de vestir y productos de cuero</v>
      </c>
      <c r="J26" s="1" t="n">
        <f aca="false">VLOOKUP(B26,clasif_filas!$A$1:$J$39,9,FALSE())</f>
        <v>1</v>
      </c>
      <c r="K26" s="1" t="str">
        <f aca="false">VLOOKUP(B26,clasif_filas!$A$1:$J$39,10,FALSE())</f>
        <v>Bioeconomía</v>
      </c>
      <c r="L26" s="61"/>
    </row>
    <row r="27" customFormat="false" ht="14.25" hidden="true" customHeight="false" outlineLevel="0" collapsed="false">
      <c r="A27" s="9" t="s">
        <v>1855</v>
      </c>
      <c r="B27" s="1" t="n">
        <v>22</v>
      </c>
      <c r="C27" s="1" t="str">
        <f aca="false">VLOOKUP(B27,clasif_filas!$A$1:$J$39,2,FALSE())</f>
        <v>Productos lácteos y productos de huevo</v>
      </c>
      <c r="D27" s="1" t="n">
        <f aca="false">VLOOKUP(B27,clasif_filas!$A$1:$J$39,3,FALSE())</f>
        <v>22</v>
      </c>
      <c r="E27" s="1" t="str">
        <f aca="false">VLOOKUP(B27,clasif_filas!$A$1:$J$39,4,FALSE())</f>
        <v>Productos lácteos y productos de huevo</v>
      </c>
      <c r="F27" s="1" t="n">
        <f aca="false">VLOOKUP(B27,clasif_filas!$A$1:$J$39,5,FALSE())</f>
        <v>6</v>
      </c>
      <c r="G27" s="1" t="str">
        <f aca="false">VLOOKUP(B27,clasif_filas!$A$1:$J$39,6,FALSE())</f>
        <v>Conocimiento, procesos y servicios relacionados</v>
      </c>
      <c r="H27" s="1" t="n">
        <f aca="false">VLOOKUP(B27,clasif_filas!$A$1:$J$39,7,FALSE())</f>
        <v>2</v>
      </c>
      <c r="I27" s="1" t="str">
        <f aca="false">VLOOKUP(B27,clasif_filas!$A$1:$J$39,8,FALSE())</f>
        <v>Productos alimenticios, bebidas y tabaco; textiles, prendas de vestir y productos de cuero</v>
      </c>
      <c r="J27" s="1" t="n">
        <f aca="false">VLOOKUP(B27,clasif_filas!$A$1:$J$39,9,FALSE())</f>
        <v>1</v>
      </c>
      <c r="K27" s="1" t="str">
        <f aca="false">VLOOKUP(B27,clasif_filas!$A$1:$J$39,10,FALSE())</f>
        <v>Bioeconomía</v>
      </c>
      <c r="L27" s="61"/>
    </row>
    <row r="28" customFormat="false" ht="14.25" hidden="true" customHeight="false" outlineLevel="0" collapsed="false">
      <c r="A28" s="9" t="s">
        <v>1857</v>
      </c>
      <c r="B28" s="1" t="n">
        <v>23</v>
      </c>
      <c r="C28" s="1" t="str">
        <f aca="false">VLOOKUP(B28,clasif_filas!$A$1:$J$39,2,FALSE())</f>
        <v>Productos de molienda, productos con almidón o maicena; otros productos de alimenticios</v>
      </c>
      <c r="D28" s="1" t="n">
        <f aca="false">VLOOKUP(B28,clasif_filas!$A$1:$J$39,3,FALSE())</f>
        <v>23</v>
      </c>
      <c r="E28" s="1" t="str">
        <f aca="false">VLOOKUP(B28,clasif_filas!$A$1:$J$39,4,FALSE())</f>
        <v>Productos de molienda, productos con almidón o maicena; otros productos de alimenticios</v>
      </c>
      <c r="F28" s="1" t="n">
        <f aca="false">VLOOKUP(B28,clasif_filas!$A$1:$J$39,5,FALSE())</f>
        <v>6</v>
      </c>
      <c r="G28" s="1" t="str">
        <f aca="false">VLOOKUP(B28,clasif_filas!$A$1:$J$39,6,FALSE())</f>
        <v>Conocimiento, procesos y servicios relacionados</v>
      </c>
      <c r="H28" s="1" t="n">
        <f aca="false">VLOOKUP(B28,clasif_filas!$A$1:$J$39,7,FALSE())</f>
        <v>2</v>
      </c>
      <c r="I28" s="1" t="str">
        <f aca="false">VLOOKUP(B28,clasif_filas!$A$1:$J$39,8,FALSE())</f>
        <v>Productos alimenticios, bebidas y tabaco; textiles, prendas de vestir y productos de cuero</v>
      </c>
      <c r="J28" s="1" t="n">
        <f aca="false">VLOOKUP(B28,clasif_filas!$A$1:$J$39,9,FALSE())</f>
        <v>1</v>
      </c>
      <c r="K28" s="1" t="str">
        <f aca="false">VLOOKUP(B28,clasif_filas!$A$1:$J$39,10,FALSE())</f>
        <v>Bioeconomía</v>
      </c>
      <c r="L28" s="61"/>
    </row>
    <row r="29" customFormat="false" ht="14.25" hidden="true" customHeight="false" outlineLevel="0" collapsed="false">
      <c r="A29" s="9" t="s">
        <v>1860</v>
      </c>
      <c r="B29" s="1" t="n">
        <v>23</v>
      </c>
      <c r="C29" s="1" t="str">
        <f aca="false">VLOOKUP(B29,clasif_filas!$A$1:$J$39,2,FALSE())</f>
        <v>Productos de molienda, productos con almidón o maicena; otros productos de alimenticios</v>
      </c>
      <c r="D29" s="1" t="n">
        <f aca="false">VLOOKUP(B29,clasif_filas!$A$1:$J$39,3,FALSE())</f>
        <v>23</v>
      </c>
      <c r="E29" s="1" t="str">
        <f aca="false">VLOOKUP(B29,clasif_filas!$A$1:$J$39,4,FALSE())</f>
        <v>Productos de molienda, productos con almidón o maicena; otros productos de alimenticios</v>
      </c>
      <c r="F29" s="1" t="n">
        <f aca="false">VLOOKUP(B29,clasif_filas!$A$1:$J$39,5,FALSE())</f>
        <v>6</v>
      </c>
      <c r="G29" s="1" t="str">
        <f aca="false">VLOOKUP(B29,clasif_filas!$A$1:$J$39,6,FALSE())</f>
        <v>Conocimiento, procesos y servicios relacionados</v>
      </c>
      <c r="H29" s="1" t="n">
        <f aca="false">VLOOKUP(B29,clasif_filas!$A$1:$J$39,7,FALSE())</f>
        <v>2</v>
      </c>
      <c r="I29" s="1" t="str">
        <f aca="false">VLOOKUP(B29,clasif_filas!$A$1:$J$39,8,FALSE())</f>
        <v>Productos alimenticios, bebidas y tabaco; textiles, prendas de vestir y productos de cuero</v>
      </c>
      <c r="J29" s="1" t="n">
        <f aca="false">VLOOKUP(B29,clasif_filas!$A$1:$J$39,9,FALSE())</f>
        <v>1</v>
      </c>
      <c r="K29" s="1" t="str">
        <f aca="false">VLOOKUP(B29,clasif_filas!$A$1:$J$39,10,FALSE())</f>
        <v>Bioeconomía</v>
      </c>
      <c r="L29" s="61"/>
    </row>
    <row r="30" customFormat="false" ht="14.25" hidden="true" customHeight="false" outlineLevel="0" collapsed="false">
      <c r="A30" s="9" t="s">
        <v>1862</v>
      </c>
      <c r="B30" s="1" t="n">
        <v>23</v>
      </c>
      <c r="C30" s="1" t="str">
        <f aca="false">VLOOKUP(B30,clasif_filas!$A$1:$J$39,2,FALSE())</f>
        <v>Productos de molienda, productos con almidón o maicena; otros productos de alimenticios</v>
      </c>
      <c r="D30" s="1" t="n">
        <f aca="false">VLOOKUP(B30,clasif_filas!$A$1:$J$39,3,FALSE())</f>
        <v>23</v>
      </c>
      <c r="E30" s="1" t="str">
        <f aca="false">VLOOKUP(B30,clasif_filas!$A$1:$J$39,4,FALSE())</f>
        <v>Productos de molienda, productos con almidón o maicena; otros productos de alimenticios</v>
      </c>
      <c r="F30" s="1" t="n">
        <f aca="false">VLOOKUP(B30,clasif_filas!$A$1:$J$39,5,FALSE())</f>
        <v>6</v>
      </c>
      <c r="G30" s="1" t="str">
        <f aca="false">VLOOKUP(B30,clasif_filas!$A$1:$J$39,6,FALSE())</f>
        <v>Conocimiento, procesos y servicios relacionados</v>
      </c>
      <c r="H30" s="1" t="n">
        <f aca="false">VLOOKUP(B30,clasif_filas!$A$1:$J$39,7,FALSE())</f>
        <v>2</v>
      </c>
      <c r="I30" s="1" t="str">
        <f aca="false">VLOOKUP(B30,clasif_filas!$A$1:$J$39,8,FALSE())</f>
        <v>Productos alimenticios, bebidas y tabaco; textiles, prendas de vestir y productos de cuero</v>
      </c>
      <c r="J30" s="1" t="n">
        <f aca="false">VLOOKUP(B30,clasif_filas!$A$1:$J$39,9,FALSE())</f>
        <v>1</v>
      </c>
      <c r="K30" s="1" t="str">
        <f aca="false">VLOOKUP(B30,clasif_filas!$A$1:$J$39,10,FALSE())</f>
        <v>Bioeconomía</v>
      </c>
      <c r="L30" s="61"/>
    </row>
    <row r="31" customFormat="false" ht="14.25" hidden="true" customHeight="false" outlineLevel="0" collapsed="false">
      <c r="A31" s="9" t="s">
        <v>1865</v>
      </c>
      <c r="B31" s="1" t="n">
        <v>23</v>
      </c>
      <c r="C31" s="1" t="str">
        <f aca="false">VLOOKUP(B31,clasif_filas!$A$1:$J$39,2,FALSE())</f>
        <v>Productos de molienda, productos con almidón o maicena; otros productos de alimenticios</v>
      </c>
      <c r="D31" s="1" t="n">
        <f aca="false">VLOOKUP(B31,clasif_filas!$A$1:$J$39,3,FALSE())</f>
        <v>23</v>
      </c>
      <c r="E31" s="1" t="str">
        <f aca="false">VLOOKUP(B31,clasif_filas!$A$1:$J$39,4,FALSE())</f>
        <v>Productos de molienda, productos con almidón o maicena; otros productos de alimenticios</v>
      </c>
      <c r="F31" s="1" t="n">
        <f aca="false">VLOOKUP(B31,clasif_filas!$A$1:$J$39,5,FALSE())</f>
        <v>6</v>
      </c>
      <c r="G31" s="1" t="str">
        <f aca="false">VLOOKUP(B31,clasif_filas!$A$1:$J$39,6,FALSE())</f>
        <v>Conocimiento, procesos y servicios relacionados</v>
      </c>
      <c r="H31" s="1" t="n">
        <f aca="false">VLOOKUP(B31,clasif_filas!$A$1:$J$39,7,FALSE())</f>
        <v>2</v>
      </c>
      <c r="I31" s="1" t="str">
        <f aca="false">VLOOKUP(B31,clasif_filas!$A$1:$J$39,8,FALSE())</f>
        <v>Productos alimenticios, bebidas y tabaco; textiles, prendas de vestir y productos de cuero</v>
      </c>
      <c r="J31" s="1" t="n">
        <f aca="false">VLOOKUP(B31,clasif_filas!$A$1:$J$39,9,FALSE())</f>
        <v>1</v>
      </c>
      <c r="K31" s="1" t="str">
        <f aca="false">VLOOKUP(B31,clasif_filas!$A$1:$J$39,10,FALSE())</f>
        <v>Bioeconomía</v>
      </c>
      <c r="L31" s="61"/>
    </row>
    <row r="32" customFormat="false" ht="14.25" hidden="true" customHeight="false" outlineLevel="0" collapsed="false">
      <c r="A32" s="9" t="s">
        <v>1867</v>
      </c>
      <c r="B32" s="1" t="n">
        <v>23</v>
      </c>
      <c r="C32" s="1" t="str">
        <f aca="false">VLOOKUP(B32,clasif_filas!$A$1:$J$39,2,FALSE())</f>
        <v>Productos de molienda, productos con almidón o maicena; otros productos de alimenticios</v>
      </c>
      <c r="D32" s="1" t="n">
        <f aca="false">VLOOKUP(B32,clasif_filas!$A$1:$J$39,3,FALSE())</f>
        <v>23</v>
      </c>
      <c r="E32" s="1" t="str">
        <f aca="false">VLOOKUP(B32,clasif_filas!$A$1:$J$39,4,FALSE())</f>
        <v>Productos de molienda, productos con almidón o maicena; otros productos de alimenticios</v>
      </c>
      <c r="F32" s="1" t="n">
        <f aca="false">VLOOKUP(B32,clasif_filas!$A$1:$J$39,5,FALSE())</f>
        <v>6</v>
      </c>
      <c r="G32" s="1" t="str">
        <f aca="false">VLOOKUP(B32,clasif_filas!$A$1:$J$39,6,FALSE())</f>
        <v>Conocimiento, procesos y servicios relacionados</v>
      </c>
      <c r="H32" s="1" t="n">
        <f aca="false">VLOOKUP(B32,clasif_filas!$A$1:$J$39,7,FALSE())</f>
        <v>2</v>
      </c>
      <c r="I32" s="1" t="str">
        <f aca="false">VLOOKUP(B32,clasif_filas!$A$1:$J$39,8,FALSE())</f>
        <v>Productos alimenticios, bebidas y tabaco; textiles, prendas de vestir y productos de cuero</v>
      </c>
      <c r="J32" s="1" t="n">
        <f aca="false">VLOOKUP(B32,clasif_filas!$A$1:$J$39,9,FALSE())</f>
        <v>1</v>
      </c>
      <c r="K32" s="1" t="str">
        <f aca="false">VLOOKUP(B32,clasif_filas!$A$1:$J$39,10,FALSE())</f>
        <v>Bioeconomía</v>
      </c>
      <c r="L32" s="61"/>
    </row>
    <row r="33" customFormat="false" ht="14.25" hidden="true" customHeight="false" outlineLevel="0" collapsed="false">
      <c r="A33" s="9" t="s">
        <v>1870</v>
      </c>
      <c r="B33" s="1" t="n">
        <v>23</v>
      </c>
      <c r="C33" s="1" t="str">
        <f aca="false">VLOOKUP(B33,clasif_filas!$A$1:$J$39,2,FALSE())</f>
        <v>Productos de molienda, productos con almidón o maicena; otros productos de alimenticios</v>
      </c>
      <c r="D33" s="1" t="n">
        <f aca="false">VLOOKUP(B33,clasif_filas!$A$1:$J$39,3,FALSE())</f>
        <v>23</v>
      </c>
      <c r="E33" s="1" t="str">
        <f aca="false">VLOOKUP(B33,clasif_filas!$A$1:$J$39,4,FALSE())</f>
        <v>Productos de molienda, productos con almidón o maicena; otros productos de alimenticios</v>
      </c>
      <c r="F33" s="1" t="n">
        <f aca="false">VLOOKUP(B33,clasif_filas!$A$1:$J$39,5,FALSE())</f>
        <v>6</v>
      </c>
      <c r="G33" s="1" t="str">
        <f aca="false">VLOOKUP(B33,clasif_filas!$A$1:$J$39,6,FALSE())</f>
        <v>Conocimiento, procesos y servicios relacionados</v>
      </c>
      <c r="H33" s="1" t="n">
        <f aca="false">VLOOKUP(B33,clasif_filas!$A$1:$J$39,7,FALSE())</f>
        <v>2</v>
      </c>
      <c r="I33" s="1" t="str">
        <f aca="false">VLOOKUP(B33,clasif_filas!$A$1:$J$39,8,FALSE())</f>
        <v>Productos alimenticios, bebidas y tabaco; textiles, prendas de vestir y productos de cuero</v>
      </c>
      <c r="J33" s="1" t="n">
        <f aca="false">VLOOKUP(B33,clasif_filas!$A$1:$J$39,9,FALSE())</f>
        <v>1</v>
      </c>
      <c r="K33" s="1" t="str">
        <f aca="false">VLOOKUP(B33,clasif_filas!$A$1:$J$39,10,FALSE())</f>
        <v>Bioeconomía</v>
      </c>
      <c r="L33" s="61"/>
    </row>
    <row r="34" customFormat="false" ht="14.25" hidden="true" customHeight="false" outlineLevel="0" collapsed="false">
      <c r="A34" s="9" t="s">
        <v>1872</v>
      </c>
      <c r="B34" s="1" t="n">
        <v>23</v>
      </c>
      <c r="C34" s="1" t="str">
        <f aca="false">VLOOKUP(B34,clasif_filas!$A$1:$J$39,2,FALSE())</f>
        <v>Productos de molienda, productos con almidón o maicena; otros productos de alimenticios</v>
      </c>
      <c r="D34" s="1" t="n">
        <f aca="false">VLOOKUP(B34,clasif_filas!$A$1:$J$39,3,FALSE())</f>
        <v>23</v>
      </c>
      <c r="E34" s="1" t="str">
        <f aca="false">VLOOKUP(B34,clasif_filas!$A$1:$J$39,4,FALSE())</f>
        <v>Productos de molienda, productos con almidón o maicena; otros productos de alimenticios</v>
      </c>
      <c r="F34" s="1" t="n">
        <f aca="false">VLOOKUP(B34,clasif_filas!$A$1:$J$39,5,FALSE())</f>
        <v>6</v>
      </c>
      <c r="G34" s="1" t="str">
        <f aca="false">VLOOKUP(B34,clasif_filas!$A$1:$J$39,6,FALSE())</f>
        <v>Conocimiento, procesos y servicios relacionados</v>
      </c>
      <c r="H34" s="1" t="n">
        <f aca="false">VLOOKUP(B34,clasif_filas!$A$1:$J$39,7,FALSE())</f>
        <v>2</v>
      </c>
      <c r="I34" s="1" t="str">
        <f aca="false">VLOOKUP(B34,clasif_filas!$A$1:$J$39,8,FALSE())</f>
        <v>Productos alimenticios, bebidas y tabaco; textiles, prendas de vestir y productos de cuero</v>
      </c>
      <c r="J34" s="1" t="n">
        <f aca="false">VLOOKUP(B34,clasif_filas!$A$1:$J$39,9,FALSE())</f>
        <v>1</v>
      </c>
      <c r="K34" s="1" t="str">
        <f aca="false">VLOOKUP(B34,clasif_filas!$A$1:$J$39,10,FALSE())</f>
        <v>Bioeconomía</v>
      </c>
      <c r="L34" s="61"/>
    </row>
    <row r="35" customFormat="false" ht="14.25" hidden="true" customHeight="false" outlineLevel="0" collapsed="false">
      <c r="A35" s="9" t="s">
        <v>1875</v>
      </c>
      <c r="B35" s="1" t="n">
        <v>23</v>
      </c>
      <c r="C35" s="1" t="str">
        <f aca="false">VLOOKUP(B35,clasif_filas!$A$1:$J$39,2,FALSE())</f>
        <v>Productos de molienda, productos con almidón o maicena; otros productos de alimenticios</v>
      </c>
      <c r="D35" s="1" t="n">
        <f aca="false">VLOOKUP(B35,clasif_filas!$A$1:$J$39,3,FALSE())</f>
        <v>23</v>
      </c>
      <c r="E35" s="1" t="str">
        <f aca="false">VLOOKUP(B35,clasif_filas!$A$1:$J$39,4,FALSE())</f>
        <v>Productos de molienda, productos con almidón o maicena; otros productos de alimenticios</v>
      </c>
      <c r="F35" s="1" t="n">
        <f aca="false">VLOOKUP(B35,clasif_filas!$A$1:$J$39,5,FALSE())</f>
        <v>6</v>
      </c>
      <c r="G35" s="1" t="str">
        <f aca="false">VLOOKUP(B35,clasif_filas!$A$1:$J$39,6,FALSE())</f>
        <v>Conocimiento, procesos y servicios relacionados</v>
      </c>
      <c r="H35" s="1" t="n">
        <f aca="false">VLOOKUP(B35,clasif_filas!$A$1:$J$39,7,FALSE())</f>
        <v>2</v>
      </c>
      <c r="I35" s="1" t="str">
        <f aca="false">VLOOKUP(B35,clasif_filas!$A$1:$J$39,8,FALSE())</f>
        <v>Productos alimenticios, bebidas y tabaco; textiles, prendas de vestir y productos de cuero</v>
      </c>
      <c r="J35" s="1" t="n">
        <f aca="false">VLOOKUP(B35,clasif_filas!$A$1:$J$39,9,FALSE())</f>
        <v>1</v>
      </c>
      <c r="K35" s="1" t="str">
        <f aca="false">VLOOKUP(B35,clasif_filas!$A$1:$J$39,10,FALSE())</f>
        <v>Bioeconomía</v>
      </c>
      <c r="L35" s="61"/>
    </row>
    <row r="36" customFormat="false" ht="14.25" hidden="true" customHeight="false" outlineLevel="0" collapsed="false">
      <c r="A36" s="9" t="s">
        <v>1877</v>
      </c>
      <c r="B36" s="1" t="n">
        <v>24</v>
      </c>
      <c r="C36" s="1" t="str">
        <f aca="false">VLOOKUP(B36,clasif_filas!$A$1:$J$39,2,FALSE())</f>
        <v>Bebidas</v>
      </c>
      <c r="D36" s="1" t="n">
        <f aca="false">VLOOKUP(B36,clasif_filas!$A$1:$J$39,3,FALSE())</f>
        <v>24</v>
      </c>
      <c r="E36" s="1" t="str">
        <f aca="false">VLOOKUP(B36,clasif_filas!$A$1:$J$39,4,FALSE())</f>
        <v>Bebidas</v>
      </c>
      <c r="F36" s="1" t="n">
        <f aca="false">VLOOKUP(B36,clasif_filas!$A$1:$J$39,5,FALSE())</f>
        <v>6</v>
      </c>
      <c r="G36" s="1" t="str">
        <f aca="false">VLOOKUP(B36,clasif_filas!$A$1:$J$39,6,FALSE())</f>
        <v>Conocimiento, procesos y servicios relacionados</v>
      </c>
      <c r="H36" s="1" t="n">
        <f aca="false">VLOOKUP(B36,clasif_filas!$A$1:$J$39,7,FALSE())</f>
        <v>2</v>
      </c>
      <c r="I36" s="1" t="str">
        <f aca="false">VLOOKUP(B36,clasif_filas!$A$1:$J$39,8,FALSE())</f>
        <v>Productos alimenticios, bebidas y tabaco; textiles, prendas de vestir y productos de cuero</v>
      </c>
      <c r="J36" s="1" t="n">
        <f aca="false">VLOOKUP(B36,clasif_filas!$A$1:$J$39,9,FALSE())</f>
        <v>1</v>
      </c>
      <c r="K36" s="1" t="str">
        <f aca="false">VLOOKUP(B36,clasif_filas!$A$1:$J$39,10,FALSE())</f>
        <v>Bioeconomía</v>
      </c>
      <c r="L36" s="61"/>
    </row>
    <row r="37" customFormat="false" ht="14.25" hidden="true" customHeight="false" outlineLevel="0" collapsed="false">
      <c r="A37" s="9" t="s">
        <v>1880</v>
      </c>
      <c r="B37" s="1" t="n">
        <v>25</v>
      </c>
      <c r="C37" s="1" t="str">
        <f aca="false">VLOOKUP(B37,clasif_filas!$A$1:$J$39,2,FALSE())</f>
        <v>Productos del tabaco</v>
      </c>
      <c r="D37" s="1" t="n">
        <f aca="false">VLOOKUP(B37,clasif_filas!$A$1:$J$39,3,FALSE())</f>
        <v>25</v>
      </c>
      <c r="E37" s="1" t="str">
        <f aca="false">VLOOKUP(B37,clasif_filas!$A$1:$J$39,4,FALSE())</f>
        <v>Productos del tabaco</v>
      </c>
      <c r="F37" s="1" t="n">
        <f aca="false">VLOOKUP(B37,clasif_filas!$A$1:$J$39,5,FALSE())</f>
        <v>6</v>
      </c>
      <c r="G37" s="1" t="str">
        <f aca="false">VLOOKUP(B37,clasif_filas!$A$1:$J$39,6,FALSE())</f>
        <v>Conocimiento, procesos y servicios relacionados</v>
      </c>
      <c r="H37" s="1" t="n">
        <f aca="false">VLOOKUP(B37,clasif_filas!$A$1:$J$39,7,FALSE())</f>
        <v>2</v>
      </c>
      <c r="I37" s="1" t="str">
        <f aca="false">VLOOKUP(B37,clasif_filas!$A$1:$J$39,8,FALSE())</f>
        <v>Productos alimenticios, bebidas y tabaco; textiles, prendas de vestir y productos de cuero</v>
      </c>
      <c r="J37" s="1" t="n">
        <f aca="false">VLOOKUP(B37,clasif_filas!$A$1:$J$39,9,FALSE())</f>
        <v>1</v>
      </c>
      <c r="K37" s="1" t="str">
        <f aca="false">VLOOKUP(B37,clasif_filas!$A$1:$J$39,10,FALSE())</f>
        <v>Bioeconomía</v>
      </c>
      <c r="L37" s="61"/>
    </row>
    <row r="38" customFormat="false" ht="14.25" hidden="true" customHeight="false" outlineLevel="0" collapsed="false">
      <c r="A38" s="9" t="s">
        <v>1883</v>
      </c>
      <c r="B38" s="1" t="n">
        <v>26</v>
      </c>
      <c r="C38" s="1" t="str">
        <f aca="false">VLOOKUP(B38,clasif_filas!$A$1:$J$39,2,FALSE())</f>
        <v>Hilados e hilos; tejidos y telas afelpadas</v>
      </c>
      <c r="D38" s="1" t="n">
        <f aca="false">VLOOKUP(B38,clasif_filas!$A$1:$J$39,3,FALSE())</f>
        <v>26</v>
      </c>
      <c r="E38" s="1" t="str">
        <f aca="false">VLOOKUP(B38,clasif_filas!$A$1:$J$39,4,FALSE())</f>
        <v>Hilados e hilos; tejidos y telas afelpadas</v>
      </c>
      <c r="F38" s="1" t="n">
        <f aca="false">VLOOKUP(B38,clasif_filas!$A$1:$J$39,5,FALSE())</f>
        <v>6</v>
      </c>
      <c r="G38" s="1" t="str">
        <f aca="false">VLOOKUP(B38,clasif_filas!$A$1:$J$39,6,FALSE())</f>
        <v>Conocimiento, procesos y servicios relacionados</v>
      </c>
      <c r="H38" s="1" t="n">
        <f aca="false">VLOOKUP(B38,clasif_filas!$A$1:$J$39,7,FALSE())</f>
        <v>2</v>
      </c>
      <c r="I38" s="1" t="str">
        <f aca="false">VLOOKUP(B38,clasif_filas!$A$1:$J$39,8,FALSE())</f>
        <v>Productos alimenticios, bebidas y tabaco; textiles, prendas de vestir y productos de cuero</v>
      </c>
      <c r="J38" s="1" t="n">
        <f aca="false">VLOOKUP(B38,clasif_filas!$A$1:$J$39,9,FALSE())</f>
        <v>2</v>
      </c>
      <c r="K38" s="1" t="str">
        <f aca="false">VLOOKUP(B38,clasif_filas!$A$1:$J$39,10,FALSE())</f>
        <v>Bioeconomía extendida</v>
      </c>
      <c r="L38" s="61"/>
    </row>
    <row r="39" customFormat="false" ht="14.25" hidden="true" customHeight="false" outlineLevel="0" collapsed="false">
      <c r="A39" s="9" t="s">
        <v>1886</v>
      </c>
      <c r="B39" s="1" t="n">
        <v>26</v>
      </c>
      <c r="C39" s="1" t="str">
        <f aca="false">VLOOKUP(B39,clasif_filas!$A$1:$J$39,2,FALSE())</f>
        <v>Hilados e hilos; tejidos y telas afelpadas</v>
      </c>
      <c r="D39" s="1" t="n">
        <f aca="false">VLOOKUP(B39,clasif_filas!$A$1:$J$39,3,FALSE())</f>
        <v>26</v>
      </c>
      <c r="E39" s="1" t="str">
        <f aca="false">VLOOKUP(B39,clasif_filas!$A$1:$J$39,4,FALSE())</f>
        <v>Hilados e hilos; tejidos y telas afelpadas</v>
      </c>
      <c r="F39" s="1" t="n">
        <f aca="false">VLOOKUP(B39,clasif_filas!$A$1:$J$39,5,FALSE())</f>
        <v>6</v>
      </c>
      <c r="G39" s="1" t="str">
        <f aca="false">VLOOKUP(B39,clasif_filas!$A$1:$J$39,6,FALSE())</f>
        <v>Conocimiento, procesos y servicios relacionados</v>
      </c>
      <c r="H39" s="1" t="n">
        <f aca="false">VLOOKUP(B39,clasif_filas!$A$1:$J$39,7,FALSE())</f>
        <v>2</v>
      </c>
      <c r="I39" s="1" t="str">
        <f aca="false">VLOOKUP(B39,clasif_filas!$A$1:$J$39,8,FALSE())</f>
        <v>Productos alimenticios, bebidas y tabaco; textiles, prendas de vestir y productos de cuero</v>
      </c>
      <c r="J39" s="1" t="n">
        <f aca="false">VLOOKUP(B39,clasif_filas!$A$1:$J$39,9,FALSE())</f>
        <v>2</v>
      </c>
      <c r="K39" s="1" t="str">
        <f aca="false">VLOOKUP(B39,clasif_filas!$A$1:$J$39,10,FALSE())</f>
        <v>Bioeconomía extendida</v>
      </c>
      <c r="L39" s="61"/>
    </row>
    <row r="40" customFormat="false" ht="14.25" hidden="true" customHeight="false" outlineLevel="0" collapsed="false">
      <c r="A40" s="9" t="s">
        <v>1888</v>
      </c>
      <c r="B40" s="1" t="n">
        <v>26</v>
      </c>
      <c r="C40" s="1" t="str">
        <f aca="false">VLOOKUP(B40,clasif_filas!$A$1:$J$39,2,FALSE())</f>
        <v>Hilados e hilos; tejidos y telas afelpadas</v>
      </c>
      <c r="D40" s="1" t="n">
        <f aca="false">VLOOKUP(B40,clasif_filas!$A$1:$J$39,3,FALSE())</f>
        <v>26</v>
      </c>
      <c r="E40" s="1" t="str">
        <f aca="false">VLOOKUP(B40,clasif_filas!$A$1:$J$39,4,FALSE())</f>
        <v>Hilados e hilos; tejidos y telas afelpadas</v>
      </c>
      <c r="F40" s="1" t="n">
        <f aca="false">VLOOKUP(B40,clasif_filas!$A$1:$J$39,5,FALSE())</f>
        <v>6</v>
      </c>
      <c r="G40" s="1" t="str">
        <f aca="false">VLOOKUP(B40,clasif_filas!$A$1:$J$39,6,FALSE())</f>
        <v>Conocimiento, procesos y servicios relacionados</v>
      </c>
      <c r="H40" s="1" t="n">
        <f aca="false">VLOOKUP(B40,clasif_filas!$A$1:$J$39,7,FALSE())</f>
        <v>2</v>
      </c>
      <c r="I40" s="1" t="str">
        <f aca="false">VLOOKUP(B40,clasif_filas!$A$1:$J$39,8,FALSE())</f>
        <v>Productos alimenticios, bebidas y tabaco; textiles, prendas de vestir y productos de cuero</v>
      </c>
      <c r="J40" s="1" t="n">
        <f aca="false">VLOOKUP(B40,clasif_filas!$A$1:$J$39,9,FALSE())</f>
        <v>2</v>
      </c>
      <c r="K40" s="1" t="str">
        <f aca="false">VLOOKUP(B40,clasif_filas!$A$1:$J$39,10,FALSE())</f>
        <v>Bioeconomía extendida</v>
      </c>
      <c r="L40" s="61"/>
    </row>
    <row r="41" customFormat="false" ht="14.25" hidden="true" customHeight="false" outlineLevel="0" collapsed="false">
      <c r="A41" s="9" t="s">
        <v>1890</v>
      </c>
      <c r="B41" s="1" t="n">
        <v>26</v>
      </c>
      <c r="C41" s="1" t="str">
        <f aca="false">VLOOKUP(B41,clasif_filas!$A$1:$J$39,2,FALSE())</f>
        <v>Hilados e hilos; tejidos y telas afelpadas</v>
      </c>
      <c r="D41" s="1" t="n">
        <f aca="false">VLOOKUP(B41,clasif_filas!$A$1:$J$39,3,FALSE())</f>
        <v>26</v>
      </c>
      <c r="E41" s="1" t="str">
        <f aca="false">VLOOKUP(B41,clasif_filas!$A$1:$J$39,4,FALSE())</f>
        <v>Hilados e hilos; tejidos y telas afelpadas</v>
      </c>
      <c r="F41" s="1" t="n">
        <f aca="false">VLOOKUP(B41,clasif_filas!$A$1:$J$39,5,FALSE())</f>
        <v>6</v>
      </c>
      <c r="G41" s="1" t="str">
        <f aca="false">VLOOKUP(B41,clasif_filas!$A$1:$J$39,6,FALSE())</f>
        <v>Conocimiento, procesos y servicios relacionados</v>
      </c>
      <c r="H41" s="1" t="n">
        <f aca="false">VLOOKUP(B41,clasif_filas!$A$1:$J$39,7,FALSE())</f>
        <v>2</v>
      </c>
      <c r="I41" s="1" t="str">
        <f aca="false">VLOOKUP(B41,clasif_filas!$A$1:$J$39,8,FALSE())</f>
        <v>Productos alimenticios, bebidas y tabaco; textiles, prendas de vestir y productos de cuero</v>
      </c>
      <c r="J41" s="1" t="n">
        <f aca="false">VLOOKUP(B41,clasif_filas!$A$1:$J$39,9,FALSE())</f>
        <v>2</v>
      </c>
      <c r="K41" s="1" t="str">
        <f aca="false">VLOOKUP(B41,clasif_filas!$A$1:$J$39,10,FALSE())</f>
        <v>Bioeconomía extendida</v>
      </c>
      <c r="L41" s="61"/>
    </row>
    <row r="42" customFormat="false" ht="14.25" hidden="true" customHeight="false" outlineLevel="0" collapsed="false">
      <c r="A42" s="9" t="s">
        <v>1892</v>
      </c>
      <c r="B42" s="1" t="n">
        <v>29</v>
      </c>
      <c r="C42" s="1" t="str">
        <f aca="false">VLOOKUP(B42,clasif_filas!$A$1:$J$39,2,FALSE())</f>
        <v>Cuero y productos de cuero; calzado</v>
      </c>
      <c r="D42" s="1" t="n">
        <f aca="false">VLOOKUP(B42,clasif_filas!$A$1:$J$39,3,FALSE())</f>
        <v>29</v>
      </c>
      <c r="E42" s="1" t="str">
        <f aca="false">VLOOKUP(B42,clasif_filas!$A$1:$J$39,4,FALSE())</f>
        <v>Cuero y productos de cuero; calzado</v>
      </c>
      <c r="F42" s="1" t="n">
        <f aca="false">VLOOKUP(B42,clasif_filas!$A$1:$J$39,5,FALSE())</f>
        <v>6</v>
      </c>
      <c r="G42" s="1" t="str">
        <f aca="false">VLOOKUP(B42,clasif_filas!$A$1:$J$39,6,FALSE())</f>
        <v>Conocimiento, procesos y servicios relacionados</v>
      </c>
      <c r="H42" s="1" t="n">
        <f aca="false">VLOOKUP(B42,clasif_filas!$A$1:$J$39,7,FALSE())</f>
        <v>2</v>
      </c>
      <c r="I42" s="1" t="str">
        <f aca="false">VLOOKUP(B42,clasif_filas!$A$1:$J$39,8,FALSE())</f>
        <v>Productos alimenticios, bebidas y tabaco; textiles, prendas de vestir y productos de cuero</v>
      </c>
      <c r="J42" s="1" t="n">
        <f aca="false">VLOOKUP(B42,clasif_filas!$A$1:$J$39,9,FALSE())</f>
        <v>2</v>
      </c>
      <c r="K42" s="1" t="str">
        <f aca="false">VLOOKUP(B42,clasif_filas!$A$1:$J$39,10,FALSE())</f>
        <v>Bioeconomía extendida</v>
      </c>
      <c r="L42" s="61"/>
    </row>
    <row r="43" customFormat="false" ht="14.25" hidden="true" customHeight="false" outlineLevel="0" collapsed="false">
      <c r="A43" s="9" t="s">
        <v>1894</v>
      </c>
      <c r="B43" s="1" t="n">
        <v>31</v>
      </c>
      <c r="C43" s="1" t="str">
        <f aca="false">VLOOKUP(B43,clasif_filas!$A$1:$J$39,2,FALSE())</f>
        <v>Productos de materiales de madera, corcho, cestería y espartería</v>
      </c>
      <c r="D43" s="1" t="n">
        <f aca="false">VLOOKUP(B43,clasif_filas!$A$1:$J$39,3,FALSE())</f>
        <v>31</v>
      </c>
      <c r="E43" s="1" t="str">
        <f aca="false">VLOOKUP(B43,clasif_filas!$A$1:$J$39,4,FALSE())</f>
        <v>Productos de materiales de madera, corcho, cestería y espartería</v>
      </c>
      <c r="F43" s="1" t="n">
        <f aca="false">VLOOKUP(B43,clasif_filas!$A$1:$J$39,5,FALSE())</f>
        <v>6</v>
      </c>
      <c r="G43" s="1" t="str">
        <f aca="false">VLOOKUP(B43,clasif_filas!$A$1:$J$39,6,FALSE())</f>
        <v>Conocimiento, procesos y servicios relacionados</v>
      </c>
      <c r="H43" s="1" t="n">
        <f aca="false">VLOOKUP(B43,clasif_filas!$A$1:$J$39,7,FALSE())</f>
        <v>3</v>
      </c>
      <c r="I43" s="1" t="str">
        <f aca="false">VLOOKUP(B43,clasif_filas!$A$1:$J$39,8,FALSE())</f>
        <v>Otros bienes transportables, excepto productos metálicos, maquinaria y equipo</v>
      </c>
      <c r="J43" s="1" t="n">
        <f aca="false">VLOOKUP(B43,clasif_filas!$A$1:$J$39,9,FALSE())</f>
        <v>1</v>
      </c>
      <c r="K43" s="1" t="str">
        <f aca="false">VLOOKUP(B43,clasif_filas!$A$1:$J$39,10,FALSE())</f>
        <v>Bioeconomía</v>
      </c>
      <c r="L43" s="61"/>
    </row>
    <row r="44" customFormat="false" ht="14.25" hidden="true" customHeight="false" outlineLevel="0" collapsed="false">
      <c r="A44" s="9" t="s">
        <v>1897</v>
      </c>
      <c r="B44" s="1" t="n">
        <v>32</v>
      </c>
      <c r="C44" s="1" t="str">
        <f aca="false">VLOOKUP(B44,clasif_filas!$A$1:$J$39,2,FALSE())</f>
        <v>Pulpa de papel, papel y productos de papel; impresos, y artículos similares</v>
      </c>
      <c r="D44" s="1" t="n">
        <f aca="false">VLOOKUP(B44,clasif_filas!$A$1:$J$39,3,FALSE())</f>
        <v>32</v>
      </c>
      <c r="E44" s="1" t="str">
        <f aca="false">VLOOKUP(B44,clasif_filas!$A$1:$J$39,4,FALSE())</f>
        <v>Pulpa de papel, papel y productos de papel; impresos, y artículos similares</v>
      </c>
      <c r="F44" s="1" t="n">
        <f aca="false">VLOOKUP(B44,clasif_filas!$A$1:$J$39,5,FALSE())</f>
        <v>6</v>
      </c>
      <c r="G44" s="1" t="str">
        <f aca="false">VLOOKUP(B44,clasif_filas!$A$1:$J$39,6,FALSE())</f>
        <v>Conocimiento, procesos y servicios relacionados</v>
      </c>
      <c r="H44" s="1" t="n">
        <f aca="false">VLOOKUP(B44,clasif_filas!$A$1:$J$39,7,FALSE())</f>
        <v>3</v>
      </c>
      <c r="I44" s="1" t="str">
        <f aca="false">VLOOKUP(B44,clasif_filas!$A$1:$J$39,8,FALSE())</f>
        <v>Otros bienes transportables, excepto productos metálicos, maquinaria y equipo</v>
      </c>
      <c r="J44" s="1" t="n">
        <f aca="false">VLOOKUP(B44,clasif_filas!$A$1:$J$39,9,FALSE())</f>
        <v>1</v>
      </c>
      <c r="K44" s="1" t="str">
        <f aca="false">VLOOKUP(B44,clasif_filas!$A$1:$J$39,10,FALSE())</f>
        <v>Bioeconomía</v>
      </c>
      <c r="L44" s="61"/>
    </row>
    <row r="45" customFormat="false" ht="14.25" hidden="true" customHeight="false" outlineLevel="0" collapsed="false">
      <c r="A45" s="9" t="s">
        <v>1900</v>
      </c>
      <c r="B45" s="1" t="n">
        <v>32</v>
      </c>
      <c r="C45" s="1" t="str">
        <f aca="false">VLOOKUP(B45,clasif_filas!$A$1:$J$39,2,FALSE())</f>
        <v>Pulpa de papel, papel y productos de papel; impresos, y artículos similares</v>
      </c>
      <c r="D45" s="1" t="n">
        <f aca="false">VLOOKUP(B45,clasif_filas!$A$1:$J$39,3,FALSE())</f>
        <v>32</v>
      </c>
      <c r="E45" s="1" t="str">
        <f aca="false">VLOOKUP(B45,clasif_filas!$A$1:$J$39,4,FALSE())</f>
        <v>Pulpa de papel, papel y productos de papel; impresos, y artículos similares</v>
      </c>
      <c r="F45" s="1" t="n">
        <f aca="false">VLOOKUP(B45,clasif_filas!$A$1:$J$39,5,FALSE())</f>
        <v>6</v>
      </c>
      <c r="G45" s="1" t="str">
        <f aca="false">VLOOKUP(B45,clasif_filas!$A$1:$J$39,6,FALSE())</f>
        <v>Conocimiento, procesos y servicios relacionados</v>
      </c>
      <c r="H45" s="1" t="n">
        <f aca="false">VLOOKUP(B45,clasif_filas!$A$1:$J$39,7,FALSE())</f>
        <v>3</v>
      </c>
      <c r="I45" s="1" t="str">
        <f aca="false">VLOOKUP(B45,clasif_filas!$A$1:$J$39,8,FALSE())</f>
        <v>Otros bienes transportables, excepto productos metálicos, maquinaria y equipo</v>
      </c>
      <c r="J45" s="1" t="n">
        <f aca="false">VLOOKUP(B45,clasif_filas!$A$1:$J$39,9,FALSE())</f>
        <v>1</v>
      </c>
      <c r="K45" s="1" t="str">
        <f aca="false">VLOOKUP(B45,clasif_filas!$A$1:$J$39,10,FALSE())</f>
        <v>Bioeconomía</v>
      </c>
      <c r="L45" s="61"/>
    </row>
    <row r="46" customFormat="false" ht="14.25" hidden="true" customHeight="false" outlineLevel="0" collapsed="false">
      <c r="A46" s="9" t="s">
        <v>1902</v>
      </c>
      <c r="B46" s="1" t="n">
        <v>32</v>
      </c>
      <c r="C46" s="1" t="str">
        <f aca="false">VLOOKUP(B46,clasif_filas!$A$1:$J$39,2,FALSE())</f>
        <v>Pulpa de papel, papel y productos de papel; impresos, y artículos similares</v>
      </c>
      <c r="D46" s="1" t="n">
        <f aca="false">VLOOKUP(B46,clasif_filas!$A$1:$J$39,3,FALSE())</f>
        <v>32</v>
      </c>
      <c r="E46" s="1" t="str">
        <f aca="false">VLOOKUP(B46,clasif_filas!$A$1:$J$39,4,FALSE())</f>
        <v>Pulpa de papel, papel y productos de papel; impresos, y artículos similares</v>
      </c>
      <c r="F46" s="1" t="n">
        <f aca="false">VLOOKUP(B46,clasif_filas!$A$1:$J$39,5,FALSE())</f>
        <v>6</v>
      </c>
      <c r="G46" s="1" t="str">
        <f aca="false">VLOOKUP(B46,clasif_filas!$A$1:$J$39,6,FALSE())</f>
        <v>Conocimiento, procesos y servicios relacionados</v>
      </c>
      <c r="H46" s="1" t="n">
        <f aca="false">VLOOKUP(B46,clasif_filas!$A$1:$J$39,7,FALSE())</f>
        <v>3</v>
      </c>
      <c r="I46" s="1" t="str">
        <f aca="false">VLOOKUP(B46,clasif_filas!$A$1:$J$39,8,FALSE())</f>
        <v>Otros bienes transportables, excepto productos metálicos, maquinaria y equipo</v>
      </c>
      <c r="J46" s="1" t="n">
        <f aca="false">VLOOKUP(B46,clasif_filas!$A$1:$J$39,9,FALSE())</f>
        <v>1</v>
      </c>
      <c r="K46" s="1" t="str">
        <f aca="false">VLOOKUP(B46,clasif_filas!$A$1:$J$39,10,FALSE())</f>
        <v>Bioeconomía</v>
      </c>
      <c r="L46" s="61"/>
    </row>
    <row r="47" customFormat="false" ht="14.25" hidden="true" customHeight="false" outlineLevel="0" collapsed="false">
      <c r="A47" s="9" t="s">
        <v>1906</v>
      </c>
      <c r="B47" s="1" t="n">
        <v>11</v>
      </c>
      <c r="C47" s="1" t="str">
        <f aca="false">VLOOKUP(B47,clasif_filas!$A$1:$J$39,2,FALSE())</f>
        <v>Minerales, combustibles y derivados</v>
      </c>
      <c r="D47" s="1" t="n">
        <f aca="false">VLOOKUP(B47,clasif_filas!$A$1:$J$39,3,FALSE())</f>
        <v>11</v>
      </c>
      <c r="E47" s="1" t="str">
        <f aca="false">VLOOKUP(B47,clasif_filas!$A$1:$J$39,4,FALSE())</f>
        <v>Minerales, combustibles y derivados</v>
      </c>
      <c r="F47" s="1" t="n">
        <f aca="false">VLOOKUP(B47,clasif_filas!$A$1:$J$39,5,FALSE())</f>
        <v>99</v>
      </c>
      <c r="G47" s="1" t="str">
        <f aca="false">VLOOKUP(B47,clasif_filas!$A$1:$J$39,6,FALSE())</f>
        <v>No Bioeconomía</v>
      </c>
      <c r="H47" s="1" t="n">
        <f aca="false">VLOOKUP(B47,clasif_filas!$A$1:$J$39,7,FALSE())</f>
        <v>1</v>
      </c>
      <c r="I47" s="1" t="str">
        <f aca="false">VLOOKUP(B47,clasif_filas!$A$1:$J$39,8,FALSE())</f>
        <v>Minerales; electricidad, gas y agua</v>
      </c>
      <c r="J47" s="1" t="n">
        <f aca="false">VLOOKUP(B47,clasif_filas!$A$1:$J$39,9,FALSE())</f>
        <v>3</v>
      </c>
      <c r="K47" s="1" t="str">
        <f aca="false">VLOOKUP(B47,clasif_filas!$A$1:$J$39,10,FALSE())</f>
        <v>No bioeconomía</v>
      </c>
      <c r="L47" s="61"/>
    </row>
    <row r="48" customFormat="false" ht="14.25" hidden="true" customHeight="false" outlineLevel="0" collapsed="false">
      <c r="A48" s="9" t="s">
        <v>1908</v>
      </c>
      <c r="B48" s="1" t="n">
        <v>11</v>
      </c>
      <c r="C48" s="1" t="str">
        <f aca="false">VLOOKUP(B48,clasif_filas!$A$1:$J$39,2,FALSE())</f>
        <v>Minerales, combustibles y derivados</v>
      </c>
      <c r="D48" s="1" t="n">
        <f aca="false">VLOOKUP(B48,clasif_filas!$A$1:$J$39,3,FALSE())</f>
        <v>11</v>
      </c>
      <c r="E48" s="1" t="str">
        <f aca="false">VLOOKUP(B48,clasif_filas!$A$1:$J$39,4,FALSE())</f>
        <v>Minerales, combustibles y derivados</v>
      </c>
      <c r="F48" s="1" t="n">
        <f aca="false">VLOOKUP(B48,clasif_filas!$A$1:$J$39,5,FALSE())</f>
        <v>99</v>
      </c>
      <c r="G48" s="1" t="str">
        <f aca="false">VLOOKUP(B48,clasif_filas!$A$1:$J$39,6,FALSE())</f>
        <v>No Bioeconomía</v>
      </c>
      <c r="H48" s="1" t="n">
        <f aca="false">VLOOKUP(B48,clasif_filas!$A$1:$J$39,7,FALSE())</f>
        <v>1</v>
      </c>
      <c r="I48" s="1" t="str">
        <f aca="false">VLOOKUP(B48,clasif_filas!$A$1:$J$39,8,FALSE())</f>
        <v>Minerales; electricidad, gas y agua</v>
      </c>
      <c r="J48" s="1" t="n">
        <f aca="false">VLOOKUP(B48,clasif_filas!$A$1:$J$39,9,FALSE())</f>
        <v>3</v>
      </c>
      <c r="K48" s="1" t="str">
        <f aca="false">VLOOKUP(B48,clasif_filas!$A$1:$J$39,10,FALSE())</f>
        <v>No bioeconomía</v>
      </c>
      <c r="L48" s="61"/>
    </row>
    <row r="49" customFormat="false" ht="14.25" hidden="true" customHeight="false" outlineLevel="0" collapsed="false">
      <c r="A49" s="9" t="s">
        <v>1910</v>
      </c>
      <c r="B49" s="1" t="n">
        <v>11</v>
      </c>
      <c r="C49" s="1" t="str">
        <f aca="false">VLOOKUP(B49,clasif_filas!$A$1:$J$39,2,FALSE())</f>
        <v>Minerales, combustibles y derivados</v>
      </c>
      <c r="D49" s="1" t="n">
        <f aca="false">VLOOKUP(B49,clasif_filas!$A$1:$J$39,3,FALSE())</f>
        <v>11</v>
      </c>
      <c r="E49" s="1" t="str">
        <f aca="false">VLOOKUP(B49,clasif_filas!$A$1:$J$39,4,FALSE())</f>
        <v>Minerales, combustibles y derivados</v>
      </c>
      <c r="F49" s="1" t="n">
        <f aca="false">VLOOKUP(B49,clasif_filas!$A$1:$J$39,5,FALSE())</f>
        <v>99</v>
      </c>
      <c r="G49" s="1" t="str">
        <f aca="false">VLOOKUP(B49,clasif_filas!$A$1:$J$39,6,FALSE())</f>
        <v>No Bioeconomía</v>
      </c>
      <c r="H49" s="1" t="n">
        <f aca="false">VLOOKUP(B49,clasif_filas!$A$1:$J$39,7,FALSE())</f>
        <v>1</v>
      </c>
      <c r="I49" s="1" t="str">
        <f aca="false">VLOOKUP(B49,clasif_filas!$A$1:$J$39,8,FALSE())</f>
        <v>Minerales; electricidad, gas y agua</v>
      </c>
      <c r="J49" s="1" t="n">
        <f aca="false">VLOOKUP(B49,clasif_filas!$A$1:$J$39,9,FALSE())</f>
        <v>3</v>
      </c>
      <c r="K49" s="1" t="str">
        <f aca="false">VLOOKUP(B49,clasif_filas!$A$1:$J$39,10,FALSE())</f>
        <v>No bioeconomía</v>
      </c>
      <c r="L49" s="61"/>
    </row>
    <row r="50" customFormat="false" ht="14.25" hidden="true" customHeight="false" outlineLevel="0" collapsed="false">
      <c r="A50" s="9" t="s">
        <v>1912</v>
      </c>
      <c r="B50" s="1" t="n">
        <v>11</v>
      </c>
      <c r="C50" s="1" t="str">
        <f aca="false">VLOOKUP(B50,clasif_filas!$A$1:$J$39,2,FALSE())</f>
        <v>Minerales, combustibles y derivados</v>
      </c>
      <c r="D50" s="1" t="n">
        <f aca="false">VLOOKUP(B50,clasif_filas!$A$1:$J$39,3,FALSE())</f>
        <v>11</v>
      </c>
      <c r="E50" s="1" t="str">
        <f aca="false">VLOOKUP(B50,clasif_filas!$A$1:$J$39,4,FALSE())</f>
        <v>Minerales, combustibles y derivados</v>
      </c>
      <c r="F50" s="1" t="n">
        <f aca="false">VLOOKUP(B50,clasif_filas!$A$1:$J$39,5,FALSE())</f>
        <v>99</v>
      </c>
      <c r="G50" s="1" t="str">
        <f aca="false">VLOOKUP(B50,clasif_filas!$A$1:$J$39,6,FALSE())</f>
        <v>No Bioeconomía</v>
      </c>
      <c r="H50" s="1" t="n">
        <f aca="false">VLOOKUP(B50,clasif_filas!$A$1:$J$39,7,FALSE())</f>
        <v>1</v>
      </c>
      <c r="I50" s="1" t="str">
        <f aca="false">VLOOKUP(B50,clasif_filas!$A$1:$J$39,8,FALSE())</f>
        <v>Minerales; electricidad, gas y agua</v>
      </c>
      <c r="J50" s="1" t="n">
        <f aca="false">VLOOKUP(B50,clasif_filas!$A$1:$J$39,9,FALSE())</f>
        <v>3</v>
      </c>
      <c r="K50" s="1" t="str">
        <f aca="false">VLOOKUP(B50,clasif_filas!$A$1:$J$39,10,FALSE())</f>
        <v>No bioeconomía</v>
      </c>
      <c r="L50" s="61"/>
    </row>
    <row r="51" customFormat="false" ht="14.25" hidden="true" customHeight="false" outlineLevel="0" collapsed="false">
      <c r="A51" s="9" t="s">
        <v>1914</v>
      </c>
      <c r="B51" s="1" t="n">
        <v>23</v>
      </c>
      <c r="C51" s="1" t="str">
        <f aca="false">VLOOKUP(B51,clasif_filas!$A$1:$J$39,2,FALSE())</f>
        <v>Productos de molienda, productos con almidón o maicena; otros productos de alimenticios</v>
      </c>
      <c r="D51" s="1" t="n">
        <f aca="false">VLOOKUP(B51,clasif_filas!$A$1:$J$39,3,FALSE())</f>
        <v>23</v>
      </c>
      <c r="E51" s="1" t="str">
        <f aca="false">VLOOKUP(B51,clasif_filas!$A$1:$J$39,4,FALSE())</f>
        <v>Productos de molienda, productos con almidón o maicena; otros productos de alimenticios</v>
      </c>
      <c r="F51" s="1" t="n">
        <f aca="false">VLOOKUP(B51,clasif_filas!$A$1:$J$39,5,FALSE())</f>
        <v>6</v>
      </c>
      <c r="G51" s="1" t="str">
        <f aca="false">VLOOKUP(B51,clasif_filas!$A$1:$J$39,6,FALSE())</f>
        <v>Conocimiento, procesos y servicios relacionados</v>
      </c>
      <c r="H51" s="1" t="n">
        <f aca="false">VLOOKUP(B51,clasif_filas!$A$1:$J$39,7,FALSE())</f>
        <v>2</v>
      </c>
      <c r="I51" s="1" t="str">
        <f aca="false">VLOOKUP(B51,clasif_filas!$A$1:$J$39,8,FALSE())</f>
        <v>Productos alimenticios, bebidas y tabaco; textiles, prendas de vestir y productos de cuero</v>
      </c>
      <c r="J51" s="1" t="n">
        <f aca="false">VLOOKUP(B51,clasif_filas!$A$1:$J$39,9,FALSE())</f>
        <v>1</v>
      </c>
      <c r="K51" s="1" t="str">
        <f aca="false">VLOOKUP(B51,clasif_filas!$A$1:$J$39,10,FALSE())</f>
        <v>Bioeconomía</v>
      </c>
      <c r="L51" s="61"/>
    </row>
    <row r="52" customFormat="false" ht="14.25" hidden="true" customHeight="false" outlineLevel="0" collapsed="false">
      <c r="A52" s="9" t="s">
        <v>1917</v>
      </c>
      <c r="B52" s="1" t="n">
        <v>11</v>
      </c>
      <c r="C52" s="1" t="str">
        <f aca="false">VLOOKUP(B52,clasif_filas!$A$1:$J$39,2,FALSE())</f>
        <v>Minerales, combustibles y derivados</v>
      </c>
      <c r="D52" s="1" t="n">
        <f aca="false">VLOOKUP(B52,clasif_filas!$A$1:$J$39,3,FALSE())</f>
        <v>11</v>
      </c>
      <c r="E52" s="1" t="str">
        <f aca="false">VLOOKUP(B52,clasif_filas!$A$1:$J$39,4,FALSE())</f>
        <v>Minerales, combustibles y derivados</v>
      </c>
      <c r="F52" s="1" t="n">
        <f aca="false">VLOOKUP(B52,clasif_filas!$A$1:$J$39,5,FALSE())</f>
        <v>99</v>
      </c>
      <c r="G52" s="1" t="str">
        <f aca="false">VLOOKUP(B52,clasif_filas!$A$1:$J$39,6,FALSE())</f>
        <v>No Bioeconomía</v>
      </c>
      <c r="H52" s="1" t="n">
        <f aca="false">VLOOKUP(B52,clasif_filas!$A$1:$J$39,7,FALSE())</f>
        <v>1</v>
      </c>
      <c r="I52" s="1" t="str">
        <f aca="false">VLOOKUP(B52,clasif_filas!$A$1:$J$39,8,FALSE())</f>
        <v>Minerales; electricidad, gas y agua</v>
      </c>
      <c r="J52" s="1" t="n">
        <f aca="false">VLOOKUP(B52,clasif_filas!$A$1:$J$39,9,FALSE())</f>
        <v>3</v>
      </c>
      <c r="K52" s="1" t="str">
        <f aca="false">VLOOKUP(B52,clasif_filas!$A$1:$J$39,10,FALSE())</f>
        <v>No bioeconomía</v>
      </c>
      <c r="L52" s="61"/>
    </row>
    <row r="53" customFormat="false" ht="14.25" hidden="true" customHeight="false" outlineLevel="0" collapsed="false">
      <c r="A53" s="9" t="s">
        <v>1919</v>
      </c>
      <c r="B53" s="1" t="n">
        <v>23</v>
      </c>
      <c r="C53" s="1" t="str">
        <f aca="false">VLOOKUP(B53,clasif_filas!$A$1:$J$39,2,FALSE())</f>
        <v>Productos de molienda, productos con almidón o maicena; otros productos de alimenticios</v>
      </c>
      <c r="D53" s="1" t="n">
        <f aca="false">VLOOKUP(B53,clasif_filas!$A$1:$J$39,3,FALSE())</f>
        <v>23</v>
      </c>
      <c r="E53" s="1" t="str">
        <f aca="false">VLOOKUP(B53,clasif_filas!$A$1:$J$39,4,FALSE())</f>
        <v>Productos de molienda, productos con almidón o maicena; otros productos de alimenticios</v>
      </c>
      <c r="F53" s="1" t="n">
        <f aca="false">VLOOKUP(B53,clasif_filas!$A$1:$J$39,5,FALSE())</f>
        <v>6</v>
      </c>
      <c r="G53" s="1" t="str">
        <f aca="false">VLOOKUP(B53,clasif_filas!$A$1:$J$39,6,FALSE())</f>
        <v>Conocimiento, procesos y servicios relacionados</v>
      </c>
      <c r="H53" s="1" t="n">
        <f aca="false">VLOOKUP(B53,clasif_filas!$A$1:$J$39,7,FALSE())</f>
        <v>2</v>
      </c>
      <c r="I53" s="1" t="str">
        <f aca="false">VLOOKUP(B53,clasif_filas!$A$1:$J$39,8,FALSE())</f>
        <v>Productos alimenticios, bebidas y tabaco; textiles, prendas de vestir y productos de cuero</v>
      </c>
      <c r="J53" s="1" t="n">
        <f aca="false">VLOOKUP(B53,clasif_filas!$A$1:$J$39,9,FALSE())</f>
        <v>1</v>
      </c>
      <c r="K53" s="1" t="str">
        <f aca="false">VLOOKUP(B53,clasif_filas!$A$1:$J$39,10,FALSE())</f>
        <v>Bioeconomía</v>
      </c>
      <c r="L53" s="61"/>
    </row>
    <row r="54" customFormat="false" ht="14.25" hidden="true" customHeight="false" outlineLevel="0" collapsed="false">
      <c r="A54" s="9" t="s">
        <v>1921</v>
      </c>
      <c r="B54" s="1" t="n">
        <v>342</v>
      </c>
      <c r="C54" s="1" t="str">
        <f aca="false">VLOOKUP(B54,clasif_filas!$A$1:$J$39,2,FALSE())</f>
        <v>Otros químicos, plásticos, caucho y fibras sintéticas</v>
      </c>
      <c r="D54" s="1" t="n">
        <f aca="false">VLOOKUP(B54,clasif_filas!$A$1:$J$39,3,FALSE())</f>
        <v>34</v>
      </c>
      <c r="E54" s="1" t="str">
        <f aca="false">VLOOKUP(B54,clasif_filas!$A$1:$J$39,4,FALSE())</f>
        <v>Químicos básicos</v>
      </c>
      <c r="F54" s="1" t="n">
        <f aca="false">VLOOKUP(B54,clasif_filas!$A$1:$J$39,5,FALSE())</f>
        <v>99</v>
      </c>
      <c r="G54" s="1" t="str">
        <f aca="false">VLOOKUP(B54,clasif_filas!$A$1:$J$39,6,FALSE())</f>
        <v>No Bioeconomía</v>
      </c>
      <c r="H54" s="1" t="n">
        <f aca="false">VLOOKUP(B54,clasif_filas!$A$1:$J$39,7,FALSE())</f>
        <v>3</v>
      </c>
      <c r="I54" s="1" t="str">
        <f aca="false">VLOOKUP(B54,clasif_filas!$A$1:$J$39,8,FALSE())</f>
        <v>Otros bienes transportables, excepto productos metálicos, maquinaria y equipo</v>
      </c>
      <c r="J54" s="1" t="n">
        <f aca="false">VLOOKUP(B54,clasif_filas!$A$1:$J$39,9,FALSE())</f>
        <v>3</v>
      </c>
      <c r="K54" s="1" t="str">
        <f aca="false">VLOOKUP(B54,clasif_filas!$A$1:$J$39,10,FALSE())</f>
        <v>No bioeconomía</v>
      </c>
      <c r="L54" s="61"/>
    </row>
    <row r="55" customFormat="false" ht="14.25" hidden="true" customHeight="false" outlineLevel="0" collapsed="false">
      <c r="A55" s="9" t="s">
        <v>1923</v>
      </c>
      <c r="B55" s="1" t="n">
        <v>346</v>
      </c>
      <c r="C55" s="1" t="str">
        <f aca="false">VLOOKUP(B55,clasif_filas!$A$1:$J$39,2,FALSE())</f>
        <v>Fertilizantes y pesticidas</v>
      </c>
      <c r="D55" s="1" t="n">
        <f aca="false">VLOOKUP(B55,clasif_filas!$A$1:$J$39,3,FALSE())</f>
        <v>34</v>
      </c>
      <c r="E55" s="1" t="str">
        <f aca="false">VLOOKUP(B55,clasif_filas!$A$1:$J$39,4,FALSE())</f>
        <v>Químicos básicos</v>
      </c>
      <c r="F55" s="1" t="n">
        <f aca="false">VLOOKUP(B55,clasif_filas!$A$1:$J$39,5,FALSE())</f>
        <v>6</v>
      </c>
      <c r="G55" s="1" t="str">
        <f aca="false">VLOOKUP(B55,clasif_filas!$A$1:$J$39,6,FALSE())</f>
        <v>Conocimiento, procesos y servicios relacionados</v>
      </c>
      <c r="H55" s="1" t="n">
        <f aca="false">VLOOKUP(B55,clasif_filas!$A$1:$J$39,7,FALSE())</f>
        <v>3</v>
      </c>
      <c r="I55" s="1" t="str">
        <f aca="false">VLOOKUP(B55,clasif_filas!$A$1:$J$39,8,FALSE())</f>
        <v>Otros bienes transportables, excepto productos metálicos, maquinaria y equipo</v>
      </c>
      <c r="J55" s="1" t="n">
        <f aca="false">VLOOKUP(B55,clasif_filas!$A$1:$J$39,9,FALSE())</f>
        <v>2</v>
      </c>
      <c r="K55" s="1" t="str">
        <f aca="false">VLOOKUP(B55,clasif_filas!$A$1:$J$39,10,FALSE())</f>
        <v>Bioeconomía extendida</v>
      </c>
      <c r="L55" s="61"/>
    </row>
    <row r="56" customFormat="false" ht="14.25" hidden="true" customHeight="false" outlineLevel="0" collapsed="false">
      <c r="A56" s="9" t="s">
        <v>1926</v>
      </c>
      <c r="B56" s="1" t="n">
        <v>341</v>
      </c>
      <c r="C56" s="1" t="str">
        <f aca="false">VLOOKUP(B56,clasif_filas!$A$1:$J$39,2,FALSE())</f>
        <v>Químicos orgánicos básicos</v>
      </c>
      <c r="D56" s="1" t="n">
        <f aca="false">VLOOKUP(B56,clasif_filas!$A$1:$J$39,3,FALSE())</f>
        <v>34</v>
      </c>
      <c r="E56" s="1" t="str">
        <f aca="false">VLOOKUP(B56,clasif_filas!$A$1:$J$39,4,FALSE())</f>
        <v>Químicos básicos</v>
      </c>
      <c r="F56" s="1" t="n">
        <f aca="false">VLOOKUP(B56,clasif_filas!$A$1:$J$39,5,FALSE())</f>
        <v>6</v>
      </c>
      <c r="G56" s="1" t="str">
        <f aca="false">VLOOKUP(B56,clasif_filas!$A$1:$J$39,6,FALSE())</f>
        <v>Conocimiento, procesos y servicios relacionados</v>
      </c>
      <c r="H56" s="1" t="n">
        <f aca="false">VLOOKUP(B56,clasif_filas!$A$1:$J$39,7,FALSE())</f>
        <v>3</v>
      </c>
      <c r="I56" s="1" t="str">
        <f aca="false">VLOOKUP(B56,clasif_filas!$A$1:$J$39,8,FALSE())</f>
        <v>Otros bienes transportables, excepto productos metálicos, maquinaria y equipo</v>
      </c>
      <c r="J56" s="1" t="n">
        <f aca="false">VLOOKUP(B56,clasif_filas!$A$1:$J$39,9,FALSE())</f>
        <v>2</v>
      </c>
      <c r="K56" s="1" t="str">
        <f aca="false">VLOOKUP(B56,clasif_filas!$A$1:$J$39,10,FALSE())</f>
        <v>Bioeconomía extendida</v>
      </c>
      <c r="L56" s="61"/>
    </row>
    <row r="57" customFormat="false" ht="14.25" hidden="true" customHeight="false" outlineLevel="0" collapsed="false">
      <c r="A57" s="9" t="s">
        <v>1929</v>
      </c>
      <c r="B57" s="1" t="n">
        <v>342</v>
      </c>
      <c r="C57" s="1" t="str">
        <f aca="false">VLOOKUP(B57,clasif_filas!$A$1:$J$39,2,FALSE())</f>
        <v>Otros químicos, plásticos, caucho y fibras sintéticas</v>
      </c>
      <c r="D57" s="1" t="n">
        <f aca="false">VLOOKUP(B57,clasif_filas!$A$1:$J$39,3,FALSE())</f>
        <v>34</v>
      </c>
      <c r="E57" s="1" t="str">
        <f aca="false">VLOOKUP(B57,clasif_filas!$A$1:$J$39,4,FALSE())</f>
        <v>Químicos básicos</v>
      </c>
      <c r="F57" s="1" t="n">
        <f aca="false">VLOOKUP(B57,clasif_filas!$A$1:$J$39,5,FALSE())</f>
        <v>99</v>
      </c>
      <c r="G57" s="1" t="str">
        <f aca="false">VLOOKUP(B57,clasif_filas!$A$1:$J$39,6,FALSE())</f>
        <v>No Bioeconomía</v>
      </c>
      <c r="H57" s="1" t="n">
        <f aca="false">VLOOKUP(B57,clasif_filas!$A$1:$J$39,7,FALSE())</f>
        <v>3</v>
      </c>
      <c r="I57" s="1" t="str">
        <f aca="false">VLOOKUP(B57,clasif_filas!$A$1:$J$39,8,FALSE())</f>
        <v>Otros bienes transportables, excepto productos metálicos, maquinaria y equipo</v>
      </c>
      <c r="J57" s="1" t="n">
        <f aca="false">VLOOKUP(B57,clasif_filas!$A$1:$J$39,9,FALSE())</f>
        <v>3</v>
      </c>
      <c r="K57" s="1" t="str">
        <f aca="false">VLOOKUP(B57,clasif_filas!$A$1:$J$39,10,FALSE())</f>
        <v>No bioeconomía</v>
      </c>
      <c r="L57" s="61"/>
    </row>
    <row r="58" customFormat="false" ht="14.25" hidden="true" customHeight="false" outlineLevel="0" collapsed="false">
      <c r="A58" s="9" t="s">
        <v>1931</v>
      </c>
      <c r="B58" s="1" t="n">
        <v>346</v>
      </c>
      <c r="C58" s="1" t="str">
        <f aca="false">VLOOKUP(B58,clasif_filas!$A$1:$J$39,2,FALSE())</f>
        <v>Fertilizantes y pesticidas</v>
      </c>
      <c r="D58" s="1" t="n">
        <f aca="false">VLOOKUP(B58,clasif_filas!$A$1:$J$39,3,FALSE())</f>
        <v>34</v>
      </c>
      <c r="E58" s="1" t="str">
        <f aca="false">VLOOKUP(B58,clasif_filas!$A$1:$J$39,4,FALSE())</f>
        <v>Químicos básicos</v>
      </c>
      <c r="F58" s="1" t="n">
        <f aca="false">VLOOKUP(B58,clasif_filas!$A$1:$J$39,5,FALSE())</f>
        <v>6</v>
      </c>
      <c r="G58" s="1" t="str">
        <f aca="false">VLOOKUP(B58,clasif_filas!$A$1:$J$39,6,FALSE())</f>
        <v>Conocimiento, procesos y servicios relacionados</v>
      </c>
      <c r="H58" s="1" t="n">
        <f aca="false">VLOOKUP(B58,clasif_filas!$A$1:$J$39,7,FALSE())</f>
        <v>3</v>
      </c>
      <c r="I58" s="1" t="str">
        <f aca="false">VLOOKUP(B58,clasif_filas!$A$1:$J$39,8,FALSE())</f>
        <v>Otros bienes transportables, excepto productos metálicos, maquinaria y equipo</v>
      </c>
      <c r="J58" s="1" t="n">
        <f aca="false">VLOOKUP(B58,clasif_filas!$A$1:$J$39,9,FALSE())</f>
        <v>2</v>
      </c>
      <c r="K58" s="1" t="str">
        <f aca="false">VLOOKUP(B58,clasif_filas!$A$1:$J$39,10,FALSE())</f>
        <v>Bioeconomía extendida</v>
      </c>
      <c r="L58" s="61"/>
    </row>
    <row r="59" customFormat="false" ht="14.25" hidden="true" customHeight="false" outlineLevel="0" collapsed="false">
      <c r="A59" s="9" t="s">
        <v>1933</v>
      </c>
      <c r="B59" s="1" t="n">
        <v>342</v>
      </c>
      <c r="C59" s="1" t="str">
        <f aca="false">VLOOKUP(B59,clasif_filas!$A$1:$J$39,2,FALSE())</f>
        <v>Otros químicos, plásticos, caucho y fibras sintéticas</v>
      </c>
      <c r="D59" s="1" t="n">
        <f aca="false">VLOOKUP(B59,clasif_filas!$A$1:$J$39,3,FALSE())</f>
        <v>34</v>
      </c>
      <c r="E59" s="1" t="str">
        <f aca="false">VLOOKUP(B59,clasif_filas!$A$1:$J$39,4,FALSE())</f>
        <v>Químicos básicos</v>
      </c>
      <c r="F59" s="1" t="n">
        <f aca="false">VLOOKUP(B59,clasif_filas!$A$1:$J$39,5,FALSE())</f>
        <v>99</v>
      </c>
      <c r="G59" s="1" t="str">
        <f aca="false">VLOOKUP(B59,clasif_filas!$A$1:$J$39,6,FALSE())</f>
        <v>No Bioeconomía</v>
      </c>
      <c r="H59" s="1" t="n">
        <f aca="false">VLOOKUP(B59,clasif_filas!$A$1:$J$39,7,FALSE())</f>
        <v>3</v>
      </c>
      <c r="I59" s="1" t="str">
        <f aca="false">VLOOKUP(B59,clasif_filas!$A$1:$J$39,8,FALSE())</f>
        <v>Otros bienes transportables, excepto productos metálicos, maquinaria y equipo</v>
      </c>
      <c r="J59" s="1" t="n">
        <f aca="false">VLOOKUP(B59,clasif_filas!$A$1:$J$39,9,FALSE())</f>
        <v>3</v>
      </c>
      <c r="K59" s="1" t="str">
        <f aca="false">VLOOKUP(B59,clasif_filas!$A$1:$J$39,10,FALSE())</f>
        <v>No bioeconomía</v>
      </c>
      <c r="L59" s="61"/>
    </row>
    <row r="60" customFormat="false" ht="14.25" hidden="true" customHeight="false" outlineLevel="0" collapsed="false">
      <c r="A60" s="9" t="s">
        <v>1935</v>
      </c>
      <c r="B60" s="1" t="n">
        <v>351</v>
      </c>
      <c r="C60" s="1" t="str">
        <f aca="false">VLOOKUP(B60,clasif_filas!$A$1:$J$39,2,FALSE())</f>
        <v>Pinturas y barnices y productos relacionados; colores para la pintura artística; tinta</v>
      </c>
      <c r="D60" s="1" t="n">
        <f aca="false">VLOOKUP(B60,clasif_filas!$A$1:$J$39,3,FALSE())</f>
        <v>35</v>
      </c>
      <c r="E60" s="1" t="str">
        <f aca="false">VLOOKUP(B60,clasif_filas!$A$1:$J$39,4,FALSE())</f>
        <v>Otros productos químicos; Fibras textiles artificiales o sintéticas</v>
      </c>
      <c r="F60" s="1" t="n">
        <f aca="false">VLOOKUP(B60,clasif_filas!$A$1:$J$39,5,FALSE())</f>
        <v>6</v>
      </c>
      <c r="G60" s="1" t="str">
        <f aca="false">VLOOKUP(B60,clasif_filas!$A$1:$J$39,6,FALSE())</f>
        <v>Conocimiento, procesos y servicios relacionados</v>
      </c>
      <c r="H60" s="1" t="n">
        <f aca="false">VLOOKUP(B60,clasif_filas!$A$1:$J$39,7,FALSE())</f>
        <v>3</v>
      </c>
      <c r="I60" s="1" t="str">
        <f aca="false">VLOOKUP(B60,clasif_filas!$A$1:$J$39,8,FALSE())</f>
        <v>Otros bienes transportables, excepto productos metálicos, maquinaria y equipo</v>
      </c>
      <c r="J60" s="1" t="n">
        <f aca="false">VLOOKUP(B60,clasif_filas!$A$1:$J$39,9,FALSE())</f>
        <v>2</v>
      </c>
      <c r="K60" s="1" t="str">
        <f aca="false">VLOOKUP(B60,clasif_filas!$A$1:$J$39,10,FALSE())</f>
        <v>Bioeconomía extendida</v>
      </c>
      <c r="L60" s="61"/>
    </row>
    <row r="61" customFormat="false" ht="14.25" hidden="true" customHeight="false" outlineLevel="0" collapsed="false">
      <c r="A61" s="9" t="s">
        <v>1937</v>
      </c>
      <c r="B61" s="1" t="n">
        <v>353</v>
      </c>
      <c r="C61" s="1" t="str">
        <f aca="false">VLOOKUP(B61,clasif_filas!$A$1:$J$39,2,FALSE())</f>
        <v>Jabón, preparados para la limpieza, perfumes y preparados de tocador</v>
      </c>
      <c r="D61" s="1" t="n">
        <f aca="false">VLOOKUP(B61,clasif_filas!$A$1:$J$39,3,FALSE())</f>
        <v>35</v>
      </c>
      <c r="E61" s="1" t="str">
        <f aca="false">VLOOKUP(B61,clasif_filas!$A$1:$J$39,4,FALSE())</f>
        <v>Otros productos químicos; Fibras textiles artificiales o sintéticas</v>
      </c>
      <c r="F61" s="1" t="n">
        <f aca="false">VLOOKUP(B61,clasif_filas!$A$1:$J$39,5,FALSE())</f>
        <v>6</v>
      </c>
      <c r="G61" s="1" t="str">
        <f aca="false">VLOOKUP(B61,clasif_filas!$A$1:$J$39,6,FALSE())</f>
        <v>Conocimiento, procesos y servicios relacionados</v>
      </c>
      <c r="H61" s="1" t="n">
        <f aca="false">VLOOKUP(B61,clasif_filas!$A$1:$J$39,7,FALSE())</f>
        <v>3</v>
      </c>
      <c r="I61" s="1" t="str">
        <f aca="false">VLOOKUP(B61,clasif_filas!$A$1:$J$39,8,FALSE())</f>
        <v>Otros bienes transportables, excepto productos metálicos, maquinaria y equipo</v>
      </c>
      <c r="J61" s="1" t="n">
        <f aca="false">VLOOKUP(B61,clasif_filas!$A$1:$J$39,9,FALSE())</f>
        <v>2</v>
      </c>
      <c r="K61" s="1" t="str">
        <f aca="false">VLOOKUP(B61,clasif_filas!$A$1:$J$39,10,FALSE())</f>
        <v>Bioeconomía extendida</v>
      </c>
      <c r="L61" s="61"/>
    </row>
    <row r="62" customFormat="false" ht="14.25" hidden="true" customHeight="false" outlineLevel="0" collapsed="false">
      <c r="A62" s="9" t="s">
        <v>1940</v>
      </c>
      <c r="B62" s="1" t="n">
        <v>352</v>
      </c>
      <c r="C62" s="1" t="str">
        <f aca="false">VLOOKUP(B62,clasif_filas!$A$1:$J$39,2,FALSE())</f>
        <v>Productos farmacéuticos</v>
      </c>
      <c r="D62" s="1" t="n">
        <f aca="false">VLOOKUP(B62,clasif_filas!$A$1:$J$39,3,FALSE())</f>
        <v>35</v>
      </c>
      <c r="E62" s="1" t="str">
        <f aca="false">VLOOKUP(B62,clasif_filas!$A$1:$J$39,4,FALSE())</f>
        <v>Otros productos químicos; Fibras textiles artificiales o sintéticas</v>
      </c>
      <c r="F62" s="1" t="n">
        <f aca="false">VLOOKUP(B62,clasif_filas!$A$1:$J$39,5,FALSE())</f>
        <v>6</v>
      </c>
      <c r="G62" s="1" t="str">
        <f aca="false">VLOOKUP(B62,clasif_filas!$A$1:$J$39,6,FALSE())</f>
        <v>Conocimiento, procesos y servicios relacionados</v>
      </c>
      <c r="H62" s="1" t="n">
        <f aca="false">VLOOKUP(B62,clasif_filas!$A$1:$J$39,7,FALSE())</f>
        <v>3</v>
      </c>
      <c r="I62" s="1" t="str">
        <f aca="false">VLOOKUP(B62,clasif_filas!$A$1:$J$39,8,FALSE())</f>
        <v>Otros bienes transportables, excepto productos metálicos, maquinaria y equipo</v>
      </c>
      <c r="J62" s="1" t="n">
        <f aca="false">VLOOKUP(B62,clasif_filas!$A$1:$J$39,9,FALSE())</f>
        <v>2</v>
      </c>
      <c r="K62" s="1" t="str">
        <f aca="false">VLOOKUP(B62,clasif_filas!$A$1:$J$39,10,FALSE())</f>
        <v>Bioeconomía extendida</v>
      </c>
      <c r="L62" s="61"/>
    </row>
    <row r="63" customFormat="false" ht="14.25" hidden="true" customHeight="false" outlineLevel="0" collapsed="false">
      <c r="A63" s="9" t="s">
        <v>1943</v>
      </c>
      <c r="B63" s="1" t="n">
        <v>342</v>
      </c>
      <c r="C63" s="1" t="str">
        <f aca="false">VLOOKUP(B63,clasif_filas!$A$1:$J$39,2,FALSE())</f>
        <v>Otros químicos, plásticos, caucho y fibras sintéticas</v>
      </c>
      <c r="D63" s="1" t="n">
        <f aca="false">VLOOKUP(B63,clasif_filas!$A$1:$J$39,3,FALSE())</f>
        <v>34</v>
      </c>
      <c r="E63" s="1" t="str">
        <f aca="false">VLOOKUP(B63,clasif_filas!$A$1:$J$39,4,FALSE())</f>
        <v>Químicos básicos</v>
      </c>
      <c r="F63" s="1" t="n">
        <f aca="false">VLOOKUP(B63,clasif_filas!$A$1:$J$39,5,FALSE())</f>
        <v>99</v>
      </c>
      <c r="G63" s="1" t="str">
        <f aca="false">VLOOKUP(B63,clasif_filas!$A$1:$J$39,6,FALSE())</f>
        <v>No Bioeconomía</v>
      </c>
      <c r="H63" s="1" t="n">
        <f aca="false">VLOOKUP(B63,clasif_filas!$A$1:$J$39,7,FALSE())</f>
        <v>3</v>
      </c>
      <c r="I63" s="1" t="str">
        <f aca="false">VLOOKUP(B63,clasif_filas!$A$1:$J$39,8,FALSE())</f>
        <v>Otros bienes transportables, excepto productos metálicos, maquinaria y equipo</v>
      </c>
      <c r="J63" s="1" t="n">
        <f aca="false">VLOOKUP(B63,clasif_filas!$A$1:$J$39,9,FALSE())</f>
        <v>3</v>
      </c>
      <c r="K63" s="1" t="str">
        <f aca="false">VLOOKUP(B63,clasif_filas!$A$1:$J$39,10,FALSE())</f>
        <v>No bioeconomía</v>
      </c>
      <c r="L63" s="61"/>
    </row>
    <row r="64" customFormat="false" ht="14.25" hidden="true" customHeight="false" outlineLevel="0" collapsed="false">
      <c r="A64" s="9" t="s">
        <v>1945</v>
      </c>
      <c r="B64" s="1" t="n">
        <v>342</v>
      </c>
      <c r="C64" s="1" t="str">
        <f aca="false">VLOOKUP(B64,clasif_filas!$A$1:$J$39,2,FALSE())</f>
        <v>Otros químicos, plásticos, caucho y fibras sintéticas</v>
      </c>
      <c r="D64" s="1" t="n">
        <f aca="false">VLOOKUP(B64,clasif_filas!$A$1:$J$39,3,FALSE())</f>
        <v>34</v>
      </c>
      <c r="E64" s="1" t="str">
        <f aca="false">VLOOKUP(B64,clasif_filas!$A$1:$J$39,4,FALSE())</f>
        <v>Químicos básicos</v>
      </c>
      <c r="F64" s="1" t="n">
        <f aca="false">VLOOKUP(B64,clasif_filas!$A$1:$J$39,5,FALSE())</f>
        <v>99</v>
      </c>
      <c r="G64" s="1" t="str">
        <f aca="false">VLOOKUP(B64,clasif_filas!$A$1:$J$39,6,FALSE())</f>
        <v>No Bioeconomía</v>
      </c>
      <c r="H64" s="1" t="n">
        <f aca="false">VLOOKUP(B64,clasif_filas!$A$1:$J$39,7,FALSE())</f>
        <v>3</v>
      </c>
      <c r="I64" s="1" t="str">
        <f aca="false">VLOOKUP(B64,clasif_filas!$A$1:$J$39,8,FALSE())</f>
        <v>Otros bienes transportables, excepto productos metálicos, maquinaria y equipo</v>
      </c>
      <c r="J64" s="1" t="n">
        <f aca="false">VLOOKUP(B64,clasif_filas!$A$1:$J$39,9,FALSE())</f>
        <v>3</v>
      </c>
      <c r="K64" s="1" t="str">
        <f aca="false">VLOOKUP(B64,clasif_filas!$A$1:$J$39,10,FALSE())</f>
        <v>No bioeconomía</v>
      </c>
      <c r="L64" s="61"/>
    </row>
    <row r="65" customFormat="false" ht="14.25" hidden="true" customHeight="false" outlineLevel="0" collapsed="false">
      <c r="A65" s="9" t="s">
        <v>1947</v>
      </c>
      <c r="B65" s="1" t="n">
        <v>37</v>
      </c>
      <c r="C65" s="1" t="str">
        <f aca="false">VLOOKUP(B65,clasif_filas!$A$1:$J$39,2,FALSE())</f>
        <v>Vidrios y productos de vidrio y otros productos no metálicos n.c.p.</v>
      </c>
      <c r="D65" s="1" t="n">
        <f aca="false">VLOOKUP(B65,clasif_filas!$A$1:$J$39,3,FALSE())</f>
        <v>37</v>
      </c>
      <c r="E65" s="1" t="str">
        <f aca="false">VLOOKUP(B65,clasif_filas!$A$1:$J$39,4,FALSE())</f>
        <v>Vidrios y productos de vidrio y otros productos no metálicos n.c.p.</v>
      </c>
      <c r="F65" s="1" t="n">
        <f aca="false">VLOOKUP(B65,clasif_filas!$A$1:$J$39,5,FALSE())</f>
        <v>99</v>
      </c>
      <c r="G65" s="1" t="str">
        <f aca="false">VLOOKUP(B65,clasif_filas!$A$1:$J$39,6,FALSE())</f>
        <v>No Bioeconomía</v>
      </c>
      <c r="H65" s="1" t="n">
        <f aca="false">VLOOKUP(B65,clasif_filas!$A$1:$J$39,7,FALSE())</f>
        <v>3</v>
      </c>
      <c r="I65" s="1" t="str">
        <f aca="false">VLOOKUP(B65,clasif_filas!$A$1:$J$39,8,FALSE())</f>
        <v>Otros bienes transportables, excepto productos metálicos, maquinaria y equipo</v>
      </c>
      <c r="J65" s="1" t="n">
        <f aca="false">VLOOKUP(B65,clasif_filas!$A$1:$J$39,9,FALSE())</f>
        <v>3</v>
      </c>
      <c r="K65" s="1" t="str">
        <f aca="false">VLOOKUP(B65,clasif_filas!$A$1:$J$39,10,FALSE())</f>
        <v>No bioeconomía</v>
      </c>
      <c r="L65" s="61"/>
    </row>
    <row r="66" customFormat="false" ht="14.25" hidden="true" customHeight="false" outlineLevel="0" collapsed="false">
      <c r="A66" s="9" t="s">
        <v>1949</v>
      </c>
      <c r="B66" s="1" t="n">
        <v>37</v>
      </c>
      <c r="C66" s="1" t="str">
        <f aca="false">VLOOKUP(B66,clasif_filas!$A$1:$J$39,2,FALSE())</f>
        <v>Vidrios y productos de vidrio y otros productos no metálicos n.c.p.</v>
      </c>
      <c r="D66" s="1" t="n">
        <f aca="false">VLOOKUP(B66,clasif_filas!$A$1:$J$39,3,FALSE())</f>
        <v>37</v>
      </c>
      <c r="E66" s="1" t="str">
        <f aca="false">VLOOKUP(B66,clasif_filas!$A$1:$J$39,4,FALSE())</f>
        <v>Vidrios y productos de vidrio y otros productos no metálicos n.c.p.</v>
      </c>
      <c r="F66" s="1" t="n">
        <f aca="false">VLOOKUP(B66,clasif_filas!$A$1:$J$39,5,FALSE())</f>
        <v>99</v>
      </c>
      <c r="G66" s="1" t="str">
        <f aca="false">VLOOKUP(B66,clasif_filas!$A$1:$J$39,6,FALSE())</f>
        <v>No Bioeconomía</v>
      </c>
      <c r="H66" s="1" t="n">
        <f aca="false">VLOOKUP(B66,clasif_filas!$A$1:$J$39,7,FALSE())</f>
        <v>3</v>
      </c>
      <c r="I66" s="1" t="str">
        <f aca="false">VLOOKUP(B66,clasif_filas!$A$1:$J$39,8,FALSE())</f>
        <v>Otros bienes transportables, excepto productos metálicos, maquinaria y equipo</v>
      </c>
      <c r="J66" s="1" t="n">
        <f aca="false">VLOOKUP(B66,clasif_filas!$A$1:$J$39,9,FALSE())</f>
        <v>3</v>
      </c>
      <c r="K66" s="1" t="str">
        <f aca="false">VLOOKUP(B66,clasif_filas!$A$1:$J$39,10,FALSE())</f>
        <v>No bioeconomía</v>
      </c>
      <c r="L66" s="61"/>
    </row>
    <row r="67" customFormat="false" ht="14.25" hidden="true" customHeight="false" outlineLevel="0" collapsed="false">
      <c r="A67" s="9" t="s">
        <v>1951</v>
      </c>
      <c r="B67" s="1" t="n">
        <v>37</v>
      </c>
      <c r="C67" s="1" t="str">
        <f aca="false">VLOOKUP(B67,clasif_filas!$A$1:$J$39,2,FALSE())</f>
        <v>Vidrios y productos de vidrio y otros productos no metálicos n.c.p.</v>
      </c>
      <c r="D67" s="1" t="n">
        <f aca="false">VLOOKUP(B67,clasif_filas!$A$1:$J$39,3,FALSE())</f>
        <v>37</v>
      </c>
      <c r="E67" s="1" t="str">
        <f aca="false">VLOOKUP(B67,clasif_filas!$A$1:$J$39,4,FALSE())</f>
        <v>Vidrios y productos de vidrio y otros productos no metálicos n.c.p.</v>
      </c>
      <c r="F67" s="1" t="n">
        <f aca="false">VLOOKUP(B67,clasif_filas!$A$1:$J$39,5,FALSE())</f>
        <v>99</v>
      </c>
      <c r="G67" s="1" t="str">
        <f aca="false">VLOOKUP(B67,clasif_filas!$A$1:$J$39,6,FALSE())</f>
        <v>No Bioeconomía</v>
      </c>
      <c r="H67" s="1" t="n">
        <f aca="false">VLOOKUP(B67,clasif_filas!$A$1:$J$39,7,FALSE())</f>
        <v>3</v>
      </c>
      <c r="I67" s="1" t="str">
        <f aca="false">VLOOKUP(B67,clasif_filas!$A$1:$J$39,8,FALSE())</f>
        <v>Otros bienes transportables, excepto productos metálicos, maquinaria y equipo</v>
      </c>
      <c r="J67" s="1" t="n">
        <f aca="false">VLOOKUP(B67,clasif_filas!$A$1:$J$39,9,FALSE())</f>
        <v>3</v>
      </c>
      <c r="K67" s="1" t="str">
        <f aca="false">VLOOKUP(B67,clasif_filas!$A$1:$J$39,10,FALSE())</f>
        <v>No bioeconomía</v>
      </c>
      <c r="L67" s="61"/>
    </row>
    <row r="68" customFormat="false" ht="14.25" hidden="true" customHeight="false" outlineLevel="0" collapsed="false">
      <c r="A68" s="9" t="s">
        <v>1953</v>
      </c>
      <c r="B68" s="1" t="n">
        <v>37</v>
      </c>
      <c r="C68" s="1" t="str">
        <f aca="false">VLOOKUP(B68,clasif_filas!$A$1:$J$39,2,FALSE())</f>
        <v>Vidrios y productos de vidrio y otros productos no metálicos n.c.p.</v>
      </c>
      <c r="D68" s="1" t="n">
        <f aca="false">VLOOKUP(B68,clasif_filas!$A$1:$J$39,3,FALSE())</f>
        <v>37</v>
      </c>
      <c r="E68" s="1" t="str">
        <f aca="false">VLOOKUP(B68,clasif_filas!$A$1:$J$39,4,FALSE())</f>
        <v>Vidrios y productos de vidrio y otros productos no metálicos n.c.p.</v>
      </c>
      <c r="F68" s="1" t="n">
        <f aca="false">VLOOKUP(B68,clasif_filas!$A$1:$J$39,5,FALSE())</f>
        <v>99</v>
      </c>
      <c r="G68" s="1" t="str">
        <f aca="false">VLOOKUP(B68,clasif_filas!$A$1:$J$39,6,FALSE())</f>
        <v>No Bioeconomía</v>
      </c>
      <c r="H68" s="1" t="n">
        <f aca="false">VLOOKUP(B68,clasif_filas!$A$1:$J$39,7,FALSE())</f>
        <v>3</v>
      </c>
      <c r="I68" s="1" t="str">
        <f aca="false">VLOOKUP(B68,clasif_filas!$A$1:$J$39,8,FALSE())</f>
        <v>Otros bienes transportables, excepto productos metálicos, maquinaria y equipo</v>
      </c>
      <c r="J68" s="1" t="n">
        <f aca="false">VLOOKUP(B68,clasif_filas!$A$1:$J$39,9,FALSE())</f>
        <v>3</v>
      </c>
      <c r="K68" s="1" t="str">
        <f aca="false">VLOOKUP(B68,clasif_filas!$A$1:$J$39,10,FALSE())</f>
        <v>No bioeconomía</v>
      </c>
      <c r="L68" s="61"/>
    </row>
    <row r="69" customFormat="false" ht="14.25" hidden="true" customHeight="false" outlineLevel="0" collapsed="false">
      <c r="A69" s="9" t="s">
        <v>1955</v>
      </c>
      <c r="B69" s="1" t="n">
        <v>38</v>
      </c>
      <c r="C69" s="1" t="str">
        <f aca="false">VLOOKUP(B69,clasif_filas!$A$1:$J$39,2,FALSE())</f>
        <v>Muebles; otros bienes transportables n.c.p.</v>
      </c>
      <c r="D69" s="1" t="n">
        <f aca="false">VLOOKUP(B69,clasif_filas!$A$1:$J$39,3,FALSE())</f>
        <v>38</v>
      </c>
      <c r="E69" s="1" t="str">
        <f aca="false">VLOOKUP(B69,clasif_filas!$A$1:$J$39,4,FALSE())</f>
        <v>Muebles; otros bienes transportables n.c.p.</v>
      </c>
      <c r="F69" s="1" t="n">
        <f aca="false">VLOOKUP(B69,clasif_filas!$A$1:$J$39,5,FALSE())</f>
        <v>99</v>
      </c>
      <c r="G69" s="1" t="str">
        <f aca="false">VLOOKUP(B69,clasif_filas!$A$1:$J$39,6,FALSE())</f>
        <v>No Bioeconomía</v>
      </c>
      <c r="H69" s="1" t="n">
        <f aca="false">VLOOKUP(B69,clasif_filas!$A$1:$J$39,7,FALSE())</f>
        <v>3</v>
      </c>
      <c r="I69" s="1" t="str">
        <f aca="false">VLOOKUP(B69,clasif_filas!$A$1:$J$39,8,FALSE())</f>
        <v>Otros bienes transportables, excepto productos metálicos, maquinaria y equipo</v>
      </c>
      <c r="J69" s="1" t="n">
        <f aca="false">VLOOKUP(B69,clasif_filas!$A$1:$J$39,9,FALSE())</f>
        <v>3</v>
      </c>
      <c r="K69" s="1" t="str">
        <f aca="false">VLOOKUP(B69,clasif_filas!$A$1:$J$39,10,FALSE())</f>
        <v>No bioeconomía</v>
      </c>
      <c r="L69" s="61"/>
    </row>
    <row r="70" customFormat="false" ht="14.25" hidden="true" customHeight="false" outlineLevel="0" collapsed="false">
      <c r="A70" s="9" t="s">
        <v>1957</v>
      </c>
      <c r="B70" s="62" t="s">
        <v>1958</v>
      </c>
      <c r="C70" s="1" t="str">
        <f aca="false">VLOOKUP(B70,clasif_filas!$A$1:$J$39,2,FALSE())</f>
        <v>Metales, Maquianria, equipos y transporte</v>
      </c>
      <c r="D70" s="1" t="str">
        <f aca="false">VLOOKUP(B70,clasif_filas!$A$1:$J$39,3,FALSE())</f>
        <v>41-49</v>
      </c>
      <c r="E70" s="1" t="str">
        <f aca="false">VLOOKUP(B70,clasif_filas!$A$1:$J$39,4,FALSE())</f>
        <v>Metales, Maquianria, equipos y transporte</v>
      </c>
      <c r="F70" s="1" t="n">
        <f aca="false">VLOOKUP(B70,clasif_filas!$A$1:$J$39,5,FALSE())</f>
        <v>99</v>
      </c>
      <c r="G70" s="1" t="str">
        <f aca="false">VLOOKUP(B70,clasif_filas!$A$1:$J$39,6,FALSE())</f>
        <v>No Bioeconomía</v>
      </c>
      <c r="H70" s="1" t="n">
        <f aca="false">VLOOKUP(B70,clasif_filas!$A$1:$J$39,7,FALSE())</f>
        <v>4</v>
      </c>
      <c r="I70" s="1" t="str">
        <f aca="false">VLOOKUP(B70,clasif_filas!$A$1:$J$39,8,FALSE())</f>
        <v>Productos metálicos, maquinaria y equipo</v>
      </c>
      <c r="J70" s="1" t="n">
        <f aca="false">VLOOKUP(B70,clasif_filas!$A$1:$J$39,9,FALSE())</f>
        <v>3</v>
      </c>
      <c r="K70" s="1" t="str">
        <f aca="false">VLOOKUP(B70,clasif_filas!$A$1:$J$39,10,FALSE())</f>
        <v>No bioeconomía</v>
      </c>
      <c r="L70" s="61"/>
    </row>
    <row r="71" customFormat="false" ht="14.25" hidden="true" customHeight="false" outlineLevel="0" collapsed="false">
      <c r="A71" s="9" t="s">
        <v>1960</v>
      </c>
      <c r="B71" s="62" t="s">
        <v>1958</v>
      </c>
      <c r="C71" s="1" t="str">
        <f aca="false">VLOOKUP(B71,clasif_filas!$A$1:$J$39,2,FALSE())</f>
        <v>Metales, Maquianria, equipos y transporte</v>
      </c>
      <c r="D71" s="1" t="str">
        <f aca="false">VLOOKUP(B71,clasif_filas!$A$1:$J$39,3,FALSE())</f>
        <v>41-49</v>
      </c>
      <c r="E71" s="1" t="str">
        <f aca="false">VLOOKUP(B71,clasif_filas!$A$1:$J$39,4,FALSE())</f>
        <v>Metales, Maquianria, equipos y transporte</v>
      </c>
      <c r="F71" s="1" t="n">
        <f aca="false">VLOOKUP(B71,clasif_filas!$A$1:$J$39,5,FALSE())</f>
        <v>99</v>
      </c>
      <c r="G71" s="1" t="str">
        <f aca="false">VLOOKUP(B71,clasif_filas!$A$1:$J$39,6,FALSE())</f>
        <v>No Bioeconomía</v>
      </c>
      <c r="H71" s="1" t="n">
        <f aca="false">VLOOKUP(B71,clasif_filas!$A$1:$J$39,7,FALSE())</f>
        <v>4</v>
      </c>
      <c r="I71" s="1" t="str">
        <f aca="false">VLOOKUP(B71,clasif_filas!$A$1:$J$39,8,FALSE())</f>
        <v>Productos metálicos, maquinaria y equipo</v>
      </c>
      <c r="J71" s="1" t="n">
        <f aca="false">VLOOKUP(B71,clasif_filas!$A$1:$J$39,9,FALSE())</f>
        <v>3</v>
      </c>
      <c r="K71" s="1" t="str">
        <f aca="false">VLOOKUP(B71,clasif_filas!$A$1:$J$39,10,FALSE())</f>
        <v>No bioeconomía</v>
      </c>
      <c r="L71" s="61"/>
    </row>
    <row r="72" customFormat="false" ht="14.25" hidden="true" customHeight="false" outlineLevel="0" collapsed="false">
      <c r="A72" s="9" t="s">
        <v>1962</v>
      </c>
      <c r="B72" s="62" t="s">
        <v>1958</v>
      </c>
      <c r="C72" s="1" t="str">
        <f aca="false">VLOOKUP(B72,clasif_filas!$A$1:$J$39,2,FALSE())</f>
        <v>Metales, Maquianria, equipos y transporte</v>
      </c>
      <c r="D72" s="1" t="str">
        <f aca="false">VLOOKUP(B72,clasif_filas!$A$1:$J$39,3,FALSE())</f>
        <v>41-49</v>
      </c>
      <c r="E72" s="1" t="str">
        <f aca="false">VLOOKUP(B72,clasif_filas!$A$1:$J$39,4,FALSE())</f>
        <v>Metales, Maquianria, equipos y transporte</v>
      </c>
      <c r="F72" s="1" t="n">
        <f aca="false">VLOOKUP(B72,clasif_filas!$A$1:$J$39,5,FALSE())</f>
        <v>99</v>
      </c>
      <c r="G72" s="1" t="str">
        <f aca="false">VLOOKUP(B72,clasif_filas!$A$1:$J$39,6,FALSE())</f>
        <v>No Bioeconomía</v>
      </c>
      <c r="H72" s="1" t="n">
        <f aca="false">VLOOKUP(B72,clasif_filas!$A$1:$J$39,7,FALSE())</f>
        <v>4</v>
      </c>
      <c r="I72" s="1" t="str">
        <f aca="false">VLOOKUP(B72,clasif_filas!$A$1:$J$39,8,FALSE())</f>
        <v>Productos metálicos, maquinaria y equipo</v>
      </c>
      <c r="J72" s="1" t="n">
        <f aca="false">VLOOKUP(B72,clasif_filas!$A$1:$J$39,9,FALSE())</f>
        <v>3</v>
      </c>
      <c r="K72" s="1" t="str">
        <f aca="false">VLOOKUP(B72,clasif_filas!$A$1:$J$39,10,FALSE())</f>
        <v>No bioeconomía</v>
      </c>
      <c r="L72" s="61"/>
    </row>
    <row r="73" customFormat="false" ht="14.25" hidden="true" customHeight="false" outlineLevel="0" collapsed="false">
      <c r="A73" s="9" t="s">
        <v>1964</v>
      </c>
      <c r="B73" s="62" t="s">
        <v>1958</v>
      </c>
      <c r="C73" s="1" t="str">
        <f aca="false">VLOOKUP(B73,clasif_filas!$A$1:$J$39,2,FALSE())</f>
        <v>Metales, Maquianria, equipos y transporte</v>
      </c>
      <c r="D73" s="1" t="str">
        <f aca="false">VLOOKUP(B73,clasif_filas!$A$1:$J$39,3,FALSE())</f>
        <v>41-49</v>
      </c>
      <c r="E73" s="1" t="str">
        <f aca="false">VLOOKUP(B73,clasif_filas!$A$1:$J$39,4,FALSE())</f>
        <v>Metales, Maquianria, equipos y transporte</v>
      </c>
      <c r="F73" s="1" t="n">
        <f aca="false">VLOOKUP(B73,clasif_filas!$A$1:$J$39,5,FALSE())</f>
        <v>99</v>
      </c>
      <c r="G73" s="1" t="str">
        <f aca="false">VLOOKUP(B73,clasif_filas!$A$1:$J$39,6,FALSE())</f>
        <v>No Bioeconomía</v>
      </c>
      <c r="H73" s="1" t="n">
        <f aca="false">VLOOKUP(B73,clasif_filas!$A$1:$J$39,7,FALSE())</f>
        <v>4</v>
      </c>
      <c r="I73" s="1" t="str">
        <f aca="false">VLOOKUP(B73,clasif_filas!$A$1:$J$39,8,FALSE())</f>
        <v>Productos metálicos, maquinaria y equipo</v>
      </c>
      <c r="J73" s="1" t="n">
        <f aca="false">VLOOKUP(B73,clasif_filas!$A$1:$J$39,9,FALSE())</f>
        <v>3</v>
      </c>
      <c r="K73" s="1" t="str">
        <f aca="false">VLOOKUP(B73,clasif_filas!$A$1:$J$39,10,FALSE())</f>
        <v>No bioeconomía</v>
      </c>
      <c r="L73" s="61"/>
    </row>
    <row r="74" customFormat="false" ht="14.25" hidden="true" customHeight="false" outlineLevel="0" collapsed="false">
      <c r="A74" s="9" t="s">
        <v>1966</v>
      </c>
      <c r="B74" s="62" t="s">
        <v>1958</v>
      </c>
      <c r="C74" s="1" t="str">
        <f aca="false">VLOOKUP(B74,clasif_filas!$A$1:$J$39,2,FALSE())</f>
        <v>Metales, Maquianria, equipos y transporte</v>
      </c>
      <c r="D74" s="1" t="str">
        <f aca="false">VLOOKUP(B74,clasif_filas!$A$1:$J$39,3,FALSE())</f>
        <v>41-49</v>
      </c>
      <c r="E74" s="1" t="str">
        <f aca="false">VLOOKUP(B74,clasif_filas!$A$1:$J$39,4,FALSE())</f>
        <v>Metales, Maquianria, equipos y transporte</v>
      </c>
      <c r="F74" s="1" t="n">
        <f aca="false">VLOOKUP(B74,clasif_filas!$A$1:$J$39,5,FALSE())</f>
        <v>99</v>
      </c>
      <c r="G74" s="1" t="str">
        <f aca="false">VLOOKUP(B74,clasif_filas!$A$1:$J$39,6,FALSE())</f>
        <v>No Bioeconomía</v>
      </c>
      <c r="H74" s="1" t="n">
        <f aca="false">VLOOKUP(B74,clasif_filas!$A$1:$J$39,7,FALSE())</f>
        <v>4</v>
      </c>
      <c r="I74" s="1" t="str">
        <f aca="false">VLOOKUP(B74,clasif_filas!$A$1:$J$39,8,FALSE())</f>
        <v>Productos metálicos, maquinaria y equipo</v>
      </c>
      <c r="J74" s="1" t="n">
        <f aca="false">VLOOKUP(B74,clasif_filas!$A$1:$J$39,9,FALSE())</f>
        <v>3</v>
      </c>
      <c r="K74" s="1" t="str">
        <f aca="false">VLOOKUP(B74,clasif_filas!$A$1:$J$39,10,FALSE())</f>
        <v>No bioeconomía</v>
      </c>
      <c r="L74" s="61"/>
    </row>
    <row r="75" customFormat="false" ht="14.25" hidden="true" customHeight="false" outlineLevel="0" collapsed="false">
      <c r="A75" s="9" t="s">
        <v>1968</v>
      </c>
      <c r="B75" s="62" t="s">
        <v>1958</v>
      </c>
      <c r="C75" s="1" t="str">
        <f aca="false">VLOOKUP(B75,clasif_filas!$A$1:$J$39,2,FALSE())</f>
        <v>Metales, Maquianria, equipos y transporte</v>
      </c>
      <c r="D75" s="1" t="str">
        <f aca="false">VLOOKUP(B75,clasif_filas!$A$1:$J$39,3,FALSE())</f>
        <v>41-49</v>
      </c>
      <c r="E75" s="1" t="str">
        <f aca="false">VLOOKUP(B75,clasif_filas!$A$1:$J$39,4,FALSE())</f>
        <v>Metales, Maquianria, equipos y transporte</v>
      </c>
      <c r="F75" s="1" t="n">
        <f aca="false">VLOOKUP(B75,clasif_filas!$A$1:$J$39,5,FALSE())</f>
        <v>99</v>
      </c>
      <c r="G75" s="1" t="str">
        <f aca="false">VLOOKUP(B75,clasif_filas!$A$1:$J$39,6,FALSE())</f>
        <v>No Bioeconomía</v>
      </c>
      <c r="H75" s="1" t="n">
        <f aca="false">VLOOKUP(B75,clasif_filas!$A$1:$J$39,7,FALSE())</f>
        <v>4</v>
      </c>
      <c r="I75" s="1" t="str">
        <f aca="false">VLOOKUP(B75,clasif_filas!$A$1:$J$39,8,FALSE())</f>
        <v>Productos metálicos, maquinaria y equipo</v>
      </c>
      <c r="J75" s="1" t="n">
        <f aca="false">VLOOKUP(B75,clasif_filas!$A$1:$J$39,9,FALSE())</f>
        <v>3</v>
      </c>
      <c r="K75" s="1" t="str">
        <f aca="false">VLOOKUP(B75,clasif_filas!$A$1:$J$39,10,FALSE())</f>
        <v>No bioeconomía</v>
      </c>
      <c r="L75" s="61"/>
    </row>
    <row r="76" customFormat="false" ht="14.25" hidden="true" customHeight="false" outlineLevel="0" collapsed="false">
      <c r="A76" s="9" t="s">
        <v>1970</v>
      </c>
      <c r="B76" s="62" t="s">
        <v>1958</v>
      </c>
      <c r="C76" s="1" t="str">
        <f aca="false">VLOOKUP(B76,clasif_filas!$A$1:$J$39,2,FALSE())</f>
        <v>Metales, Maquianria, equipos y transporte</v>
      </c>
      <c r="D76" s="1" t="str">
        <f aca="false">VLOOKUP(B76,clasif_filas!$A$1:$J$39,3,FALSE())</f>
        <v>41-49</v>
      </c>
      <c r="E76" s="1" t="str">
        <f aca="false">VLOOKUP(B76,clasif_filas!$A$1:$J$39,4,FALSE())</f>
        <v>Metales, Maquianria, equipos y transporte</v>
      </c>
      <c r="F76" s="1" t="n">
        <f aca="false">VLOOKUP(B76,clasif_filas!$A$1:$J$39,5,FALSE())</f>
        <v>99</v>
      </c>
      <c r="G76" s="1" t="str">
        <f aca="false">VLOOKUP(B76,clasif_filas!$A$1:$J$39,6,FALSE())</f>
        <v>No Bioeconomía</v>
      </c>
      <c r="H76" s="1" t="n">
        <f aca="false">VLOOKUP(B76,clasif_filas!$A$1:$J$39,7,FALSE())</f>
        <v>4</v>
      </c>
      <c r="I76" s="1" t="str">
        <f aca="false">VLOOKUP(B76,clasif_filas!$A$1:$J$39,8,FALSE())</f>
        <v>Productos metálicos, maquinaria y equipo</v>
      </c>
      <c r="J76" s="1" t="n">
        <f aca="false">VLOOKUP(B76,clasif_filas!$A$1:$J$39,9,FALSE())</f>
        <v>3</v>
      </c>
      <c r="K76" s="1" t="str">
        <f aca="false">VLOOKUP(B76,clasif_filas!$A$1:$J$39,10,FALSE())</f>
        <v>No bioeconomía</v>
      </c>
      <c r="L76" s="61"/>
    </row>
    <row r="77" customFormat="false" ht="14.25" hidden="true" customHeight="false" outlineLevel="0" collapsed="false">
      <c r="A77" s="9" t="s">
        <v>1972</v>
      </c>
      <c r="B77" s="62" t="s">
        <v>1958</v>
      </c>
      <c r="C77" s="1" t="str">
        <f aca="false">VLOOKUP(B77,clasif_filas!$A$1:$J$39,2,FALSE())</f>
        <v>Metales, Maquianria, equipos y transporte</v>
      </c>
      <c r="D77" s="1" t="str">
        <f aca="false">VLOOKUP(B77,clasif_filas!$A$1:$J$39,3,FALSE())</f>
        <v>41-49</v>
      </c>
      <c r="E77" s="1" t="str">
        <f aca="false">VLOOKUP(B77,clasif_filas!$A$1:$J$39,4,FALSE())</f>
        <v>Metales, Maquianria, equipos y transporte</v>
      </c>
      <c r="F77" s="1" t="n">
        <f aca="false">VLOOKUP(B77,clasif_filas!$A$1:$J$39,5,FALSE())</f>
        <v>99</v>
      </c>
      <c r="G77" s="1" t="str">
        <f aca="false">VLOOKUP(B77,clasif_filas!$A$1:$J$39,6,FALSE())</f>
        <v>No Bioeconomía</v>
      </c>
      <c r="H77" s="1" t="n">
        <f aca="false">VLOOKUP(B77,clasif_filas!$A$1:$J$39,7,FALSE())</f>
        <v>4</v>
      </c>
      <c r="I77" s="1" t="str">
        <f aca="false">VLOOKUP(B77,clasif_filas!$A$1:$J$39,8,FALSE())</f>
        <v>Productos metálicos, maquinaria y equipo</v>
      </c>
      <c r="J77" s="1" t="n">
        <f aca="false">VLOOKUP(B77,clasif_filas!$A$1:$J$39,9,FALSE())</f>
        <v>3</v>
      </c>
      <c r="K77" s="1" t="str">
        <f aca="false">VLOOKUP(B77,clasif_filas!$A$1:$J$39,10,FALSE())</f>
        <v>No bioeconomía</v>
      </c>
      <c r="L77" s="61"/>
    </row>
    <row r="78" customFormat="false" ht="14.25" hidden="true" customHeight="false" outlineLevel="0" collapsed="false">
      <c r="A78" s="9" t="s">
        <v>1974</v>
      </c>
      <c r="B78" s="62" t="s">
        <v>1958</v>
      </c>
      <c r="C78" s="1" t="str">
        <f aca="false">VLOOKUP(B78,clasif_filas!$A$1:$J$39,2,FALSE())</f>
        <v>Metales, Maquianria, equipos y transporte</v>
      </c>
      <c r="D78" s="1" t="str">
        <f aca="false">VLOOKUP(B78,clasif_filas!$A$1:$J$39,3,FALSE())</f>
        <v>41-49</v>
      </c>
      <c r="E78" s="1" t="str">
        <f aca="false">VLOOKUP(B78,clasif_filas!$A$1:$J$39,4,FALSE())</f>
        <v>Metales, Maquianria, equipos y transporte</v>
      </c>
      <c r="F78" s="1" t="n">
        <f aca="false">VLOOKUP(B78,clasif_filas!$A$1:$J$39,5,FALSE())</f>
        <v>99</v>
      </c>
      <c r="G78" s="1" t="str">
        <f aca="false">VLOOKUP(B78,clasif_filas!$A$1:$J$39,6,FALSE())</f>
        <v>No Bioeconomía</v>
      </c>
      <c r="H78" s="1" t="n">
        <f aca="false">VLOOKUP(B78,clasif_filas!$A$1:$J$39,7,FALSE())</f>
        <v>4</v>
      </c>
      <c r="I78" s="1" t="str">
        <f aca="false">VLOOKUP(B78,clasif_filas!$A$1:$J$39,8,FALSE())</f>
        <v>Productos metálicos, maquinaria y equipo</v>
      </c>
      <c r="J78" s="1" t="n">
        <f aca="false">VLOOKUP(B78,clasif_filas!$A$1:$J$39,9,FALSE())</f>
        <v>3</v>
      </c>
      <c r="K78" s="1" t="str">
        <f aca="false">VLOOKUP(B78,clasif_filas!$A$1:$J$39,10,FALSE())</f>
        <v>No bioeconomía</v>
      </c>
      <c r="L78" s="61"/>
    </row>
    <row r="79" customFormat="false" ht="14.25" hidden="true" customHeight="false" outlineLevel="0" collapsed="false">
      <c r="A79" s="9" t="s">
        <v>1976</v>
      </c>
      <c r="B79" s="62" t="s">
        <v>1958</v>
      </c>
      <c r="C79" s="1" t="str">
        <f aca="false">VLOOKUP(B79,clasif_filas!$A$1:$J$39,2,FALSE())</f>
        <v>Metales, Maquianria, equipos y transporte</v>
      </c>
      <c r="D79" s="1" t="str">
        <f aca="false">VLOOKUP(B79,clasif_filas!$A$1:$J$39,3,FALSE())</f>
        <v>41-49</v>
      </c>
      <c r="E79" s="1" t="str">
        <f aca="false">VLOOKUP(B79,clasif_filas!$A$1:$J$39,4,FALSE())</f>
        <v>Metales, Maquianria, equipos y transporte</v>
      </c>
      <c r="F79" s="1" t="n">
        <f aca="false">VLOOKUP(B79,clasif_filas!$A$1:$J$39,5,FALSE())</f>
        <v>99</v>
      </c>
      <c r="G79" s="1" t="str">
        <f aca="false">VLOOKUP(B79,clasif_filas!$A$1:$J$39,6,FALSE())</f>
        <v>No Bioeconomía</v>
      </c>
      <c r="H79" s="1" t="n">
        <f aca="false">VLOOKUP(B79,clasif_filas!$A$1:$J$39,7,FALSE())</f>
        <v>4</v>
      </c>
      <c r="I79" s="1" t="str">
        <f aca="false">VLOOKUP(B79,clasif_filas!$A$1:$J$39,8,FALSE())</f>
        <v>Productos metálicos, maquinaria y equipo</v>
      </c>
      <c r="J79" s="1" t="n">
        <f aca="false">VLOOKUP(B79,clasif_filas!$A$1:$J$39,9,FALSE())</f>
        <v>3</v>
      </c>
      <c r="K79" s="1" t="str">
        <f aca="false">VLOOKUP(B79,clasif_filas!$A$1:$J$39,10,FALSE())</f>
        <v>No bioeconomía</v>
      </c>
      <c r="L79" s="61"/>
    </row>
    <row r="80" customFormat="false" ht="14.25" hidden="true" customHeight="false" outlineLevel="0" collapsed="false">
      <c r="A80" s="9" t="s">
        <v>1978</v>
      </c>
      <c r="B80" s="62" t="s">
        <v>1958</v>
      </c>
      <c r="C80" s="1" t="str">
        <f aca="false">VLOOKUP(B80,clasif_filas!$A$1:$J$39,2,FALSE())</f>
        <v>Metales, Maquianria, equipos y transporte</v>
      </c>
      <c r="D80" s="1" t="str">
        <f aca="false">VLOOKUP(B80,clasif_filas!$A$1:$J$39,3,FALSE())</f>
        <v>41-49</v>
      </c>
      <c r="E80" s="1" t="str">
        <f aca="false">VLOOKUP(B80,clasif_filas!$A$1:$J$39,4,FALSE())</f>
        <v>Metales, Maquianria, equipos y transporte</v>
      </c>
      <c r="F80" s="1" t="n">
        <f aca="false">VLOOKUP(B80,clasif_filas!$A$1:$J$39,5,FALSE())</f>
        <v>99</v>
      </c>
      <c r="G80" s="1" t="str">
        <f aca="false">VLOOKUP(B80,clasif_filas!$A$1:$J$39,6,FALSE())</f>
        <v>No Bioeconomía</v>
      </c>
      <c r="H80" s="1" t="n">
        <f aca="false">VLOOKUP(B80,clasif_filas!$A$1:$J$39,7,FALSE())</f>
        <v>4</v>
      </c>
      <c r="I80" s="1" t="str">
        <f aca="false">VLOOKUP(B80,clasif_filas!$A$1:$J$39,8,FALSE())</f>
        <v>Productos metálicos, maquinaria y equipo</v>
      </c>
      <c r="J80" s="1" t="n">
        <f aca="false">VLOOKUP(B80,clasif_filas!$A$1:$J$39,9,FALSE())</f>
        <v>3</v>
      </c>
      <c r="K80" s="1" t="str">
        <f aca="false">VLOOKUP(B80,clasif_filas!$A$1:$J$39,10,FALSE())</f>
        <v>No bioeconomía</v>
      </c>
      <c r="L80" s="61"/>
    </row>
    <row r="81" customFormat="false" ht="14.25" hidden="true" customHeight="false" outlineLevel="0" collapsed="false">
      <c r="A81" s="9" t="s">
        <v>1980</v>
      </c>
      <c r="B81" s="62" t="s">
        <v>1958</v>
      </c>
      <c r="C81" s="1" t="str">
        <f aca="false">VLOOKUP(B81,clasif_filas!$A$1:$J$39,2,FALSE())</f>
        <v>Metales, Maquianria, equipos y transporte</v>
      </c>
      <c r="D81" s="1" t="str">
        <f aca="false">VLOOKUP(B81,clasif_filas!$A$1:$J$39,3,FALSE())</f>
        <v>41-49</v>
      </c>
      <c r="E81" s="1" t="str">
        <f aca="false">VLOOKUP(B81,clasif_filas!$A$1:$J$39,4,FALSE())</f>
        <v>Metales, Maquianria, equipos y transporte</v>
      </c>
      <c r="F81" s="1" t="n">
        <f aca="false">VLOOKUP(B81,clasif_filas!$A$1:$J$39,5,FALSE())</f>
        <v>99</v>
      </c>
      <c r="G81" s="1" t="str">
        <f aca="false">VLOOKUP(B81,clasif_filas!$A$1:$J$39,6,FALSE())</f>
        <v>No Bioeconomía</v>
      </c>
      <c r="H81" s="1" t="n">
        <f aca="false">VLOOKUP(B81,clasif_filas!$A$1:$J$39,7,FALSE())</f>
        <v>4</v>
      </c>
      <c r="I81" s="1" t="str">
        <f aca="false">VLOOKUP(B81,clasif_filas!$A$1:$J$39,8,FALSE())</f>
        <v>Productos metálicos, maquinaria y equipo</v>
      </c>
      <c r="J81" s="1" t="n">
        <f aca="false">VLOOKUP(B81,clasif_filas!$A$1:$J$39,9,FALSE())</f>
        <v>3</v>
      </c>
      <c r="K81" s="1" t="str">
        <f aca="false">VLOOKUP(B81,clasif_filas!$A$1:$J$39,10,FALSE())</f>
        <v>No bioeconomía</v>
      </c>
      <c r="L81" s="61"/>
    </row>
    <row r="82" customFormat="false" ht="14.25" hidden="true" customHeight="false" outlineLevel="0" collapsed="false">
      <c r="A82" s="9" t="s">
        <v>1982</v>
      </c>
      <c r="B82" s="62" t="s">
        <v>1958</v>
      </c>
      <c r="C82" s="1" t="str">
        <f aca="false">VLOOKUP(B82,clasif_filas!$A$1:$J$39,2,FALSE())</f>
        <v>Metales, Maquianria, equipos y transporte</v>
      </c>
      <c r="D82" s="1" t="str">
        <f aca="false">VLOOKUP(B82,clasif_filas!$A$1:$J$39,3,FALSE())</f>
        <v>41-49</v>
      </c>
      <c r="E82" s="1" t="str">
        <f aca="false">VLOOKUP(B82,clasif_filas!$A$1:$J$39,4,FALSE())</f>
        <v>Metales, Maquianria, equipos y transporte</v>
      </c>
      <c r="F82" s="1" t="n">
        <f aca="false">VLOOKUP(B82,clasif_filas!$A$1:$J$39,5,FALSE())</f>
        <v>99</v>
      </c>
      <c r="G82" s="1" t="str">
        <f aca="false">VLOOKUP(B82,clasif_filas!$A$1:$J$39,6,FALSE())</f>
        <v>No Bioeconomía</v>
      </c>
      <c r="H82" s="1" t="n">
        <f aca="false">VLOOKUP(B82,clasif_filas!$A$1:$J$39,7,FALSE())</f>
        <v>4</v>
      </c>
      <c r="I82" s="1" t="str">
        <f aca="false">VLOOKUP(B82,clasif_filas!$A$1:$J$39,8,FALSE())</f>
        <v>Productos metálicos, maquinaria y equipo</v>
      </c>
      <c r="J82" s="1" t="n">
        <f aca="false">VLOOKUP(B82,clasif_filas!$A$1:$J$39,9,FALSE())</f>
        <v>3</v>
      </c>
      <c r="K82" s="1" t="str">
        <f aca="false">VLOOKUP(B82,clasif_filas!$A$1:$J$39,10,FALSE())</f>
        <v>No bioeconomía</v>
      </c>
      <c r="L82" s="61"/>
    </row>
    <row r="83" customFormat="false" ht="14.25" hidden="true" customHeight="false" outlineLevel="0" collapsed="false">
      <c r="A83" s="9" t="s">
        <v>1984</v>
      </c>
      <c r="B83" s="62" t="s">
        <v>1958</v>
      </c>
      <c r="C83" s="1" t="str">
        <f aca="false">VLOOKUP(B83,clasif_filas!$A$1:$J$39,2,FALSE())</f>
        <v>Metales, Maquianria, equipos y transporte</v>
      </c>
      <c r="D83" s="1" t="str">
        <f aca="false">VLOOKUP(B83,clasif_filas!$A$1:$J$39,3,FALSE())</f>
        <v>41-49</v>
      </c>
      <c r="E83" s="1" t="str">
        <f aca="false">VLOOKUP(B83,clasif_filas!$A$1:$J$39,4,FALSE())</f>
        <v>Metales, Maquianria, equipos y transporte</v>
      </c>
      <c r="F83" s="1" t="n">
        <f aca="false">VLOOKUP(B83,clasif_filas!$A$1:$J$39,5,FALSE())</f>
        <v>99</v>
      </c>
      <c r="G83" s="1" t="str">
        <f aca="false">VLOOKUP(B83,clasif_filas!$A$1:$J$39,6,FALSE())</f>
        <v>No Bioeconomía</v>
      </c>
      <c r="H83" s="1" t="n">
        <f aca="false">VLOOKUP(B83,clasif_filas!$A$1:$J$39,7,FALSE())</f>
        <v>4</v>
      </c>
      <c r="I83" s="1" t="str">
        <f aca="false">VLOOKUP(B83,clasif_filas!$A$1:$J$39,8,FALSE())</f>
        <v>Productos metálicos, maquinaria y equipo</v>
      </c>
      <c r="J83" s="1" t="n">
        <f aca="false">VLOOKUP(B83,clasif_filas!$A$1:$J$39,9,FALSE())</f>
        <v>3</v>
      </c>
      <c r="K83" s="1" t="str">
        <f aca="false">VLOOKUP(B83,clasif_filas!$A$1:$J$39,10,FALSE())</f>
        <v>No bioeconomía</v>
      </c>
      <c r="L83" s="61"/>
    </row>
    <row r="84" customFormat="false" ht="14.25" hidden="true" customHeight="false" outlineLevel="0" collapsed="false">
      <c r="A84" s="9" t="s">
        <v>1986</v>
      </c>
      <c r="B84" s="62" t="s">
        <v>1958</v>
      </c>
      <c r="C84" s="1" t="str">
        <f aca="false">VLOOKUP(B84,clasif_filas!$A$1:$J$39,2,FALSE())</f>
        <v>Metales, Maquianria, equipos y transporte</v>
      </c>
      <c r="D84" s="1" t="str">
        <f aca="false">VLOOKUP(B84,clasif_filas!$A$1:$J$39,3,FALSE())</f>
        <v>41-49</v>
      </c>
      <c r="E84" s="1" t="str">
        <f aca="false">VLOOKUP(B84,clasif_filas!$A$1:$J$39,4,FALSE())</f>
        <v>Metales, Maquianria, equipos y transporte</v>
      </c>
      <c r="F84" s="1" t="n">
        <f aca="false">VLOOKUP(B84,clasif_filas!$A$1:$J$39,5,FALSE())</f>
        <v>99</v>
      </c>
      <c r="G84" s="1" t="str">
        <f aca="false">VLOOKUP(B84,clasif_filas!$A$1:$J$39,6,FALSE())</f>
        <v>No Bioeconomía</v>
      </c>
      <c r="H84" s="1" t="n">
        <f aca="false">VLOOKUP(B84,clasif_filas!$A$1:$J$39,7,FALSE())</f>
        <v>4</v>
      </c>
      <c r="I84" s="1" t="str">
        <f aca="false">VLOOKUP(B84,clasif_filas!$A$1:$J$39,8,FALSE())</f>
        <v>Productos metálicos, maquinaria y equipo</v>
      </c>
      <c r="J84" s="1" t="n">
        <f aca="false">VLOOKUP(B84,clasif_filas!$A$1:$J$39,9,FALSE())</f>
        <v>3</v>
      </c>
      <c r="K84" s="1" t="str">
        <f aca="false">VLOOKUP(B84,clasif_filas!$A$1:$J$39,10,FALSE())</f>
        <v>No bioeconomía</v>
      </c>
      <c r="L84" s="61"/>
    </row>
    <row r="85" customFormat="false" ht="14.25" hidden="true" customHeight="false" outlineLevel="0" collapsed="false">
      <c r="A85" s="9" t="s">
        <v>1988</v>
      </c>
      <c r="B85" s="62" t="s">
        <v>1958</v>
      </c>
      <c r="C85" s="1" t="str">
        <f aca="false">VLOOKUP(B85,clasif_filas!$A$1:$J$39,2,FALSE())</f>
        <v>Metales, Maquianria, equipos y transporte</v>
      </c>
      <c r="D85" s="1" t="str">
        <f aca="false">VLOOKUP(B85,clasif_filas!$A$1:$J$39,3,FALSE())</f>
        <v>41-49</v>
      </c>
      <c r="E85" s="1" t="str">
        <f aca="false">VLOOKUP(B85,clasif_filas!$A$1:$J$39,4,FALSE())</f>
        <v>Metales, Maquianria, equipos y transporte</v>
      </c>
      <c r="F85" s="1" t="n">
        <f aca="false">VLOOKUP(B85,clasif_filas!$A$1:$J$39,5,FALSE())</f>
        <v>99</v>
      </c>
      <c r="G85" s="1" t="str">
        <f aca="false">VLOOKUP(B85,clasif_filas!$A$1:$J$39,6,FALSE())</f>
        <v>No Bioeconomía</v>
      </c>
      <c r="H85" s="1" t="n">
        <f aca="false">VLOOKUP(B85,clasif_filas!$A$1:$J$39,7,FALSE())</f>
        <v>4</v>
      </c>
      <c r="I85" s="1" t="str">
        <f aca="false">VLOOKUP(B85,clasif_filas!$A$1:$J$39,8,FALSE())</f>
        <v>Productos metálicos, maquinaria y equipo</v>
      </c>
      <c r="J85" s="1" t="n">
        <f aca="false">VLOOKUP(B85,clasif_filas!$A$1:$J$39,9,FALSE())</f>
        <v>3</v>
      </c>
      <c r="K85" s="1" t="str">
        <f aca="false">VLOOKUP(B85,clasif_filas!$A$1:$J$39,10,FALSE())</f>
        <v>No bioeconomía</v>
      </c>
      <c r="L85" s="61"/>
    </row>
    <row r="86" customFormat="false" ht="14.25" hidden="true" customHeight="false" outlineLevel="0" collapsed="false">
      <c r="A86" s="9" t="s">
        <v>1990</v>
      </c>
      <c r="B86" s="62" t="s">
        <v>1958</v>
      </c>
      <c r="C86" s="1" t="str">
        <f aca="false">VLOOKUP(B86,clasif_filas!$A$1:$J$39,2,FALSE())</f>
        <v>Metales, Maquianria, equipos y transporte</v>
      </c>
      <c r="D86" s="1" t="str">
        <f aca="false">VLOOKUP(B86,clasif_filas!$A$1:$J$39,3,FALSE())</f>
        <v>41-49</v>
      </c>
      <c r="E86" s="1" t="str">
        <f aca="false">VLOOKUP(B86,clasif_filas!$A$1:$J$39,4,FALSE())</f>
        <v>Metales, Maquianria, equipos y transporte</v>
      </c>
      <c r="F86" s="1" t="n">
        <f aca="false">VLOOKUP(B86,clasif_filas!$A$1:$J$39,5,FALSE())</f>
        <v>99</v>
      </c>
      <c r="G86" s="1" t="str">
        <f aca="false">VLOOKUP(B86,clasif_filas!$A$1:$J$39,6,FALSE())</f>
        <v>No Bioeconomía</v>
      </c>
      <c r="H86" s="1" t="n">
        <f aca="false">VLOOKUP(B86,clasif_filas!$A$1:$J$39,7,FALSE())</f>
        <v>4</v>
      </c>
      <c r="I86" s="1" t="str">
        <f aca="false">VLOOKUP(B86,clasif_filas!$A$1:$J$39,8,FALSE())</f>
        <v>Productos metálicos, maquinaria y equipo</v>
      </c>
      <c r="J86" s="1" t="n">
        <f aca="false">VLOOKUP(B86,clasif_filas!$A$1:$J$39,9,FALSE())</f>
        <v>3</v>
      </c>
      <c r="K86" s="1" t="str">
        <f aca="false">VLOOKUP(B86,clasif_filas!$A$1:$J$39,10,FALSE())</f>
        <v>No bioeconomía</v>
      </c>
      <c r="L86" s="61"/>
    </row>
    <row r="87" customFormat="false" ht="14.25" hidden="true" customHeight="false" outlineLevel="0" collapsed="false">
      <c r="A87" s="9" t="s">
        <v>1992</v>
      </c>
      <c r="B87" s="62" t="s">
        <v>1958</v>
      </c>
      <c r="C87" s="1" t="str">
        <f aca="false">VLOOKUP(B87,clasif_filas!$A$1:$J$39,2,FALSE())</f>
        <v>Metales, Maquianria, equipos y transporte</v>
      </c>
      <c r="D87" s="1" t="str">
        <f aca="false">VLOOKUP(B87,clasif_filas!$A$1:$J$39,3,FALSE())</f>
        <v>41-49</v>
      </c>
      <c r="E87" s="1" t="str">
        <f aca="false">VLOOKUP(B87,clasif_filas!$A$1:$J$39,4,FALSE())</f>
        <v>Metales, Maquianria, equipos y transporte</v>
      </c>
      <c r="F87" s="1" t="n">
        <f aca="false">VLOOKUP(B87,clasif_filas!$A$1:$J$39,5,FALSE())</f>
        <v>99</v>
      </c>
      <c r="G87" s="1" t="str">
        <f aca="false">VLOOKUP(B87,clasif_filas!$A$1:$J$39,6,FALSE())</f>
        <v>No Bioeconomía</v>
      </c>
      <c r="H87" s="1" t="n">
        <f aca="false">VLOOKUP(B87,clasif_filas!$A$1:$J$39,7,FALSE())</f>
        <v>4</v>
      </c>
      <c r="I87" s="1" t="str">
        <f aca="false">VLOOKUP(B87,clasif_filas!$A$1:$J$39,8,FALSE())</f>
        <v>Productos metálicos, maquinaria y equipo</v>
      </c>
      <c r="J87" s="1" t="n">
        <f aca="false">VLOOKUP(B87,clasif_filas!$A$1:$J$39,9,FALSE())</f>
        <v>3</v>
      </c>
      <c r="K87" s="1" t="str">
        <f aca="false">VLOOKUP(B87,clasif_filas!$A$1:$J$39,10,FALSE())</f>
        <v>No bioeconomía</v>
      </c>
      <c r="L87" s="61"/>
    </row>
    <row r="88" customFormat="false" ht="14.25" hidden="true" customHeight="false" outlineLevel="0" collapsed="false">
      <c r="A88" s="9" t="s">
        <v>1994</v>
      </c>
      <c r="B88" s="62" t="s">
        <v>1958</v>
      </c>
      <c r="C88" s="1" t="str">
        <f aca="false">VLOOKUP(B88,clasif_filas!$A$1:$J$39,2,FALSE())</f>
        <v>Metales, Maquianria, equipos y transporte</v>
      </c>
      <c r="D88" s="1" t="str">
        <f aca="false">VLOOKUP(B88,clasif_filas!$A$1:$J$39,3,FALSE())</f>
        <v>41-49</v>
      </c>
      <c r="E88" s="1" t="str">
        <f aca="false">VLOOKUP(B88,clasif_filas!$A$1:$J$39,4,FALSE())</f>
        <v>Metales, Maquianria, equipos y transporte</v>
      </c>
      <c r="F88" s="1" t="n">
        <f aca="false">VLOOKUP(B88,clasif_filas!$A$1:$J$39,5,FALSE())</f>
        <v>99</v>
      </c>
      <c r="G88" s="1" t="str">
        <f aca="false">VLOOKUP(B88,clasif_filas!$A$1:$J$39,6,FALSE())</f>
        <v>No Bioeconomía</v>
      </c>
      <c r="H88" s="1" t="n">
        <f aca="false">VLOOKUP(B88,clasif_filas!$A$1:$J$39,7,FALSE())</f>
        <v>4</v>
      </c>
      <c r="I88" s="1" t="str">
        <f aca="false">VLOOKUP(B88,clasif_filas!$A$1:$J$39,8,FALSE())</f>
        <v>Productos metálicos, maquinaria y equipo</v>
      </c>
      <c r="J88" s="1" t="n">
        <f aca="false">VLOOKUP(B88,clasif_filas!$A$1:$J$39,9,FALSE())</f>
        <v>3</v>
      </c>
      <c r="K88" s="1" t="str">
        <f aca="false">VLOOKUP(B88,clasif_filas!$A$1:$J$39,10,FALSE())</f>
        <v>No bioeconomía</v>
      </c>
      <c r="L88" s="61"/>
    </row>
    <row r="89" customFormat="false" ht="14.25" hidden="true" customHeight="false" outlineLevel="0" collapsed="false">
      <c r="A89" s="9" t="s">
        <v>1996</v>
      </c>
      <c r="B89" s="1" t="n">
        <v>17.5</v>
      </c>
      <c r="C89" s="1" t="str">
        <f aca="false">VLOOKUP(B89,clasif_filas!$A$1:$J$39,2,FALSE())</f>
        <v>Electricidad y agua</v>
      </c>
      <c r="D89" s="1" t="n">
        <f aca="false">VLOOKUP(B89,clasif_filas!$A$1:$J$39,3,FALSE())</f>
        <v>17.5</v>
      </c>
      <c r="E89" s="1" t="str">
        <f aca="false">VLOOKUP(B89,clasif_filas!$A$1:$J$39,4,FALSE())</f>
        <v>Electricidad y agua</v>
      </c>
      <c r="F89" s="1" t="n">
        <f aca="false">VLOOKUP(B89,clasif_filas!$A$1:$J$39,5,FALSE())</f>
        <v>6</v>
      </c>
      <c r="G89" s="1" t="str">
        <f aca="false">VLOOKUP(B89,clasif_filas!$A$1:$J$39,6,FALSE())</f>
        <v>Conocimiento, procesos y servicios relacionados</v>
      </c>
      <c r="H89" s="1" t="n">
        <f aca="false">VLOOKUP(B89,clasif_filas!$A$1:$J$39,7,FALSE())</f>
        <v>1</v>
      </c>
      <c r="I89" s="1" t="str">
        <f aca="false">VLOOKUP(B89,clasif_filas!$A$1:$J$39,8,FALSE())</f>
        <v>Minerales; electricidad, gas y agua</v>
      </c>
      <c r="J89" s="1" t="n">
        <f aca="false">VLOOKUP(B89,clasif_filas!$A$1:$J$39,9,FALSE())</f>
        <v>2</v>
      </c>
      <c r="K89" s="1" t="str">
        <f aca="false">VLOOKUP(B89,clasif_filas!$A$1:$J$39,10,FALSE())</f>
        <v>Bioeconomía extendida</v>
      </c>
      <c r="L89" s="61"/>
    </row>
    <row r="90" customFormat="false" ht="14.25" hidden="true" customHeight="false" outlineLevel="0" collapsed="false">
      <c r="A90" s="9" t="s">
        <v>1999</v>
      </c>
      <c r="B90" s="1" t="n">
        <v>94</v>
      </c>
      <c r="C90" s="1" t="str">
        <f aca="false">VLOOKUP(B90,clasif_filas!$A$1:$J$39,2,FALSE())</f>
        <v>Servicios de alcantarillado, recolección, tratamiento y disposición de desechos y otros servicios de saneamiento ambiental</v>
      </c>
      <c r="D90" s="1" t="n">
        <f aca="false">VLOOKUP(B90,clasif_filas!$A$1:$J$39,3,FALSE())</f>
        <v>94</v>
      </c>
      <c r="E90" s="1" t="str">
        <f aca="false">VLOOKUP(B90,clasif_filas!$A$1:$J$39,4,FALSE())</f>
        <v>Servicios de alcantarillado, recolección, tratamiento y disposición de desechos y otros servicios de saneamiento ambiental</v>
      </c>
      <c r="F90" s="1" t="n">
        <f aca="false">VLOOKUP(B90,clasif_filas!$A$1:$J$39,5,FALSE())</f>
        <v>4</v>
      </c>
      <c r="G90" s="1" t="str">
        <f aca="false">VLOOKUP(B90,clasif_filas!$A$1:$J$39,6,FALSE())</f>
        <v>Biomasa residual en los sectores agropecuario, pesca y acuacultura, forestal y agroindustrial</v>
      </c>
      <c r="H90" s="1" t="n">
        <f aca="false">VLOOKUP(B90,clasif_filas!$A$1:$J$39,7,FALSE())</f>
        <v>9</v>
      </c>
      <c r="I90" s="1" t="str">
        <f aca="false">VLOOKUP(B90,clasif_filas!$A$1:$J$39,8,FALSE())</f>
        <v>Servicios para la comunidad, sociales y personales</v>
      </c>
      <c r="J90" s="1" t="n">
        <f aca="false">VLOOKUP(B90,clasif_filas!$A$1:$J$39,9,FALSE())</f>
        <v>2</v>
      </c>
      <c r="K90" s="1" t="str">
        <f aca="false">VLOOKUP(B90,clasif_filas!$A$1:$J$39,10,FALSE())</f>
        <v>Bioeconomía extendida</v>
      </c>
      <c r="L90" s="61"/>
    </row>
    <row r="91" customFormat="false" ht="14.25" hidden="true" customHeight="false" outlineLevel="0" collapsed="false">
      <c r="A91" s="9" t="s">
        <v>2002</v>
      </c>
      <c r="B91" s="1" t="n">
        <v>5</v>
      </c>
      <c r="C91" s="1" t="str">
        <f aca="false">VLOOKUP(B91,clasif_filas!$A$1:$J$39,2,FALSE())</f>
        <v>Construcciones y servicios de construcción</v>
      </c>
      <c r="D91" s="1" t="n">
        <f aca="false">VLOOKUP(B91,clasif_filas!$A$1:$J$39,3,FALSE())</f>
        <v>5</v>
      </c>
      <c r="E91" s="1" t="str">
        <f aca="false">VLOOKUP(B91,clasif_filas!$A$1:$J$39,4,FALSE())</f>
        <v>Construcciones y servicios de construcción</v>
      </c>
      <c r="F91" s="1" t="n">
        <f aca="false">VLOOKUP(B91,clasif_filas!$A$1:$J$39,5,FALSE())</f>
        <v>99</v>
      </c>
      <c r="G91" s="1" t="str">
        <f aca="false">VLOOKUP(B91,clasif_filas!$A$1:$J$39,6,FALSE())</f>
        <v>No Bioeconomía</v>
      </c>
      <c r="H91" s="1" t="n">
        <f aca="false">VLOOKUP(B91,clasif_filas!$A$1:$J$39,7,FALSE())</f>
        <v>5</v>
      </c>
      <c r="I91" s="1" t="str">
        <f aca="false">VLOOKUP(B91,clasif_filas!$A$1:$J$39,8,FALSE())</f>
        <v>Construcciones y servicios de construcción</v>
      </c>
      <c r="J91" s="1" t="n">
        <f aca="false">VLOOKUP(B91,clasif_filas!$A$1:$J$39,9,FALSE())</f>
        <v>3</v>
      </c>
      <c r="K91" s="1" t="str">
        <f aca="false">VLOOKUP(B91,clasif_filas!$A$1:$J$39,10,FALSE())</f>
        <v>No bioeconomía</v>
      </c>
      <c r="L91" s="61"/>
    </row>
    <row r="92" customFormat="false" ht="14.25" hidden="true" customHeight="false" outlineLevel="0" collapsed="false">
      <c r="A92" s="9" t="s">
        <v>2004</v>
      </c>
      <c r="B92" s="1" t="n">
        <v>5</v>
      </c>
      <c r="C92" s="1" t="str">
        <f aca="false">VLOOKUP(B92,clasif_filas!$A$1:$J$39,2,FALSE())</f>
        <v>Construcciones y servicios de construcción</v>
      </c>
      <c r="D92" s="1" t="n">
        <f aca="false">VLOOKUP(B92,clasif_filas!$A$1:$J$39,3,FALSE())</f>
        <v>5</v>
      </c>
      <c r="E92" s="1" t="str">
        <f aca="false">VLOOKUP(B92,clasif_filas!$A$1:$J$39,4,FALSE())</f>
        <v>Construcciones y servicios de construcción</v>
      </c>
      <c r="F92" s="1" t="n">
        <f aca="false">VLOOKUP(B92,clasif_filas!$A$1:$J$39,5,FALSE())</f>
        <v>99</v>
      </c>
      <c r="G92" s="1" t="str">
        <f aca="false">VLOOKUP(B92,clasif_filas!$A$1:$J$39,6,FALSE())</f>
        <v>No Bioeconomía</v>
      </c>
      <c r="H92" s="1" t="n">
        <f aca="false">VLOOKUP(B92,clasif_filas!$A$1:$J$39,7,FALSE())</f>
        <v>5</v>
      </c>
      <c r="I92" s="1" t="str">
        <f aca="false">VLOOKUP(B92,clasif_filas!$A$1:$J$39,8,FALSE())</f>
        <v>Construcciones y servicios de construcción</v>
      </c>
      <c r="J92" s="1" t="n">
        <f aca="false">VLOOKUP(B92,clasif_filas!$A$1:$J$39,9,FALSE())</f>
        <v>3</v>
      </c>
      <c r="K92" s="1" t="str">
        <f aca="false">VLOOKUP(B92,clasif_filas!$A$1:$J$39,10,FALSE())</f>
        <v>No bioeconomía</v>
      </c>
      <c r="L92" s="61"/>
    </row>
    <row r="93" customFormat="false" ht="14.25" hidden="true" customHeight="false" outlineLevel="0" collapsed="false">
      <c r="A93" s="9" t="s">
        <v>2006</v>
      </c>
      <c r="B93" s="1" t="n">
        <v>5</v>
      </c>
      <c r="C93" s="1" t="str">
        <f aca="false">VLOOKUP(B93,clasif_filas!$A$1:$J$39,2,FALSE())</f>
        <v>Construcciones y servicios de construcción</v>
      </c>
      <c r="D93" s="1" t="n">
        <f aca="false">VLOOKUP(B93,clasif_filas!$A$1:$J$39,3,FALSE())</f>
        <v>5</v>
      </c>
      <c r="E93" s="1" t="str">
        <f aca="false">VLOOKUP(B93,clasif_filas!$A$1:$J$39,4,FALSE())</f>
        <v>Construcciones y servicios de construcción</v>
      </c>
      <c r="F93" s="1" t="n">
        <f aca="false">VLOOKUP(B93,clasif_filas!$A$1:$J$39,5,FALSE())</f>
        <v>99</v>
      </c>
      <c r="G93" s="1" t="str">
        <f aca="false">VLOOKUP(B93,clasif_filas!$A$1:$J$39,6,FALSE())</f>
        <v>No Bioeconomía</v>
      </c>
      <c r="H93" s="1" t="n">
        <f aca="false">VLOOKUP(B93,clasif_filas!$A$1:$J$39,7,FALSE())</f>
        <v>5</v>
      </c>
      <c r="I93" s="1" t="str">
        <f aca="false">VLOOKUP(B93,clasif_filas!$A$1:$J$39,8,FALSE())</f>
        <v>Construcciones y servicios de construcción</v>
      </c>
      <c r="J93" s="1" t="n">
        <f aca="false">VLOOKUP(B93,clasif_filas!$A$1:$J$39,9,FALSE())</f>
        <v>3</v>
      </c>
      <c r="K93" s="1" t="str">
        <f aca="false">VLOOKUP(B93,clasif_filas!$A$1:$J$39,10,FALSE())</f>
        <v>No bioeconomía</v>
      </c>
      <c r="L93" s="61"/>
    </row>
    <row r="94" customFormat="false" ht="14.25" hidden="true" customHeight="false" outlineLevel="0" collapsed="false">
      <c r="A94" s="9" t="s">
        <v>2008</v>
      </c>
      <c r="B94" s="1" t="n">
        <v>6</v>
      </c>
      <c r="C94" s="1" t="str">
        <f aca="false">VLOOKUP(B94,clasif_filas!$A$1:$J$39,2,FALSE())</f>
        <v>Otros servicios</v>
      </c>
      <c r="D94" s="1" t="n">
        <f aca="false">VLOOKUP(B94,clasif_filas!$A$1:$J$39,3,FALSE())</f>
        <v>6</v>
      </c>
      <c r="E94" s="1" t="str">
        <f aca="false">VLOOKUP(B94,clasif_filas!$A$1:$J$39,4,FALSE())</f>
        <v>Otros servicios</v>
      </c>
      <c r="F94" s="1" t="n">
        <f aca="false">VLOOKUP(B94,clasif_filas!$A$1:$J$39,5,FALSE())</f>
        <v>99</v>
      </c>
      <c r="G94" s="1" t="str">
        <f aca="false">VLOOKUP(B94,clasif_filas!$A$1:$J$39,6,FALSE())</f>
        <v>No Bioeconomía</v>
      </c>
      <c r="H94" s="1" t="n">
        <f aca="false">VLOOKUP(B94,clasif_filas!$A$1:$J$39,7,FALSE())</f>
        <v>6</v>
      </c>
      <c r="I94" s="1" t="str">
        <f aca="false">VLOOKUP(B94,clasif_filas!$A$1:$J$39,8,FALSE())</f>
        <v>Servicios comerciales de distribución; alojamiento, servicios de suministro de comidas y bebidas; servicios de transporte; y servicios de distribución de electricidad, gas y agua</v>
      </c>
      <c r="J94" s="1" t="n">
        <f aca="false">VLOOKUP(B94,clasif_filas!$A$1:$J$39,9,FALSE())</f>
        <v>3</v>
      </c>
      <c r="K94" s="1" t="str">
        <f aca="false">VLOOKUP(B94,clasif_filas!$A$1:$J$39,10,FALSE())</f>
        <v>No bioeconomía</v>
      </c>
      <c r="L94" s="61"/>
    </row>
    <row r="95" customFormat="false" ht="14.25" hidden="true" customHeight="false" outlineLevel="0" collapsed="false">
      <c r="A95" s="9" t="s">
        <v>2010</v>
      </c>
      <c r="B95" s="1" t="n">
        <v>6</v>
      </c>
      <c r="C95" s="1" t="str">
        <f aca="false">VLOOKUP(B95,clasif_filas!$A$1:$J$39,2,FALSE())</f>
        <v>Otros servicios</v>
      </c>
      <c r="D95" s="1" t="n">
        <f aca="false">VLOOKUP(B95,clasif_filas!$A$1:$J$39,3,FALSE())</f>
        <v>6</v>
      </c>
      <c r="E95" s="1" t="str">
        <f aca="false">VLOOKUP(B95,clasif_filas!$A$1:$J$39,4,FALSE())</f>
        <v>Otros servicios</v>
      </c>
      <c r="F95" s="1" t="n">
        <f aca="false">VLOOKUP(B95,clasif_filas!$A$1:$J$39,5,FALSE())</f>
        <v>99</v>
      </c>
      <c r="G95" s="1" t="str">
        <f aca="false">VLOOKUP(B95,clasif_filas!$A$1:$J$39,6,FALSE())</f>
        <v>No Bioeconomía</v>
      </c>
      <c r="H95" s="1" t="n">
        <f aca="false">VLOOKUP(B95,clasif_filas!$A$1:$J$39,7,FALSE())</f>
        <v>6</v>
      </c>
      <c r="I95" s="1" t="str">
        <f aca="false">VLOOKUP(B95,clasif_filas!$A$1:$J$39,8,FALSE())</f>
        <v>Servicios comerciales de distribución; alojamiento, servicios de suministro de comidas y bebidas; servicios de transporte; y servicios de distribución de electricidad, gas y agua</v>
      </c>
      <c r="J95" s="1" t="n">
        <f aca="false">VLOOKUP(B95,clasif_filas!$A$1:$J$39,9,FALSE())</f>
        <v>3</v>
      </c>
      <c r="K95" s="1" t="str">
        <f aca="false">VLOOKUP(B95,clasif_filas!$A$1:$J$39,10,FALSE())</f>
        <v>No bioeconomía</v>
      </c>
      <c r="L95" s="61"/>
    </row>
    <row r="96" customFormat="false" ht="14.25" hidden="true" customHeight="false" outlineLevel="0" collapsed="false">
      <c r="A96" s="9" t="s">
        <v>2012</v>
      </c>
      <c r="B96" s="1" t="n">
        <v>6</v>
      </c>
      <c r="C96" s="1" t="str">
        <f aca="false">VLOOKUP(B96,clasif_filas!$A$1:$J$39,2,FALSE())</f>
        <v>Otros servicios</v>
      </c>
      <c r="D96" s="1" t="n">
        <f aca="false">VLOOKUP(B96,clasif_filas!$A$1:$J$39,3,FALSE())</f>
        <v>6</v>
      </c>
      <c r="E96" s="1" t="str">
        <f aca="false">VLOOKUP(B96,clasif_filas!$A$1:$J$39,4,FALSE())</f>
        <v>Otros servicios</v>
      </c>
      <c r="F96" s="1" t="n">
        <f aca="false">VLOOKUP(B96,clasif_filas!$A$1:$J$39,5,FALSE())</f>
        <v>99</v>
      </c>
      <c r="G96" s="1" t="str">
        <f aca="false">VLOOKUP(B96,clasif_filas!$A$1:$J$39,6,FALSE())</f>
        <v>No Bioeconomía</v>
      </c>
      <c r="H96" s="1" t="n">
        <f aca="false">VLOOKUP(B96,clasif_filas!$A$1:$J$39,7,FALSE())</f>
        <v>6</v>
      </c>
      <c r="I96" s="1" t="str">
        <f aca="false">VLOOKUP(B96,clasif_filas!$A$1:$J$39,8,FALSE())</f>
        <v>Servicios comerciales de distribución; alojamiento, servicios de suministro de comidas y bebidas; servicios de transporte; y servicios de distribución de electricidad, gas y agua</v>
      </c>
      <c r="J96" s="1" t="n">
        <f aca="false">VLOOKUP(B96,clasif_filas!$A$1:$J$39,9,FALSE())</f>
        <v>3</v>
      </c>
      <c r="K96" s="1" t="str">
        <f aca="false">VLOOKUP(B96,clasif_filas!$A$1:$J$39,10,FALSE())</f>
        <v>No bioeconomía</v>
      </c>
      <c r="L96" s="61"/>
    </row>
    <row r="97" customFormat="false" ht="14.25" hidden="true" customHeight="false" outlineLevel="0" collapsed="false">
      <c r="A97" s="9" t="s">
        <v>2014</v>
      </c>
      <c r="B97" s="1" t="n">
        <v>6</v>
      </c>
      <c r="C97" s="1" t="str">
        <f aca="false">VLOOKUP(B97,clasif_filas!$A$1:$J$39,2,FALSE())</f>
        <v>Otros servicios</v>
      </c>
      <c r="D97" s="1" t="n">
        <f aca="false">VLOOKUP(B97,clasif_filas!$A$1:$J$39,3,FALSE())</f>
        <v>6</v>
      </c>
      <c r="E97" s="1" t="str">
        <f aca="false">VLOOKUP(B97,clasif_filas!$A$1:$J$39,4,FALSE())</f>
        <v>Otros servicios</v>
      </c>
      <c r="F97" s="1" t="n">
        <f aca="false">VLOOKUP(B97,clasif_filas!$A$1:$J$39,5,FALSE())</f>
        <v>99</v>
      </c>
      <c r="G97" s="1" t="str">
        <f aca="false">VLOOKUP(B97,clasif_filas!$A$1:$J$39,6,FALSE())</f>
        <v>No Bioeconomía</v>
      </c>
      <c r="H97" s="1" t="n">
        <f aca="false">VLOOKUP(B97,clasif_filas!$A$1:$J$39,7,FALSE())</f>
        <v>6</v>
      </c>
      <c r="I97" s="1" t="str">
        <f aca="false">VLOOKUP(B97,clasif_filas!$A$1:$J$39,8,FALSE())</f>
        <v>Servicios comerciales de distribución; alojamiento, servicios de suministro de comidas y bebidas; servicios de transporte; y servicios de distribución de electricidad, gas y agua</v>
      </c>
      <c r="J97" s="1" t="n">
        <f aca="false">VLOOKUP(B97,clasif_filas!$A$1:$J$39,9,FALSE())</f>
        <v>3</v>
      </c>
      <c r="K97" s="1" t="str">
        <f aca="false">VLOOKUP(B97,clasif_filas!$A$1:$J$39,10,FALSE())</f>
        <v>No bioeconomía</v>
      </c>
      <c r="L97" s="61"/>
    </row>
    <row r="98" customFormat="false" ht="14.25" hidden="true" customHeight="false" outlineLevel="0" collapsed="false">
      <c r="A98" s="9" t="s">
        <v>2016</v>
      </c>
      <c r="B98" s="1" t="n">
        <v>6</v>
      </c>
      <c r="C98" s="1" t="str">
        <f aca="false">VLOOKUP(B98,clasif_filas!$A$1:$J$39,2,FALSE())</f>
        <v>Otros servicios</v>
      </c>
      <c r="D98" s="1" t="n">
        <f aca="false">VLOOKUP(B98,clasif_filas!$A$1:$J$39,3,FALSE())</f>
        <v>6</v>
      </c>
      <c r="E98" s="1" t="str">
        <f aca="false">VLOOKUP(B98,clasif_filas!$A$1:$J$39,4,FALSE())</f>
        <v>Otros servicios</v>
      </c>
      <c r="F98" s="1" t="n">
        <f aca="false">VLOOKUP(B98,clasif_filas!$A$1:$J$39,5,FALSE())</f>
        <v>99</v>
      </c>
      <c r="G98" s="1" t="str">
        <f aca="false">VLOOKUP(B98,clasif_filas!$A$1:$J$39,6,FALSE())</f>
        <v>No Bioeconomía</v>
      </c>
      <c r="H98" s="1" t="n">
        <f aca="false">VLOOKUP(B98,clasif_filas!$A$1:$J$39,7,FALSE())</f>
        <v>6</v>
      </c>
      <c r="I98" s="1" t="str">
        <f aca="false">VLOOKUP(B98,clasif_filas!$A$1:$J$39,8,FALSE())</f>
        <v>Servicios comerciales de distribución; alojamiento, servicios de suministro de comidas y bebidas; servicios de transporte; y servicios de distribución de electricidad, gas y agua</v>
      </c>
      <c r="J98" s="1" t="n">
        <f aca="false">VLOOKUP(B98,clasif_filas!$A$1:$J$39,9,FALSE())</f>
        <v>3</v>
      </c>
      <c r="K98" s="1" t="str">
        <f aca="false">VLOOKUP(B98,clasif_filas!$A$1:$J$39,10,FALSE())</f>
        <v>No bioeconomía</v>
      </c>
      <c r="L98" s="61"/>
    </row>
    <row r="99" customFormat="false" ht="14.25" hidden="true" customHeight="false" outlineLevel="0" collapsed="false">
      <c r="A99" s="9" t="s">
        <v>2018</v>
      </c>
      <c r="B99" s="1" t="n">
        <v>6</v>
      </c>
      <c r="C99" s="1" t="str">
        <f aca="false">VLOOKUP(B99,clasif_filas!$A$1:$J$39,2,FALSE())</f>
        <v>Otros servicios</v>
      </c>
      <c r="D99" s="1" t="n">
        <f aca="false">VLOOKUP(B99,clasif_filas!$A$1:$J$39,3,FALSE())</f>
        <v>6</v>
      </c>
      <c r="E99" s="1" t="str">
        <f aca="false">VLOOKUP(B99,clasif_filas!$A$1:$J$39,4,FALSE())</f>
        <v>Otros servicios</v>
      </c>
      <c r="F99" s="1" t="n">
        <f aca="false">VLOOKUP(B99,clasif_filas!$A$1:$J$39,5,FALSE())</f>
        <v>99</v>
      </c>
      <c r="G99" s="1" t="str">
        <f aca="false">VLOOKUP(B99,clasif_filas!$A$1:$J$39,6,FALSE())</f>
        <v>No Bioeconomía</v>
      </c>
      <c r="H99" s="1" t="n">
        <f aca="false">VLOOKUP(B99,clasif_filas!$A$1:$J$39,7,FALSE())</f>
        <v>6</v>
      </c>
      <c r="I99" s="1" t="str">
        <f aca="false">VLOOKUP(B99,clasif_filas!$A$1:$J$39,8,FALSE())</f>
        <v>Servicios comerciales de distribución; alojamiento, servicios de suministro de comidas y bebidas; servicios de transporte; y servicios de distribución de electricidad, gas y agua</v>
      </c>
      <c r="J99" s="1" t="n">
        <f aca="false">VLOOKUP(B99,clasif_filas!$A$1:$J$39,9,FALSE())</f>
        <v>3</v>
      </c>
      <c r="K99" s="1" t="str">
        <f aca="false">VLOOKUP(B99,clasif_filas!$A$1:$J$39,10,FALSE())</f>
        <v>No bioeconomía</v>
      </c>
      <c r="L99" s="61"/>
    </row>
    <row r="100" customFormat="false" ht="14.25" hidden="true" customHeight="false" outlineLevel="0" collapsed="false">
      <c r="A100" s="9" t="s">
        <v>2020</v>
      </c>
      <c r="B100" s="1" t="n">
        <v>6</v>
      </c>
      <c r="C100" s="1" t="str">
        <f aca="false">VLOOKUP(B100,clasif_filas!$A$1:$J$39,2,FALSE())</f>
        <v>Otros servicios</v>
      </c>
      <c r="D100" s="1" t="n">
        <f aca="false">VLOOKUP(B100,clasif_filas!$A$1:$J$39,3,FALSE())</f>
        <v>6</v>
      </c>
      <c r="E100" s="1" t="str">
        <f aca="false">VLOOKUP(B100,clasif_filas!$A$1:$J$39,4,FALSE())</f>
        <v>Otros servicios</v>
      </c>
      <c r="F100" s="1" t="n">
        <f aca="false">VLOOKUP(B100,clasif_filas!$A$1:$J$39,5,FALSE())</f>
        <v>99</v>
      </c>
      <c r="G100" s="1" t="str">
        <f aca="false">VLOOKUP(B100,clasif_filas!$A$1:$J$39,6,FALSE())</f>
        <v>No Bioeconomía</v>
      </c>
      <c r="H100" s="1" t="n">
        <f aca="false">VLOOKUP(B100,clasif_filas!$A$1:$J$39,7,FALSE())</f>
        <v>6</v>
      </c>
      <c r="I100" s="1" t="str">
        <f aca="false">VLOOKUP(B100,clasif_filas!$A$1:$J$39,8,FALSE())</f>
        <v>Servicios comerciales de distribución; alojamiento, servicios de suministro de comidas y bebidas; servicios de transporte; y servicios de distribución de electricidad, gas y agua</v>
      </c>
      <c r="J100" s="1" t="n">
        <f aca="false">VLOOKUP(B100,clasif_filas!$A$1:$J$39,9,FALSE())</f>
        <v>3</v>
      </c>
      <c r="K100" s="1" t="str">
        <f aca="false">VLOOKUP(B100,clasif_filas!$A$1:$J$39,10,FALSE())</f>
        <v>No bioeconomía</v>
      </c>
      <c r="L100" s="61"/>
    </row>
    <row r="101" customFormat="false" ht="14.25" hidden="true" customHeight="false" outlineLevel="0" collapsed="false">
      <c r="A101" s="9" t="s">
        <v>2022</v>
      </c>
      <c r="B101" s="1" t="n">
        <v>6</v>
      </c>
      <c r="C101" s="1" t="str">
        <f aca="false">VLOOKUP(B101,clasif_filas!$A$1:$J$39,2,FALSE())</f>
        <v>Otros servicios</v>
      </c>
      <c r="D101" s="1" t="n">
        <f aca="false">VLOOKUP(B101,clasif_filas!$A$1:$J$39,3,FALSE())</f>
        <v>6</v>
      </c>
      <c r="E101" s="1" t="str">
        <f aca="false">VLOOKUP(B101,clasif_filas!$A$1:$J$39,4,FALSE())</f>
        <v>Otros servicios</v>
      </c>
      <c r="F101" s="1" t="n">
        <f aca="false">VLOOKUP(B101,clasif_filas!$A$1:$J$39,5,FALSE())</f>
        <v>99</v>
      </c>
      <c r="G101" s="1" t="str">
        <f aca="false">VLOOKUP(B101,clasif_filas!$A$1:$J$39,6,FALSE())</f>
        <v>No Bioeconomía</v>
      </c>
      <c r="H101" s="1" t="n">
        <f aca="false">VLOOKUP(B101,clasif_filas!$A$1:$J$39,7,FALSE())</f>
        <v>6</v>
      </c>
      <c r="I101" s="1" t="str">
        <f aca="false">VLOOKUP(B101,clasif_filas!$A$1:$J$39,8,FALSE())</f>
        <v>Servicios comerciales de distribución; alojamiento, servicios de suministro de comidas y bebidas; servicios de transporte; y servicios de distribución de electricidad, gas y agua</v>
      </c>
      <c r="J101" s="1" t="n">
        <f aca="false">VLOOKUP(B101,clasif_filas!$A$1:$J$39,9,FALSE())</f>
        <v>3</v>
      </c>
      <c r="K101" s="1" t="str">
        <f aca="false">VLOOKUP(B101,clasif_filas!$A$1:$J$39,10,FALSE())</f>
        <v>No bioeconomía</v>
      </c>
      <c r="L101" s="61"/>
    </row>
    <row r="102" customFormat="false" ht="14.25" hidden="true" customHeight="false" outlineLevel="0" collapsed="false">
      <c r="A102" s="9" t="s">
        <v>2024</v>
      </c>
      <c r="B102" s="1" t="n">
        <v>6</v>
      </c>
      <c r="C102" s="1" t="str">
        <f aca="false">VLOOKUP(B102,clasif_filas!$A$1:$J$39,2,FALSE())</f>
        <v>Otros servicios</v>
      </c>
      <c r="D102" s="1" t="n">
        <f aca="false">VLOOKUP(B102,clasif_filas!$A$1:$J$39,3,FALSE())</f>
        <v>6</v>
      </c>
      <c r="E102" s="1" t="str">
        <f aca="false">VLOOKUP(B102,clasif_filas!$A$1:$J$39,4,FALSE())</f>
        <v>Otros servicios</v>
      </c>
      <c r="F102" s="1" t="n">
        <f aca="false">VLOOKUP(B102,clasif_filas!$A$1:$J$39,5,FALSE())</f>
        <v>99</v>
      </c>
      <c r="G102" s="1" t="str">
        <f aca="false">VLOOKUP(B102,clasif_filas!$A$1:$J$39,6,FALSE())</f>
        <v>No Bioeconomía</v>
      </c>
      <c r="H102" s="1" t="n">
        <f aca="false">VLOOKUP(B102,clasif_filas!$A$1:$J$39,7,FALSE())</f>
        <v>6</v>
      </c>
      <c r="I102" s="1" t="str">
        <f aca="false">VLOOKUP(B102,clasif_filas!$A$1:$J$39,8,FALSE())</f>
        <v>Servicios comerciales de distribución; alojamiento, servicios de suministro de comidas y bebidas; servicios de transporte; y servicios de distribución de electricidad, gas y agua</v>
      </c>
      <c r="J102" s="1" t="n">
        <f aca="false">VLOOKUP(B102,clasif_filas!$A$1:$J$39,9,FALSE())</f>
        <v>3</v>
      </c>
      <c r="K102" s="1" t="str">
        <f aca="false">VLOOKUP(B102,clasif_filas!$A$1:$J$39,10,FALSE())</f>
        <v>No bioeconomía</v>
      </c>
      <c r="L102" s="61"/>
    </row>
    <row r="103" customFormat="false" ht="14.25" hidden="true" customHeight="false" outlineLevel="0" collapsed="false">
      <c r="A103" s="9" t="s">
        <v>2026</v>
      </c>
      <c r="B103" s="1" t="n">
        <v>63</v>
      </c>
      <c r="C103" s="1" t="str">
        <f aca="false">VLOOKUP(B103,clasif_filas!$A$1:$J$39,2,FALSE())</f>
        <v>Alojamiento, servicios de suministro de comidas y bebidas</v>
      </c>
      <c r="D103" s="1" t="n">
        <f aca="false">VLOOKUP(B103,clasif_filas!$A$1:$J$39,3,FALSE())</f>
        <v>63</v>
      </c>
      <c r="E103" s="1" t="str">
        <f aca="false">VLOOKUP(B103,clasif_filas!$A$1:$J$39,4,FALSE())</f>
        <v>Alojamiento, servicios de suministro de comidas y bebidas</v>
      </c>
      <c r="F103" s="1" t="n">
        <f aca="false">VLOOKUP(B103,clasif_filas!$A$1:$J$39,5,FALSE())</f>
        <v>6</v>
      </c>
      <c r="G103" s="1" t="str">
        <f aca="false">VLOOKUP(B103,clasif_filas!$A$1:$J$39,6,FALSE())</f>
        <v>Conocimiento, procesos y servicios relacionados</v>
      </c>
      <c r="H103" s="1" t="n">
        <f aca="false">VLOOKUP(B103,clasif_filas!$A$1:$J$39,7,FALSE())</f>
        <v>6</v>
      </c>
      <c r="I103" s="1" t="str">
        <f aca="false">VLOOKUP(B103,clasif_filas!$A$1:$J$39,8,FALSE())</f>
        <v>Servicios comerciales de distribución; alojamiento, servicios de suministro de comidas y bebidas; servicios de transporte; y servicios de distribución de electricidad, gas y agua</v>
      </c>
      <c r="J103" s="1" t="n">
        <f aca="false">VLOOKUP(B103,clasif_filas!$A$1:$J$39,9,FALSE())</f>
        <v>2</v>
      </c>
      <c r="K103" s="1" t="str">
        <f aca="false">VLOOKUP(B103,clasif_filas!$A$1:$J$39,10,FALSE())</f>
        <v>Bioeconomía extendida</v>
      </c>
      <c r="L103" s="61"/>
    </row>
    <row r="104" customFormat="false" ht="14.25" hidden="true" customHeight="false" outlineLevel="0" collapsed="false">
      <c r="A104" s="9" t="s">
        <v>2028</v>
      </c>
      <c r="B104" s="1" t="n">
        <v>32</v>
      </c>
      <c r="C104" s="1" t="str">
        <f aca="false">VLOOKUP(B104,clasif_filas!$A$1:$J$39,2,FALSE())</f>
        <v>Pulpa de papel, papel y productos de papel; impresos, y artículos similares</v>
      </c>
      <c r="D104" s="1" t="n">
        <f aca="false">VLOOKUP(B104,clasif_filas!$A$1:$J$39,3,FALSE())</f>
        <v>32</v>
      </c>
      <c r="E104" s="1" t="str">
        <f aca="false">VLOOKUP(B104,clasif_filas!$A$1:$J$39,4,FALSE())</f>
        <v>Pulpa de papel, papel y productos de papel; impresos, y artículos similares</v>
      </c>
      <c r="F104" s="1" t="n">
        <f aca="false">VLOOKUP(B104,clasif_filas!$A$1:$J$39,5,FALSE())</f>
        <v>6</v>
      </c>
      <c r="G104" s="1" t="str">
        <f aca="false">VLOOKUP(B104,clasif_filas!$A$1:$J$39,6,FALSE())</f>
        <v>Conocimiento, procesos y servicios relacionados</v>
      </c>
      <c r="H104" s="1" t="n">
        <f aca="false">VLOOKUP(B104,clasif_filas!$A$1:$J$39,7,FALSE())</f>
        <v>3</v>
      </c>
      <c r="I104" s="1" t="str">
        <f aca="false">VLOOKUP(B104,clasif_filas!$A$1:$J$39,8,FALSE())</f>
        <v>Otros bienes transportables, excepto productos metálicos, maquinaria y equipo</v>
      </c>
      <c r="J104" s="1" t="n">
        <f aca="false">VLOOKUP(B104,clasif_filas!$A$1:$J$39,9,FALSE())</f>
        <v>1</v>
      </c>
      <c r="K104" s="1" t="str">
        <f aca="false">VLOOKUP(B104,clasif_filas!$A$1:$J$39,10,FALSE())</f>
        <v>Bioeconomía</v>
      </c>
      <c r="L104" s="61"/>
    </row>
    <row r="105" customFormat="false" ht="14.25" hidden="true" customHeight="false" outlineLevel="0" collapsed="false">
      <c r="A105" s="9" t="s">
        <v>2030</v>
      </c>
      <c r="B105" s="1" t="n">
        <v>83</v>
      </c>
      <c r="C105" s="1" t="str">
        <f aca="false">VLOOKUP(B105,clasif_filas!$A$1:$J$39,2,FALSE())</f>
        <v>Otros servicios profesionales, científicos y técnicos</v>
      </c>
      <c r="D105" s="1" t="n">
        <f aca="false">VLOOKUP(B105,clasif_filas!$A$1:$J$39,3,FALSE())</f>
        <v>83</v>
      </c>
      <c r="E105" s="1" t="str">
        <f aca="false">VLOOKUP(B105,clasif_filas!$A$1:$J$39,4,FALSE())</f>
        <v>Otros servicios profesionales, científicos y técnicos</v>
      </c>
      <c r="F105" s="1" t="n">
        <f aca="false">VLOOKUP(B105,clasif_filas!$A$1:$J$39,5,FALSE())</f>
        <v>6</v>
      </c>
      <c r="G105" s="1" t="str">
        <f aca="false">VLOOKUP(B105,clasif_filas!$A$1:$J$39,6,FALSE())</f>
        <v>Conocimiento, procesos y servicios relacionados</v>
      </c>
      <c r="H105" s="1" t="n">
        <f aca="false">VLOOKUP(B105,clasif_filas!$A$1:$J$39,7,FALSE())</f>
        <v>8</v>
      </c>
      <c r="I105" s="1" t="str">
        <f aca="false">VLOOKUP(B105,clasif_filas!$A$1:$J$39,8,FALSE())</f>
        <v>Servicios prestados a las empresas y servicios de producción</v>
      </c>
      <c r="J105" s="1" t="n">
        <f aca="false">VLOOKUP(B105,clasif_filas!$A$1:$J$39,9,FALSE())</f>
        <v>2</v>
      </c>
      <c r="K105" s="1" t="str">
        <f aca="false">VLOOKUP(B105,clasif_filas!$A$1:$J$39,10,FALSE())</f>
        <v>Bioeconomía extendida</v>
      </c>
      <c r="L105" s="61"/>
    </row>
    <row r="106" customFormat="false" ht="14.25" hidden="true" customHeight="false" outlineLevel="0" collapsed="false">
      <c r="A106" s="9" t="s">
        <v>2032</v>
      </c>
      <c r="B106" s="1" t="n">
        <v>6</v>
      </c>
      <c r="C106" s="1" t="str">
        <f aca="false">VLOOKUP(B106,clasif_filas!$A$1:$J$39,2,FALSE())</f>
        <v>Otros servicios</v>
      </c>
      <c r="D106" s="1" t="n">
        <f aca="false">VLOOKUP(B106,clasif_filas!$A$1:$J$39,3,FALSE())</f>
        <v>6</v>
      </c>
      <c r="E106" s="1" t="str">
        <f aca="false">VLOOKUP(B106,clasif_filas!$A$1:$J$39,4,FALSE())</f>
        <v>Otros servicios</v>
      </c>
      <c r="F106" s="1" t="n">
        <f aca="false">VLOOKUP(B106,clasif_filas!$A$1:$J$39,5,FALSE())</f>
        <v>99</v>
      </c>
      <c r="G106" s="1" t="str">
        <f aca="false">VLOOKUP(B106,clasif_filas!$A$1:$J$39,6,FALSE())</f>
        <v>No Bioeconomía</v>
      </c>
      <c r="H106" s="1" t="n">
        <f aca="false">VLOOKUP(B106,clasif_filas!$A$1:$J$39,7,FALSE())</f>
        <v>6</v>
      </c>
      <c r="I106" s="1" t="str">
        <f aca="false">VLOOKUP(B106,clasif_filas!$A$1:$J$39,8,FALSE())</f>
        <v>Servicios comerciales de distribución; alojamiento, servicios de suministro de comidas y bebidas; servicios de transporte; y servicios de distribución de electricidad, gas y agua</v>
      </c>
      <c r="J106" s="1" t="n">
        <f aca="false">VLOOKUP(B106,clasif_filas!$A$1:$J$39,9,FALSE())</f>
        <v>3</v>
      </c>
      <c r="K106" s="1" t="str">
        <f aca="false">VLOOKUP(B106,clasif_filas!$A$1:$J$39,10,FALSE())</f>
        <v>No bioeconomía</v>
      </c>
      <c r="L106" s="61"/>
    </row>
    <row r="107" customFormat="false" ht="14.25" hidden="true" customHeight="false" outlineLevel="0" collapsed="false">
      <c r="A107" s="9" t="s">
        <v>2034</v>
      </c>
      <c r="B107" s="1" t="n">
        <v>6</v>
      </c>
      <c r="C107" s="1" t="str">
        <f aca="false">VLOOKUP(B107,clasif_filas!$A$1:$J$39,2,FALSE())</f>
        <v>Otros servicios</v>
      </c>
      <c r="D107" s="1" t="n">
        <f aca="false">VLOOKUP(B107,clasif_filas!$A$1:$J$39,3,FALSE())</f>
        <v>6</v>
      </c>
      <c r="E107" s="1" t="str">
        <f aca="false">VLOOKUP(B107,clasif_filas!$A$1:$J$39,4,FALSE())</f>
        <v>Otros servicios</v>
      </c>
      <c r="F107" s="1" t="n">
        <f aca="false">VLOOKUP(B107,clasif_filas!$A$1:$J$39,5,FALSE())</f>
        <v>99</v>
      </c>
      <c r="G107" s="1" t="str">
        <f aca="false">VLOOKUP(B107,clasif_filas!$A$1:$J$39,6,FALSE())</f>
        <v>No Bioeconomía</v>
      </c>
      <c r="H107" s="1" t="n">
        <f aca="false">VLOOKUP(B107,clasif_filas!$A$1:$J$39,7,FALSE())</f>
        <v>6</v>
      </c>
      <c r="I107" s="1" t="str">
        <f aca="false">VLOOKUP(B107,clasif_filas!$A$1:$J$39,8,FALSE())</f>
        <v>Servicios comerciales de distribución; alojamiento, servicios de suministro de comidas y bebidas; servicios de transporte; y servicios de distribución de electricidad, gas y agua</v>
      </c>
      <c r="J107" s="1" t="n">
        <f aca="false">VLOOKUP(B107,clasif_filas!$A$1:$J$39,9,FALSE())</f>
        <v>3</v>
      </c>
      <c r="K107" s="1" t="str">
        <f aca="false">VLOOKUP(B107,clasif_filas!$A$1:$J$39,10,FALSE())</f>
        <v>No bioeconomía</v>
      </c>
      <c r="L107" s="61"/>
    </row>
    <row r="108" customFormat="false" ht="14.25" hidden="true" customHeight="false" outlineLevel="0" collapsed="false">
      <c r="A108" s="9" t="s">
        <v>2036</v>
      </c>
      <c r="B108" s="1" t="n">
        <v>6</v>
      </c>
      <c r="C108" s="1" t="str">
        <f aca="false">VLOOKUP(B108,clasif_filas!$A$1:$J$39,2,FALSE())</f>
        <v>Otros servicios</v>
      </c>
      <c r="D108" s="1" t="n">
        <f aca="false">VLOOKUP(B108,clasif_filas!$A$1:$J$39,3,FALSE())</f>
        <v>6</v>
      </c>
      <c r="E108" s="1" t="str">
        <f aca="false">VLOOKUP(B108,clasif_filas!$A$1:$J$39,4,FALSE())</f>
        <v>Otros servicios</v>
      </c>
      <c r="F108" s="1" t="n">
        <f aca="false">VLOOKUP(B108,clasif_filas!$A$1:$J$39,5,FALSE())</f>
        <v>99</v>
      </c>
      <c r="G108" s="1" t="str">
        <f aca="false">VLOOKUP(B108,clasif_filas!$A$1:$J$39,6,FALSE())</f>
        <v>No Bioeconomía</v>
      </c>
      <c r="H108" s="1" t="n">
        <f aca="false">VLOOKUP(B108,clasif_filas!$A$1:$J$39,7,FALSE())</f>
        <v>6</v>
      </c>
      <c r="I108" s="1" t="str">
        <f aca="false">VLOOKUP(B108,clasif_filas!$A$1:$J$39,8,FALSE())</f>
        <v>Servicios comerciales de distribución; alojamiento, servicios de suministro de comidas y bebidas; servicios de transporte; y servicios de distribución de electricidad, gas y agua</v>
      </c>
      <c r="J108" s="1" t="n">
        <f aca="false">VLOOKUP(B108,clasif_filas!$A$1:$J$39,9,FALSE())</f>
        <v>3</v>
      </c>
      <c r="K108" s="1" t="str">
        <f aca="false">VLOOKUP(B108,clasif_filas!$A$1:$J$39,10,FALSE())</f>
        <v>No bioeconomía</v>
      </c>
      <c r="L108" s="61"/>
    </row>
    <row r="109" customFormat="false" ht="14.25" hidden="true" customHeight="false" outlineLevel="0" collapsed="false">
      <c r="A109" s="9" t="s">
        <v>2038</v>
      </c>
      <c r="B109" s="1" t="n">
        <v>6</v>
      </c>
      <c r="C109" s="1" t="str">
        <f aca="false">VLOOKUP(B109,clasif_filas!$A$1:$J$39,2,FALSE())</f>
        <v>Otros servicios</v>
      </c>
      <c r="D109" s="1" t="n">
        <f aca="false">VLOOKUP(B109,clasif_filas!$A$1:$J$39,3,FALSE())</f>
        <v>6</v>
      </c>
      <c r="E109" s="1" t="str">
        <f aca="false">VLOOKUP(B109,clasif_filas!$A$1:$J$39,4,FALSE())</f>
        <v>Otros servicios</v>
      </c>
      <c r="F109" s="1" t="n">
        <f aca="false">VLOOKUP(B109,clasif_filas!$A$1:$J$39,5,FALSE())</f>
        <v>99</v>
      </c>
      <c r="G109" s="1" t="str">
        <f aca="false">VLOOKUP(B109,clasif_filas!$A$1:$J$39,6,FALSE())</f>
        <v>No Bioeconomía</v>
      </c>
      <c r="H109" s="1" t="n">
        <f aca="false">VLOOKUP(B109,clasif_filas!$A$1:$J$39,7,FALSE())</f>
        <v>6</v>
      </c>
      <c r="I109" s="1" t="str">
        <f aca="false">VLOOKUP(B109,clasif_filas!$A$1:$J$39,8,FALSE())</f>
        <v>Servicios comerciales de distribución; alojamiento, servicios de suministro de comidas y bebidas; servicios de transporte; y servicios de distribución de electricidad, gas y agua</v>
      </c>
      <c r="J109" s="1" t="n">
        <f aca="false">VLOOKUP(B109,clasif_filas!$A$1:$J$39,9,FALSE())</f>
        <v>3</v>
      </c>
      <c r="K109" s="1" t="str">
        <f aca="false">VLOOKUP(B109,clasif_filas!$A$1:$J$39,10,FALSE())</f>
        <v>No bioeconomía</v>
      </c>
      <c r="L109" s="61"/>
    </row>
    <row r="110" customFormat="false" ht="14.25" hidden="true" customHeight="false" outlineLevel="0" collapsed="false">
      <c r="A110" s="9" t="s">
        <v>2040</v>
      </c>
      <c r="B110" s="1" t="n">
        <v>6</v>
      </c>
      <c r="C110" s="1" t="str">
        <f aca="false">VLOOKUP(B110,clasif_filas!$A$1:$J$39,2,FALSE())</f>
        <v>Otros servicios</v>
      </c>
      <c r="D110" s="1" t="n">
        <f aca="false">VLOOKUP(B110,clasif_filas!$A$1:$J$39,3,FALSE())</f>
        <v>6</v>
      </c>
      <c r="E110" s="1" t="str">
        <f aca="false">VLOOKUP(B110,clasif_filas!$A$1:$J$39,4,FALSE())</f>
        <v>Otros servicios</v>
      </c>
      <c r="F110" s="1" t="n">
        <f aca="false">VLOOKUP(B110,clasif_filas!$A$1:$J$39,5,FALSE())</f>
        <v>99</v>
      </c>
      <c r="G110" s="1" t="str">
        <f aca="false">VLOOKUP(B110,clasif_filas!$A$1:$J$39,6,FALSE())</f>
        <v>No Bioeconomía</v>
      </c>
      <c r="H110" s="1" t="n">
        <f aca="false">VLOOKUP(B110,clasif_filas!$A$1:$J$39,7,FALSE())</f>
        <v>6</v>
      </c>
      <c r="I110" s="1" t="str">
        <f aca="false">VLOOKUP(B110,clasif_filas!$A$1:$J$39,8,FALSE())</f>
        <v>Servicios comerciales de distribución; alojamiento, servicios de suministro de comidas y bebidas; servicios de transporte; y servicios de distribución de electricidad, gas y agua</v>
      </c>
      <c r="J110" s="1" t="n">
        <f aca="false">VLOOKUP(B110,clasif_filas!$A$1:$J$39,9,FALSE())</f>
        <v>3</v>
      </c>
      <c r="K110" s="1" t="str">
        <f aca="false">VLOOKUP(B110,clasif_filas!$A$1:$J$39,10,FALSE())</f>
        <v>No bioeconomía</v>
      </c>
      <c r="L110" s="61"/>
    </row>
    <row r="111" customFormat="false" ht="14.25" hidden="true" customHeight="false" outlineLevel="0" collapsed="false">
      <c r="A111" s="9" t="s">
        <v>2042</v>
      </c>
      <c r="B111" s="1" t="n">
        <v>6</v>
      </c>
      <c r="C111" s="1" t="str">
        <f aca="false">VLOOKUP(B111,clasif_filas!$A$1:$J$39,2,FALSE())</f>
        <v>Otros servicios</v>
      </c>
      <c r="D111" s="1" t="n">
        <f aca="false">VLOOKUP(B111,clasif_filas!$A$1:$J$39,3,FALSE())</f>
        <v>6</v>
      </c>
      <c r="E111" s="1" t="str">
        <f aca="false">VLOOKUP(B111,clasif_filas!$A$1:$J$39,4,FALSE())</f>
        <v>Otros servicios</v>
      </c>
      <c r="F111" s="1" t="n">
        <f aca="false">VLOOKUP(B111,clasif_filas!$A$1:$J$39,5,FALSE())</f>
        <v>99</v>
      </c>
      <c r="G111" s="1" t="str">
        <f aca="false">VLOOKUP(B111,clasif_filas!$A$1:$J$39,6,FALSE())</f>
        <v>No Bioeconomía</v>
      </c>
      <c r="H111" s="1" t="n">
        <f aca="false">VLOOKUP(B111,clasif_filas!$A$1:$J$39,7,FALSE())</f>
        <v>6</v>
      </c>
      <c r="I111" s="1" t="str">
        <f aca="false">VLOOKUP(B111,clasif_filas!$A$1:$J$39,8,FALSE())</f>
        <v>Servicios comerciales de distribución; alojamiento, servicios de suministro de comidas y bebidas; servicios de transporte; y servicios de distribución de electricidad, gas y agua</v>
      </c>
      <c r="J111" s="1" t="n">
        <f aca="false">VLOOKUP(B111,clasif_filas!$A$1:$J$39,9,FALSE())</f>
        <v>3</v>
      </c>
      <c r="K111" s="1" t="str">
        <f aca="false">VLOOKUP(B111,clasif_filas!$A$1:$J$39,10,FALSE())</f>
        <v>No bioeconomía</v>
      </c>
      <c r="L111" s="61"/>
    </row>
    <row r="112" customFormat="false" ht="14.25" hidden="true" customHeight="false" outlineLevel="0" collapsed="false">
      <c r="A112" s="9" t="s">
        <v>2044</v>
      </c>
      <c r="B112" s="1" t="n">
        <v>81</v>
      </c>
      <c r="C112" s="1" t="str">
        <f aca="false">VLOOKUP(B112,clasif_filas!$A$1:$J$39,2,FALSE())</f>
        <v>Servicios de investigación y desarrollo</v>
      </c>
      <c r="D112" s="1" t="n">
        <f aca="false">VLOOKUP(B112,clasif_filas!$A$1:$J$39,3,FALSE())</f>
        <v>81</v>
      </c>
      <c r="E112" s="1" t="str">
        <f aca="false">VLOOKUP(B112,clasif_filas!$A$1:$J$39,4,FALSE())</f>
        <v>Servicios de investigación y desarrollo</v>
      </c>
      <c r="F112" s="1" t="n">
        <f aca="false">VLOOKUP(B112,clasif_filas!$A$1:$J$39,5,FALSE())</f>
        <v>6</v>
      </c>
      <c r="G112" s="1" t="str">
        <f aca="false">VLOOKUP(B112,clasif_filas!$A$1:$J$39,6,FALSE())</f>
        <v>Conocimiento, procesos y servicios relacionados</v>
      </c>
      <c r="H112" s="1" t="n">
        <f aca="false">VLOOKUP(B112,clasif_filas!$A$1:$J$39,7,FALSE())</f>
        <v>8</v>
      </c>
      <c r="I112" s="1" t="str">
        <f aca="false">VLOOKUP(B112,clasif_filas!$A$1:$J$39,8,FALSE())</f>
        <v>Servicios prestados a las empresas y servicios de producción</v>
      </c>
      <c r="J112" s="1" t="n">
        <f aca="false">VLOOKUP(B112,clasif_filas!$A$1:$J$39,9,FALSE())</f>
        <v>2</v>
      </c>
      <c r="K112" s="1" t="str">
        <f aca="false">VLOOKUP(B112,clasif_filas!$A$1:$J$39,10,FALSE())</f>
        <v>Bioeconomía extendida</v>
      </c>
      <c r="L112" s="61"/>
    </row>
    <row r="113" customFormat="false" ht="14.25" hidden="true" customHeight="false" outlineLevel="0" collapsed="false">
      <c r="A113" s="9" t="s">
        <v>2046</v>
      </c>
      <c r="B113" s="1" t="n">
        <v>5</v>
      </c>
      <c r="C113" s="1" t="str">
        <f aca="false">VLOOKUP(B113,clasif_filas!$A$1:$J$39,2,FALSE())</f>
        <v>Construcciones y servicios de construcción</v>
      </c>
      <c r="D113" s="1" t="n">
        <f aca="false">VLOOKUP(B113,clasif_filas!$A$1:$J$39,3,FALSE())</f>
        <v>5</v>
      </c>
      <c r="E113" s="1" t="str">
        <f aca="false">VLOOKUP(B113,clasif_filas!$A$1:$J$39,4,FALSE())</f>
        <v>Construcciones y servicios de construcción</v>
      </c>
      <c r="F113" s="1" t="n">
        <f aca="false">VLOOKUP(B113,clasif_filas!$A$1:$J$39,5,FALSE())</f>
        <v>99</v>
      </c>
      <c r="G113" s="1" t="str">
        <f aca="false">VLOOKUP(B113,clasif_filas!$A$1:$J$39,6,FALSE())</f>
        <v>No Bioeconomía</v>
      </c>
      <c r="H113" s="1" t="n">
        <f aca="false">VLOOKUP(B113,clasif_filas!$A$1:$J$39,7,FALSE())</f>
        <v>5</v>
      </c>
      <c r="I113" s="1" t="str">
        <f aca="false">VLOOKUP(B113,clasif_filas!$A$1:$J$39,8,FALSE())</f>
        <v>Construcciones y servicios de construcción</v>
      </c>
      <c r="J113" s="1" t="n">
        <f aca="false">VLOOKUP(B113,clasif_filas!$A$1:$J$39,9,FALSE())</f>
        <v>3</v>
      </c>
      <c r="K113" s="1" t="str">
        <f aca="false">VLOOKUP(B113,clasif_filas!$A$1:$J$39,10,FALSE())</f>
        <v>No bioeconomía</v>
      </c>
      <c r="L113" s="61"/>
    </row>
    <row r="114" customFormat="false" ht="14.25" hidden="true" customHeight="false" outlineLevel="0" collapsed="false">
      <c r="A114" s="9" t="s">
        <v>2048</v>
      </c>
      <c r="B114" s="1" t="n">
        <v>83</v>
      </c>
      <c r="C114" s="1" t="str">
        <f aca="false">VLOOKUP(B114,clasif_filas!$A$1:$J$39,2,FALSE())</f>
        <v>Otros servicios profesionales, científicos y técnicos</v>
      </c>
      <c r="D114" s="1" t="n">
        <f aca="false">VLOOKUP(B114,clasif_filas!$A$1:$J$39,3,FALSE())</f>
        <v>83</v>
      </c>
      <c r="E114" s="1" t="str">
        <f aca="false">VLOOKUP(B114,clasif_filas!$A$1:$J$39,4,FALSE())</f>
        <v>Otros servicios profesionales, científicos y técnicos</v>
      </c>
      <c r="F114" s="1" t="n">
        <f aca="false">VLOOKUP(B114,clasif_filas!$A$1:$J$39,5,FALSE())</f>
        <v>6</v>
      </c>
      <c r="G114" s="1" t="str">
        <f aca="false">VLOOKUP(B114,clasif_filas!$A$1:$J$39,6,FALSE())</f>
        <v>Conocimiento, procesos y servicios relacionados</v>
      </c>
      <c r="H114" s="1" t="n">
        <f aca="false">VLOOKUP(B114,clasif_filas!$A$1:$J$39,7,FALSE())</f>
        <v>8</v>
      </c>
      <c r="I114" s="1" t="str">
        <f aca="false">VLOOKUP(B114,clasif_filas!$A$1:$J$39,8,FALSE())</f>
        <v>Servicios prestados a las empresas y servicios de producción</v>
      </c>
      <c r="J114" s="1" t="n">
        <f aca="false">VLOOKUP(B114,clasif_filas!$A$1:$J$39,9,FALSE())</f>
        <v>2</v>
      </c>
      <c r="K114" s="1" t="str">
        <f aca="false">VLOOKUP(B114,clasif_filas!$A$1:$J$39,10,FALSE())</f>
        <v>Bioeconomía extendida</v>
      </c>
      <c r="L114" s="61"/>
    </row>
    <row r="115" customFormat="false" ht="14.25" hidden="true" customHeight="false" outlineLevel="0" collapsed="false">
      <c r="A115" s="9" t="s">
        <v>2050</v>
      </c>
      <c r="B115" s="1" t="n">
        <v>6</v>
      </c>
      <c r="C115" s="1" t="str">
        <f aca="false">VLOOKUP(B115,clasif_filas!$A$1:$J$39,2,FALSE())</f>
        <v>Otros servicios</v>
      </c>
      <c r="D115" s="1" t="n">
        <f aca="false">VLOOKUP(B115,clasif_filas!$A$1:$J$39,3,FALSE())</f>
        <v>6</v>
      </c>
      <c r="E115" s="1" t="str">
        <f aca="false">VLOOKUP(B115,clasif_filas!$A$1:$J$39,4,FALSE())</f>
        <v>Otros servicios</v>
      </c>
      <c r="F115" s="1" t="n">
        <f aca="false">VLOOKUP(B115,clasif_filas!$A$1:$J$39,5,FALSE())</f>
        <v>99</v>
      </c>
      <c r="G115" s="1" t="str">
        <f aca="false">VLOOKUP(B115,clasif_filas!$A$1:$J$39,6,FALSE())</f>
        <v>No Bioeconomía</v>
      </c>
      <c r="H115" s="1" t="n">
        <f aca="false">VLOOKUP(B115,clasif_filas!$A$1:$J$39,7,FALSE())</f>
        <v>6</v>
      </c>
      <c r="I115" s="1" t="str">
        <f aca="false">VLOOKUP(B115,clasif_filas!$A$1:$J$39,8,FALSE())</f>
        <v>Servicios comerciales de distribución; alojamiento, servicios de suministro de comidas y bebidas; servicios de transporte; y servicios de distribución de electricidad, gas y agua</v>
      </c>
      <c r="J115" s="1" t="n">
        <f aca="false">VLOOKUP(B115,clasif_filas!$A$1:$J$39,9,FALSE())</f>
        <v>3</v>
      </c>
      <c r="K115" s="1" t="str">
        <f aca="false">VLOOKUP(B115,clasif_filas!$A$1:$J$39,10,FALSE())</f>
        <v>No bioeconomía</v>
      </c>
      <c r="L115" s="61"/>
    </row>
    <row r="116" customFormat="false" ht="14.25" hidden="true" customHeight="false" outlineLevel="0" collapsed="false">
      <c r="A116" s="9" t="s">
        <v>2052</v>
      </c>
      <c r="B116" s="1" t="n">
        <v>6</v>
      </c>
      <c r="C116" s="1" t="str">
        <f aca="false">VLOOKUP(B116,clasif_filas!$A$1:$J$39,2,FALSE())</f>
        <v>Otros servicios</v>
      </c>
      <c r="D116" s="1" t="n">
        <f aca="false">VLOOKUP(B116,clasif_filas!$A$1:$J$39,3,FALSE())</f>
        <v>6</v>
      </c>
      <c r="E116" s="1" t="str">
        <f aca="false">VLOOKUP(B116,clasif_filas!$A$1:$J$39,4,FALSE())</f>
        <v>Otros servicios</v>
      </c>
      <c r="F116" s="1" t="n">
        <f aca="false">VLOOKUP(B116,clasif_filas!$A$1:$J$39,5,FALSE())</f>
        <v>99</v>
      </c>
      <c r="G116" s="1" t="str">
        <f aca="false">VLOOKUP(B116,clasif_filas!$A$1:$J$39,6,FALSE())</f>
        <v>No Bioeconomía</v>
      </c>
      <c r="H116" s="1" t="n">
        <f aca="false">VLOOKUP(B116,clasif_filas!$A$1:$J$39,7,FALSE())</f>
        <v>6</v>
      </c>
      <c r="I116" s="1" t="str">
        <f aca="false">VLOOKUP(B116,clasif_filas!$A$1:$J$39,8,FALSE())</f>
        <v>Servicios comerciales de distribución; alojamiento, servicios de suministro de comidas y bebidas; servicios de transporte; y servicios de distribución de electricidad, gas y agua</v>
      </c>
      <c r="J116" s="1" t="n">
        <f aca="false">VLOOKUP(B116,clasif_filas!$A$1:$J$39,9,FALSE())</f>
        <v>3</v>
      </c>
      <c r="K116" s="1" t="str">
        <f aca="false">VLOOKUP(B116,clasif_filas!$A$1:$J$39,10,FALSE())</f>
        <v>No bioeconomía</v>
      </c>
      <c r="L116" s="61"/>
    </row>
    <row r="117" customFormat="false" ht="14.25" hidden="true" customHeight="false" outlineLevel="0" collapsed="false">
      <c r="A117" s="9" t="s">
        <v>2054</v>
      </c>
      <c r="B117" s="1" t="n">
        <v>6</v>
      </c>
      <c r="C117" s="1" t="str">
        <f aca="false">VLOOKUP(B117,clasif_filas!$A$1:$J$39,2,FALSE())</f>
        <v>Otros servicios</v>
      </c>
      <c r="D117" s="1" t="n">
        <f aca="false">VLOOKUP(B117,clasif_filas!$A$1:$J$39,3,FALSE())</f>
        <v>6</v>
      </c>
      <c r="E117" s="1" t="str">
        <f aca="false">VLOOKUP(B117,clasif_filas!$A$1:$J$39,4,FALSE())</f>
        <v>Otros servicios</v>
      </c>
      <c r="F117" s="1" t="n">
        <f aca="false">VLOOKUP(B117,clasif_filas!$A$1:$J$39,5,FALSE())</f>
        <v>99</v>
      </c>
      <c r="G117" s="1" t="str">
        <f aca="false">VLOOKUP(B117,clasif_filas!$A$1:$J$39,6,FALSE())</f>
        <v>No Bioeconomía</v>
      </c>
      <c r="H117" s="1" t="n">
        <f aca="false">VLOOKUP(B117,clasif_filas!$A$1:$J$39,7,FALSE())</f>
        <v>6</v>
      </c>
      <c r="I117" s="1" t="str">
        <f aca="false">VLOOKUP(B117,clasif_filas!$A$1:$J$39,8,FALSE())</f>
        <v>Servicios comerciales de distribución; alojamiento, servicios de suministro de comidas y bebidas; servicios de transporte; y servicios de distribución de electricidad, gas y agua</v>
      </c>
      <c r="J117" s="1" t="n">
        <f aca="false">VLOOKUP(B117,clasif_filas!$A$1:$J$39,9,FALSE())</f>
        <v>3</v>
      </c>
      <c r="K117" s="1" t="str">
        <f aca="false">VLOOKUP(B117,clasif_filas!$A$1:$J$39,10,FALSE())</f>
        <v>No bioeconomía</v>
      </c>
      <c r="L117" s="61"/>
    </row>
    <row r="118" customFormat="false" ht="14.25" hidden="true" customHeight="false" outlineLevel="0" collapsed="false">
      <c r="A118" s="9" t="s">
        <v>2056</v>
      </c>
      <c r="B118" s="1" t="n">
        <v>6</v>
      </c>
      <c r="C118" s="1" t="str">
        <f aca="false">VLOOKUP(B118,clasif_filas!$A$1:$J$39,2,FALSE())</f>
        <v>Otros servicios</v>
      </c>
      <c r="D118" s="1" t="n">
        <f aca="false">VLOOKUP(B118,clasif_filas!$A$1:$J$39,3,FALSE())</f>
        <v>6</v>
      </c>
      <c r="E118" s="1" t="str">
        <f aca="false">VLOOKUP(B118,clasif_filas!$A$1:$J$39,4,FALSE())</f>
        <v>Otros servicios</v>
      </c>
      <c r="F118" s="1" t="n">
        <f aca="false">VLOOKUP(B118,clasif_filas!$A$1:$J$39,5,FALSE())</f>
        <v>99</v>
      </c>
      <c r="G118" s="1" t="str">
        <f aca="false">VLOOKUP(B118,clasif_filas!$A$1:$J$39,6,FALSE())</f>
        <v>No Bioeconomía</v>
      </c>
      <c r="H118" s="1" t="n">
        <f aca="false">VLOOKUP(B118,clasif_filas!$A$1:$J$39,7,FALSE())</f>
        <v>6</v>
      </c>
      <c r="I118" s="1" t="str">
        <f aca="false">VLOOKUP(B118,clasif_filas!$A$1:$J$39,8,FALSE())</f>
        <v>Servicios comerciales de distribución; alojamiento, servicios de suministro de comidas y bebidas; servicios de transporte; y servicios de distribución de electricidad, gas y agua</v>
      </c>
      <c r="J118" s="1" t="n">
        <f aca="false">VLOOKUP(B118,clasif_filas!$A$1:$J$39,9,FALSE())</f>
        <v>3</v>
      </c>
      <c r="K118" s="1" t="str">
        <f aca="false">VLOOKUP(B118,clasif_filas!$A$1:$J$39,10,FALSE())</f>
        <v>No bioeconomía</v>
      </c>
      <c r="L118" s="61"/>
    </row>
    <row r="119" customFormat="false" ht="14.25" hidden="true" customHeight="false" outlineLevel="0" collapsed="false">
      <c r="A119" s="9" t="s">
        <v>2058</v>
      </c>
      <c r="B119" s="1" t="n">
        <v>6</v>
      </c>
      <c r="C119" s="1" t="str">
        <f aca="false">VLOOKUP(B119,clasif_filas!$A$1:$J$39,2,FALSE())</f>
        <v>Otros servicios</v>
      </c>
      <c r="D119" s="1" t="n">
        <f aca="false">VLOOKUP(B119,clasif_filas!$A$1:$J$39,3,FALSE())</f>
        <v>6</v>
      </c>
      <c r="E119" s="1" t="str">
        <f aca="false">VLOOKUP(B119,clasif_filas!$A$1:$J$39,4,FALSE())</f>
        <v>Otros servicios</v>
      </c>
      <c r="F119" s="1" t="n">
        <f aca="false">VLOOKUP(B119,clasif_filas!$A$1:$J$39,5,FALSE())</f>
        <v>99</v>
      </c>
      <c r="G119" s="1" t="str">
        <f aca="false">VLOOKUP(B119,clasif_filas!$A$1:$J$39,6,FALSE())</f>
        <v>No Bioeconomía</v>
      </c>
      <c r="H119" s="1" t="n">
        <f aca="false">VLOOKUP(B119,clasif_filas!$A$1:$J$39,7,FALSE())</f>
        <v>6</v>
      </c>
      <c r="I119" s="1" t="str">
        <f aca="false">VLOOKUP(B119,clasif_filas!$A$1:$J$39,8,FALSE())</f>
        <v>Servicios comerciales de distribución; alojamiento, servicios de suministro de comidas y bebidas; servicios de transporte; y servicios de distribución de electricidad, gas y agua</v>
      </c>
      <c r="J119" s="1" t="n">
        <f aca="false">VLOOKUP(B119,clasif_filas!$A$1:$J$39,9,FALSE())</f>
        <v>3</v>
      </c>
      <c r="K119" s="1" t="str">
        <f aca="false">VLOOKUP(B119,clasif_filas!$A$1:$J$39,10,FALSE())</f>
        <v>No bioeconomía</v>
      </c>
      <c r="L119" s="61"/>
    </row>
    <row r="120" customFormat="false" ht="14.25" hidden="true" customHeight="false" outlineLevel="0" collapsed="false">
      <c r="A120" s="9" t="s">
        <v>2060</v>
      </c>
      <c r="B120" s="1" t="n">
        <v>6</v>
      </c>
      <c r="C120" s="1" t="str">
        <f aca="false">VLOOKUP(B120,clasif_filas!$A$1:$J$39,2,FALSE())</f>
        <v>Otros servicios</v>
      </c>
      <c r="D120" s="1" t="n">
        <f aca="false">VLOOKUP(B120,clasif_filas!$A$1:$J$39,3,FALSE())</f>
        <v>6</v>
      </c>
      <c r="E120" s="1" t="str">
        <f aca="false">VLOOKUP(B120,clasif_filas!$A$1:$J$39,4,FALSE())</f>
        <v>Otros servicios</v>
      </c>
      <c r="F120" s="1" t="n">
        <f aca="false">VLOOKUP(B120,clasif_filas!$A$1:$J$39,5,FALSE())</f>
        <v>99</v>
      </c>
      <c r="G120" s="1" t="str">
        <f aca="false">VLOOKUP(B120,clasif_filas!$A$1:$J$39,6,FALSE())</f>
        <v>No Bioeconomía</v>
      </c>
      <c r="H120" s="1" t="n">
        <f aca="false">VLOOKUP(B120,clasif_filas!$A$1:$J$39,7,FALSE())</f>
        <v>6</v>
      </c>
      <c r="I120" s="1" t="str">
        <f aca="false">VLOOKUP(B120,clasif_filas!$A$1:$J$39,8,FALSE())</f>
        <v>Servicios comerciales de distribución; alojamiento, servicios de suministro de comidas y bebidas; servicios de transporte; y servicios de distribución de electricidad, gas y agua</v>
      </c>
      <c r="J120" s="1" t="n">
        <f aca="false">VLOOKUP(B120,clasif_filas!$A$1:$J$39,9,FALSE())</f>
        <v>3</v>
      </c>
      <c r="K120" s="1" t="str">
        <f aca="false">VLOOKUP(B120,clasif_filas!$A$1:$J$39,10,FALSE())</f>
        <v>No bioeconomía</v>
      </c>
      <c r="L120" s="61"/>
    </row>
    <row r="121" customFormat="false" ht="14.25" hidden="true" customHeight="false" outlineLevel="0" collapsed="false">
      <c r="A121" s="9" t="s">
        <v>2062</v>
      </c>
      <c r="B121" s="1" t="n">
        <v>6</v>
      </c>
      <c r="C121" s="1" t="str">
        <f aca="false">VLOOKUP(B121,clasif_filas!$A$1:$J$39,2,FALSE())</f>
        <v>Otros servicios</v>
      </c>
      <c r="D121" s="1" t="n">
        <f aca="false">VLOOKUP(B121,clasif_filas!$A$1:$J$39,3,FALSE())</f>
        <v>6</v>
      </c>
      <c r="E121" s="1" t="str">
        <f aca="false">VLOOKUP(B121,clasif_filas!$A$1:$J$39,4,FALSE())</f>
        <v>Otros servicios</v>
      </c>
      <c r="F121" s="1" t="n">
        <f aca="false">VLOOKUP(B121,clasif_filas!$A$1:$J$39,5,FALSE())</f>
        <v>99</v>
      </c>
      <c r="G121" s="1" t="str">
        <f aca="false">VLOOKUP(B121,clasif_filas!$A$1:$J$39,6,FALSE())</f>
        <v>No Bioeconomía</v>
      </c>
      <c r="H121" s="1" t="n">
        <f aca="false">VLOOKUP(B121,clasif_filas!$A$1:$J$39,7,FALSE())</f>
        <v>6</v>
      </c>
      <c r="I121" s="1" t="str">
        <f aca="false">VLOOKUP(B121,clasif_filas!$A$1:$J$39,8,FALSE())</f>
        <v>Servicios comerciales de distribución; alojamiento, servicios de suministro de comidas y bebidas; servicios de transporte; y servicios de distribución de electricidad, gas y agua</v>
      </c>
      <c r="J121" s="1" t="n">
        <f aca="false">VLOOKUP(B121,clasif_filas!$A$1:$J$39,9,FALSE())</f>
        <v>3</v>
      </c>
      <c r="K121" s="1" t="str">
        <f aca="false">VLOOKUP(B121,clasif_filas!$A$1:$J$39,10,FALSE())</f>
        <v>No bioeconomía</v>
      </c>
      <c r="L121" s="61"/>
    </row>
    <row r="122" customFormat="false" ht="14.25" hidden="true" customHeight="false" outlineLevel="0" collapsed="false">
      <c r="A122" s="9" t="s">
        <v>2064</v>
      </c>
      <c r="B122" s="1" t="n">
        <v>6</v>
      </c>
      <c r="C122" s="1" t="str">
        <f aca="false">VLOOKUP(B122,clasif_filas!$A$1:$J$39,2,FALSE())</f>
        <v>Otros servicios</v>
      </c>
      <c r="D122" s="1" t="n">
        <f aca="false">VLOOKUP(B122,clasif_filas!$A$1:$J$39,3,FALSE())</f>
        <v>6</v>
      </c>
      <c r="E122" s="1" t="str">
        <f aca="false">VLOOKUP(B122,clasif_filas!$A$1:$J$39,4,FALSE())</f>
        <v>Otros servicios</v>
      </c>
      <c r="F122" s="1" t="n">
        <f aca="false">VLOOKUP(B122,clasif_filas!$A$1:$J$39,5,FALSE())</f>
        <v>99</v>
      </c>
      <c r="G122" s="1" t="str">
        <f aca="false">VLOOKUP(B122,clasif_filas!$A$1:$J$39,6,FALSE())</f>
        <v>No Bioeconomía</v>
      </c>
      <c r="H122" s="1" t="n">
        <f aca="false">VLOOKUP(B122,clasif_filas!$A$1:$J$39,7,FALSE())</f>
        <v>6</v>
      </c>
      <c r="I122" s="1" t="str">
        <f aca="false">VLOOKUP(B122,clasif_filas!$A$1:$J$39,8,FALSE())</f>
        <v>Servicios comerciales de distribución; alojamiento, servicios de suministro de comidas y bebidas; servicios de transporte; y servicios de distribución de electricidad, gas y agua</v>
      </c>
      <c r="J122" s="1" t="n">
        <f aca="false">VLOOKUP(B122,clasif_filas!$A$1:$J$39,9,FALSE())</f>
        <v>3</v>
      </c>
      <c r="K122" s="1" t="str">
        <f aca="false">VLOOKUP(B122,clasif_filas!$A$1:$J$39,10,FALSE())</f>
        <v>No bioeconomía</v>
      </c>
      <c r="L122" s="61"/>
    </row>
    <row r="123" customFormat="false" ht="14.25" hidden="true" customHeight="false" outlineLevel="0" collapsed="false">
      <c r="A123" s="9" t="s">
        <v>2066</v>
      </c>
      <c r="B123" s="1" t="n">
        <v>6</v>
      </c>
      <c r="C123" s="1" t="str">
        <f aca="false">VLOOKUP(B123,clasif_filas!$A$1:$J$39,2,FALSE())</f>
        <v>Otros servicios</v>
      </c>
      <c r="D123" s="1" t="n">
        <f aca="false">VLOOKUP(B123,clasif_filas!$A$1:$J$39,3,FALSE())</f>
        <v>6</v>
      </c>
      <c r="E123" s="1" t="str">
        <f aca="false">VLOOKUP(B123,clasif_filas!$A$1:$J$39,4,FALSE())</f>
        <v>Otros servicios</v>
      </c>
      <c r="F123" s="1" t="n">
        <f aca="false">VLOOKUP(B123,clasif_filas!$A$1:$J$39,5,FALSE())</f>
        <v>99</v>
      </c>
      <c r="G123" s="1" t="str">
        <f aca="false">VLOOKUP(B123,clasif_filas!$A$1:$J$39,6,FALSE())</f>
        <v>No Bioeconomía</v>
      </c>
      <c r="H123" s="1" t="n">
        <f aca="false">VLOOKUP(B123,clasif_filas!$A$1:$J$39,7,FALSE())</f>
        <v>6</v>
      </c>
      <c r="I123" s="1" t="str">
        <f aca="false">VLOOKUP(B123,clasif_filas!$A$1:$J$39,8,FALSE())</f>
        <v>Servicios comerciales de distribución; alojamiento, servicios de suministro de comidas y bebidas; servicios de transporte; y servicios de distribución de electricidad, gas y agua</v>
      </c>
      <c r="J123" s="1" t="n">
        <f aca="false">VLOOKUP(B123,clasif_filas!$A$1:$J$39,9,FALSE())</f>
        <v>3</v>
      </c>
      <c r="K123" s="1" t="str">
        <f aca="false">VLOOKUP(B123,clasif_filas!$A$1:$J$39,10,FALSE())</f>
        <v>No bioeconomía</v>
      </c>
      <c r="L123" s="61"/>
    </row>
    <row r="124" customFormat="false" ht="14.25" hidden="true" customHeight="false" outlineLevel="0" collapsed="false">
      <c r="A124" s="9" t="s">
        <v>2068</v>
      </c>
      <c r="B124" s="1" t="n">
        <v>6</v>
      </c>
      <c r="C124" s="1" t="str">
        <f aca="false">VLOOKUP(B124,clasif_filas!$A$1:$J$39,2,FALSE())</f>
        <v>Otros servicios</v>
      </c>
      <c r="D124" s="1" t="n">
        <f aca="false">VLOOKUP(B124,clasif_filas!$A$1:$J$39,3,FALSE())</f>
        <v>6</v>
      </c>
      <c r="E124" s="1" t="str">
        <f aca="false">VLOOKUP(B124,clasif_filas!$A$1:$J$39,4,FALSE())</f>
        <v>Otros servicios</v>
      </c>
      <c r="F124" s="1" t="n">
        <f aca="false">VLOOKUP(B124,clasif_filas!$A$1:$J$39,5,FALSE())</f>
        <v>99</v>
      </c>
      <c r="G124" s="1" t="str">
        <f aca="false">VLOOKUP(B124,clasif_filas!$A$1:$J$39,6,FALSE())</f>
        <v>No Bioeconomía</v>
      </c>
      <c r="H124" s="1" t="n">
        <f aca="false">VLOOKUP(B124,clasif_filas!$A$1:$J$39,7,FALSE())</f>
        <v>6</v>
      </c>
      <c r="I124" s="1" t="str">
        <f aca="false">VLOOKUP(B124,clasif_filas!$A$1:$J$39,8,FALSE())</f>
        <v>Servicios comerciales de distribución; alojamiento, servicios de suministro de comidas y bebidas; servicios de transporte; y servicios de distribución de electricidad, gas y agua</v>
      </c>
      <c r="J124" s="1" t="n">
        <f aca="false">VLOOKUP(B124,clasif_filas!$A$1:$J$39,9,FALSE())</f>
        <v>3</v>
      </c>
      <c r="K124" s="1" t="str">
        <f aca="false">VLOOKUP(B124,clasif_filas!$A$1:$J$39,10,FALSE())</f>
        <v>No bioeconomía</v>
      </c>
      <c r="L124" s="61"/>
    </row>
    <row r="125" customFormat="false" ht="14.25" hidden="true" customHeight="false" outlineLevel="0" collapsed="false">
      <c r="A125" s="9" t="s">
        <v>2070</v>
      </c>
      <c r="B125" s="1" t="n">
        <v>6</v>
      </c>
      <c r="C125" s="1" t="str">
        <f aca="false">VLOOKUP(B125,clasif_filas!$A$1:$J$39,2,FALSE())</f>
        <v>Otros servicios</v>
      </c>
      <c r="D125" s="1" t="n">
        <f aca="false">VLOOKUP(B125,clasif_filas!$A$1:$J$39,3,FALSE())</f>
        <v>6</v>
      </c>
      <c r="E125" s="1" t="str">
        <f aca="false">VLOOKUP(B125,clasif_filas!$A$1:$J$39,4,FALSE())</f>
        <v>Otros servicios</v>
      </c>
      <c r="F125" s="1" t="n">
        <f aca="false">VLOOKUP(B125,clasif_filas!$A$1:$J$39,5,FALSE())</f>
        <v>99</v>
      </c>
      <c r="G125" s="1" t="str">
        <f aca="false">VLOOKUP(B125,clasif_filas!$A$1:$J$39,6,FALSE())</f>
        <v>No Bioeconomía</v>
      </c>
      <c r="H125" s="1" t="n">
        <f aca="false">VLOOKUP(B125,clasif_filas!$A$1:$J$39,7,FALSE())</f>
        <v>6</v>
      </c>
      <c r="I125" s="1" t="str">
        <f aca="false">VLOOKUP(B125,clasif_filas!$A$1:$J$39,8,FALSE())</f>
        <v>Servicios comerciales de distribución; alojamiento, servicios de suministro de comidas y bebidas; servicios de transporte; y servicios de distribución de electricidad, gas y agua</v>
      </c>
      <c r="J125" s="1" t="n">
        <f aca="false">VLOOKUP(B125,clasif_filas!$A$1:$J$39,9,FALSE())</f>
        <v>3</v>
      </c>
      <c r="K125" s="1" t="str">
        <f aca="false">VLOOKUP(B125,clasif_filas!$A$1:$J$39,10,FALSE())</f>
        <v>No bioeconomía</v>
      </c>
      <c r="L125" s="61"/>
    </row>
    <row r="126" customFormat="false" ht="14.25" hidden="true" customHeight="false" outlineLevel="0" collapsed="false">
      <c r="A126" s="9" t="s">
        <v>2072</v>
      </c>
      <c r="B126" s="1" t="n">
        <v>6</v>
      </c>
      <c r="C126" s="1" t="str">
        <f aca="false">VLOOKUP(B126,clasif_filas!$A$1:$J$39,2,FALSE())</f>
        <v>Otros servicios</v>
      </c>
      <c r="D126" s="1" t="n">
        <f aca="false">VLOOKUP(B126,clasif_filas!$A$1:$J$39,3,FALSE())</f>
        <v>6</v>
      </c>
      <c r="E126" s="1" t="str">
        <f aca="false">VLOOKUP(B126,clasif_filas!$A$1:$J$39,4,FALSE())</f>
        <v>Otros servicios</v>
      </c>
      <c r="F126" s="1" t="n">
        <f aca="false">VLOOKUP(B126,clasif_filas!$A$1:$J$39,5,FALSE())</f>
        <v>99</v>
      </c>
      <c r="G126" s="1" t="str">
        <f aca="false">VLOOKUP(B126,clasif_filas!$A$1:$J$39,6,FALSE())</f>
        <v>No Bioeconomía</v>
      </c>
      <c r="H126" s="1" t="n">
        <f aca="false">VLOOKUP(B126,clasif_filas!$A$1:$J$39,7,FALSE())</f>
        <v>6</v>
      </c>
      <c r="I126" s="1" t="str">
        <f aca="false">VLOOKUP(B126,clasif_filas!$A$1:$J$39,8,FALSE())</f>
        <v>Servicios comerciales de distribución; alojamiento, servicios de suministro de comidas y bebidas; servicios de transporte; y servicios de distribución de electricidad, gas y agua</v>
      </c>
      <c r="J126" s="1" t="n">
        <f aca="false">VLOOKUP(B126,clasif_filas!$A$1:$J$39,9,FALSE())</f>
        <v>3</v>
      </c>
      <c r="K126" s="1" t="str">
        <f aca="false">VLOOKUP(B126,clasif_filas!$A$1:$J$39,10,FALSE())</f>
        <v>No bioeconomía</v>
      </c>
      <c r="L126" s="61"/>
    </row>
    <row r="127" customFormat="false" ht="14.25" hidden="true" customHeight="false" outlineLevel="0" collapsed="false">
      <c r="A127" s="9" t="s">
        <v>2074</v>
      </c>
      <c r="B127" s="1" t="n">
        <v>6</v>
      </c>
      <c r="C127" s="1" t="str">
        <f aca="false">VLOOKUP(B127,clasif_filas!$A$1:$J$39,2,FALSE())</f>
        <v>Otros servicios</v>
      </c>
      <c r="D127" s="1" t="n">
        <f aca="false">VLOOKUP(B127,clasif_filas!$A$1:$J$39,3,FALSE())</f>
        <v>6</v>
      </c>
      <c r="E127" s="1" t="str">
        <f aca="false">VLOOKUP(B127,clasif_filas!$A$1:$J$39,4,FALSE())</f>
        <v>Otros servicios</v>
      </c>
      <c r="F127" s="1" t="n">
        <f aca="false">VLOOKUP(B127,clasif_filas!$A$1:$J$39,5,FALSE())</f>
        <v>99</v>
      </c>
      <c r="G127" s="1" t="str">
        <f aca="false">VLOOKUP(B127,clasif_filas!$A$1:$J$39,6,FALSE())</f>
        <v>No Bioeconomía</v>
      </c>
      <c r="H127" s="1" t="n">
        <f aca="false">VLOOKUP(B127,clasif_filas!$A$1:$J$39,7,FALSE())</f>
        <v>6</v>
      </c>
      <c r="I127" s="1" t="str">
        <f aca="false">VLOOKUP(B127,clasif_filas!$A$1:$J$39,8,FALSE())</f>
        <v>Servicios comerciales de distribución; alojamiento, servicios de suministro de comidas y bebidas; servicios de transporte; y servicios de distribución de electricidad, gas y agua</v>
      </c>
      <c r="J127" s="1" t="n">
        <f aca="false">VLOOKUP(B127,clasif_filas!$A$1:$J$39,9,FALSE())</f>
        <v>3</v>
      </c>
      <c r="K127" s="1" t="str">
        <f aca="false">VLOOKUP(B127,clasif_filas!$A$1:$J$39,10,FALSE())</f>
        <v>No bioeconomía</v>
      </c>
      <c r="L127" s="61"/>
    </row>
    <row r="128" customFormat="false" ht="14.25" hidden="true" customHeight="false" outlineLevel="0" collapsed="false">
      <c r="A128" s="9" t="s">
        <v>2076</v>
      </c>
      <c r="B128" s="1" t="n">
        <v>6</v>
      </c>
      <c r="C128" s="1" t="str">
        <f aca="false">VLOOKUP(B128,clasif_filas!$A$1:$J$39,2,FALSE())</f>
        <v>Otros servicios</v>
      </c>
      <c r="D128" s="1" t="n">
        <f aca="false">VLOOKUP(B128,clasif_filas!$A$1:$J$39,3,FALSE())</f>
        <v>6</v>
      </c>
      <c r="E128" s="1" t="str">
        <f aca="false">VLOOKUP(B128,clasif_filas!$A$1:$J$39,4,FALSE())</f>
        <v>Otros servicios</v>
      </c>
      <c r="F128" s="1" t="n">
        <f aca="false">VLOOKUP(B128,clasif_filas!$A$1:$J$39,5,FALSE())</f>
        <v>99</v>
      </c>
      <c r="G128" s="1" t="str">
        <f aca="false">VLOOKUP(B128,clasif_filas!$A$1:$J$39,6,FALSE())</f>
        <v>No Bioeconomía</v>
      </c>
      <c r="H128" s="1" t="n">
        <f aca="false">VLOOKUP(B128,clasif_filas!$A$1:$J$39,7,FALSE())</f>
        <v>6</v>
      </c>
      <c r="I128" s="1" t="str">
        <f aca="false">VLOOKUP(B128,clasif_filas!$A$1:$J$39,8,FALSE())</f>
        <v>Servicios comerciales de distribución; alojamiento, servicios de suministro de comidas y bebidas; servicios de transporte; y servicios de distribución de electricidad, gas y agua</v>
      </c>
      <c r="J128" s="1" t="n">
        <f aca="false">VLOOKUP(B128,clasif_filas!$A$1:$J$39,9,FALSE())</f>
        <v>3</v>
      </c>
      <c r="K128" s="1" t="str">
        <f aca="false">VLOOKUP(B128,clasif_filas!$A$1:$J$39,10,FALSE())</f>
        <v>No bioeconomía</v>
      </c>
      <c r="L128" s="61"/>
    </row>
    <row r="129" customFormat="false" ht="14.25" hidden="true" customHeight="false" outlineLevel="0" collapsed="false">
      <c r="A129" s="64" t="s">
        <v>2078</v>
      </c>
      <c r="B129" s="1" t="n">
        <v>6</v>
      </c>
      <c r="C129" s="1" t="str">
        <f aca="false">VLOOKUP(B129,clasif_filas!$A$1:$J$39,2,FALSE())</f>
        <v>Otros servicios</v>
      </c>
      <c r="D129" s="1" t="n">
        <f aca="false">VLOOKUP(B129,clasif_filas!$A$1:$J$39,3,FALSE())</f>
        <v>6</v>
      </c>
      <c r="E129" s="1" t="str">
        <f aca="false">VLOOKUP(B129,clasif_filas!$A$1:$J$39,4,FALSE())</f>
        <v>Otros servicios</v>
      </c>
      <c r="F129" s="1" t="n">
        <f aca="false">VLOOKUP(B129,clasif_filas!$A$1:$J$39,5,FALSE())</f>
        <v>99</v>
      </c>
      <c r="G129" s="1" t="str">
        <f aca="false">VLOOKUP(B129,clasif_filas!$A$1:$J$39,6,FALSE())</f>
        <v>No Bioeconomía</v>
      </c>
      <c r="H129" s="1" t="n">
        <f aca="false">VLOOKUP(B129,clasif_filas!$A$1:$J$39,7,FALSE())</f>
        <v>6</v>
      </c>
      <c r="I129" s="1" t="str">
        <f aca="false">VLOOKUP(B129,clasif_filas!$A$1:$J$39,8,FALSE())</f>
        <v>Servicios comerciales de distribución; alojamiento, servicios de suministro de comidas y bebidas; servicios de transporte; y servicios de distribución de electricidad, gas y agua</v>
      </c>
      <c r="J129" s="1" t="n">
        <f aca="false">VLOOKUP(B129,clasif_filas!$A$1:$J$39,9,FALSE())</f>
        <v>3</v>
      </c>
      <c r="K129" s="1" t="str">
        <f aca="false">VLOOKUP(B129,clasif_filas!$A$1:$J$39,10,FALSE())</f>
        <v>No bioeconomía</v>
      </c>
      <c r="L129" s="65"/>
    </row>
  </sheetData>
  <autoFilter ref="A1:K129">
    <filterColumn colId="0">
      <filters>
        <filter val="Bovinos e outros animais vivos, prods. animal, caça e serv."/>
        <filter val="Carne de bovinos e outros prod. de carne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46" activeCellId="0" sqref="D4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4.73"/>
    <col collapsed="false" customWidth="true" hidden="false" outlineLevel="0" max="4" min="4" style="1" width="34.09"/>
    <col collapsed="false" customWidth="true" hidden="false" outlineLevel="0" max="8" min="8" style="1" width="18.45"/>
  </cols>
  <sheetData>
    <row r="1" customFormat="false" ht="14.25" hidden="false" customHeight="false" outlineLevel="0" collapsed="false">
      <c r="A1" s="72" t="s">
        <v>1776</v>
      </c>
      <c r="B1" s="21" t="s">
        <v>1777</v>
      </c>
      <c r="C1" s="21" t="s">
        <v>1778</v>
      </c>
      <c r="D1" s="21" t="s">
        <v>1779</v>
      </c>
      <c r="E1" s="21" t="s">
        <v>1780</v>
      </c>
      <c r="F1" s="21" t="s">
        <v>1781</v>
      </c>
      <c r="G1" s="21" t="s">
        <v>1782</v>
      </c>
      <c r="H1" s="21" t="s">
        <v>1783</v>
      </c>
      <c r="I1" s="21" t="s">
        <v>1784</v>
      </c>
      <c r="J1" s="21" t="s">
        <v>1785</v>
      </c>
      <c r="N1" s="21"/>
      <c r="O1" s="21"/>
    </row>
    <row r="2" customFormat="false" ht="14.25" hidden="false" customHeight="false" outlineLevel="0" collapsed="false">
      <c r="A2" s="73" t="n">
        <v>1</v>
      </c>
      <c r="B2" s="1" t="s">
        <v>2083</v>
      </c>
      <c r="C2" s="1" t="n">
        <v>1</v>
      </c>
      <c r="D2" s="1" t="s">
        <v>2083</v>
      </c>
      <c r="E2" s="1" t="n">
        <v>1</v>
      </c>
      <c r="F2" s="1" t="s">
        <v>2084</v>
      </c>
      <c r="G2" s="1" t="n">
        <v>0</v>
      </c>
      <c r="H2" s="1" t="s">
        <v>2085</v>
      </c>
      <c r="I2" s="1" t="n">
        <v>1</v>
      </c>
      <c r="J2" s="1" t="s">
        <v>1748</v>
      </c>
    </row>
    <row r="3" customFormat="false" ht="14.25" hidden="false" customHeight="false" outlineLevel="0" collapsed="false">
      <c r="A3" s="73" t="n">
        <v>2</v>
      </c>
      <c r="B3" s="1" t="s">
        <v>2086</v>
      </c>
      <c r="C3" s="1" t="n">
        <v>2</v>
      </c>
      <c r="D3" s="1" t="s">
        <v>2086</v>
      </c>
      <c r="E3" s="1" t="n">
        <v>1</v>
      </c>
      <c r="F3" s="1" t="s">
        <v>2084</v>
      </c>
      <c r="G3" s="1" t="n">
        <v>0</v>
      </c>
      <c r="H3" s="1" t="s">
        <v>2085</v>
      </c>
      <c r="I3" s="1" t="n">
        <v>1</v>
      </c>
      <c r="J3" s="1" t="s">
        <v>1748</v>
      </c>
    </row>
    <row r="4" customFormat="false" ht="14.25" hidden="false" customHeight="false" outlineLevel="0" collapsed="false">
      <c r="A4" s="73" t="n">
        <v>3</v>
      </c>
      <c r="B4" s="1" t="s">
        <v>2087</v>
      </c>
      <c r="C4" s="1" t="n">
        <v>3</v>
      </c>
      <c r="D4" s="1" t="s">
        <v>2087</v>
      </c>
      <c r="E4" s="1" t="n">
        <v>3</v>
      </c>
      <c r="F4" s="1" t="s">
        <v>2088</v>
      </c>
      <c r="G4" s="1" t="n">
        <v>0</v>
      </c>
      <c r="H4" s="1" t="s">
        <v>2085</v>
      </c>
      <c r="I4" s="1" t="n">
        <v>1</v>
      </c>
      <c r="J4" s="1" t="s">
        <v>1748</v>
      </c>
    </row>
    <row r="5" customFormat="false" ht="14.25" hidden="false" customHeight="false" outlineLevel="0" collapsed="false">
      <c r="A5" s="73" t="n">
        <v>4</v>
      </c>
      <c r="B5" s="1" t="s">
        <v>2089</v>
      </c>
      <c r="C5" s="1" t="n">
        <v>4</v>
      </c>
      <c r="D5" s="1" t="s">
        <v>2089</v>
      </c>
      <c r="E5" s="1" t="n">
        <v>2</v>
      </c>
      <c r="F5" s="1" t="s">
        <v>2090</v>
      </c>
      <c r="G5" s="1" t="n">
        <v>0</v>
      </c>
      <c r="H5" s="1" t="s">
        <v>2085</v>
      </c>
      <c r="I5" s="1" t="n">
        <v>1</v>
      </c>
      <c r="J5" s="1" t="s">
        <v>1748</v>
      </c>
    </row>
    <row r="6" customFormat="false" ht="14.25" hidden="false" customHeight="false" outlineLevel="0" collapsed="false">
      <c r="A6" s="1" t="n">
        <v>11</v>
      </c>
      <c r="B6" s="1" t="s">
        <v>2091</v>
      </c>
      <c r="C6" s="1" t="n">
        <v>11</v>
      </c>
      <c r="D6" s="1" t="s">
        <v>2091</v>
      </c>
      <c r="E6" s="1" t="n">
        <v>99</v>
      </c>
      <c r="F6" s="1" t="s">
        <v>2092</v>
      </c>
      <c r="G6" s="1" t="n">
        <v>1</v>
      </c>
      <c r="H6" s="1" t="s">
        <v>2093</v>
      </c>
      <c r="I6" s="1" t="n">
        <v>3</v>
      </c>
      <c r="J6" s="1" t="s">
        <v>1750</v>
      </c>
    </row>
    <row r="7" customFormat="false" ht="14.25" hidden="false" customHeight="false" outlineLevel="0" collapsed="false">
      <c r="A7" s="73" t="n">
        <v>17.5</v>
      </c>
      <c r="B7" s="1" t="s">
        <v>2094</v>
      </c>
      <c r="C7" s="1" t="n">
        <v>17.5</v>
      </c>
      <c r="D7" s="1" t="s">
        <v>2094</v>
      </c>
      <c r="E7" s="1" t="n">
        <v>6</v>
      </c>
      <c r="F7" s="1" t="s">
        <v>2095</v>
      </c>
      <c r="G7" s="1" t="n">
        <v>1</v>
      </c>
      <c r="H7" s="1" t="s">
        <v>2093</v>
      </c>
      <c r="I7" s="1" t="n">
        <v>2</v>
      </c>
      <c r="J7" s="1" t="s">
        <v>1749</v>
      </c>
    </row>
    <row r="8" customFormat="false" ht="14.25" hidden="false" customHeight="false" outlineLevel="0" collapsed="false">
      <c r="A8" s="73" t="n">
        <v>18</v>
      </c>
      <c r="B8" s="1" t="s">
        <v>2096</v>
      </c>
      <c r="C8" s="1" t="n">
        <v>18</v>
      </c>
      <c r="D8" s="1" t="s">
        <v>2096</v>
      </c>
      <c r="E8" s="1" t="n">
        <v>6</v>
      </c>
      <c r="F8" s="1" t="s">
        <v>2095</v>
      </c>
      <c r="G8" s="1" t="n">
        <v>1</v>
      </c>
      <c r="H8" s="1" t="s">
        <v>2093</v>
      </c>
      <c r="I8" s="1" t="n">
        <v>2</v>
      </c>
      <c r="J8" s="1" t="s">
        <v>1749</v>
      </c>
    </row>
    <row r="9" customFormat="false" ht="14.25" hidden="false" customHeight="false" outlineLevel="0" collapsed="false">
      <c r="A9" s="73" t="n">
        <v>21</v>
      </c>
      <c r="B9" s="1" t="s">
        <v>2097</v>
      </c>
      <c r="C9" s="1" t="n">
        <v>21</v>
      </c>
      <c r="D9" s="1" t="s">
        <v>2097</v>
      </c>
      <c r="E9" s="1" t="n">
        <v>6</v>
      </c>
      <c r="F9" s="1" t="s">
        <v>2095</v>
      </c>
      <c r="G9" s="1" t="n">
        <v>2</v>
      </c>
      <c r="H9" s="1" t="s">
        <v>2098</v>
      </c>
      <c r="I9" s="1" t="n">
        <v>1</v>
      </c>
      <c r="J9" s="1" t="s">
        <v>1748</v>
      </c>
    </row>
    <row r="10" customFormat="false" ht="14.25" hidden="false" customHeight="false" outlineLevel="0" collapsed="false">
      <c r="A10" s="73" t="n">
        <v>22</v>
      </c>
      <c r="B10" s="1" t="s">
        <v>2099</v>
      </c>
      <c r="C10" s="1" t="n">
        <v>22</v>
      </c>
      <c r="D10" s="1" t="s">
        <v>2099</v>
      </c>
      <c r="E10" s="1" t="n">
        <v>6</v>
      </c>
      <c r="F10" s="1" t="s">
        <v>2095</v>
      </c>
      <c r="G10" s="1" t="n">
        <v>2</v>
      </c>
      <c r="H10" s="1" t="s">
        <v>2098</v>
      </c>
      <c r="I10" s="1" t="n">
        <v>1</v>
      </c>
      <c r="J10" s="1" t="s">
        <v>1748</v>
      </c>
    </row>
    <row r="11" customFormat="false" ht="14.25" hidden="false" customHeight="false" outlineLevel="0" collapsed="false">
      <c r="A11" s="73" t="n">
        <v>23</v>
      </c>
      <c r="B11" s="1" t="s">
        <v>2100</v>
      </c>
      <c r="C11" s="1" t="n">
        <v>23</v>
      </c>
      <c r="D11" s="1" t="s">
        <v>2100</v>
      </c>
      <c r="E11" s="1" t="n">
        <v>6</v>
      </c>
      <c r="F11" s="1" t="s">
        <v>2095</v>
      </c>
      <c r="G11" s="1" t="n">
        <v>2</v>
      </c>
      <c r="H11" s="1" t="s">
        <v>2098</v>
      </c>
      <c r="I11" s="1" t="n">
        <v>1</v>
      </c>
      <c r="J11" s="1" t="s">
        <v>1748</v>
      </c>
    </row>
    <row r="12" customFormat="false" ht="14.25" hidden="false" customHeight="false" outlineLevel="0" collapsed="false">
      <c r="A12" s="73" t="n">
        <v>24</v>
      </c>
      <c r="B12" s="1" t="s">
        <v>1877</v>
      </c>
      <c r="C12" s="1" t="n">
        <v>24</v>
      </c>
      <c r="D12" s="1" t="s">
        <v>1877</v>
      </c>
      <c r="E12" s="1" t="n">
        <v>6</v>
      </c>
      <c r="F12" s="1" t="s">
        <v>2095</v>
      </c>
      <c r="G12" s="1" t="n">
        <v>2</v>
      </c>
      <c r="H12" s="1" t="s">
        <v>2098</v>
      </c>
      <c r="I12" s="1" t="n">
        <v>1</v>
      </c>
      <c r="J12" s="1" t="s">
        <v>1748</v>
      </c>
    </row>
    <row r="13" customFormat="false" ht="14.25" hidden="false" customHeight="false" outlineLevel="0" collapsed="false">
      <c r="A13" s="73" t="n">
        <v>25</v>
      </c>
      <c r="B13" s="1" t="s">
        <v>2101</v>
      </c>
      <c r="C13" s="1" t="n">
        <v>25</v>
      </c>
      <c r="D13" s="1" t="s">
        <v>2101</v>
      </c>
      <c r="E13" s="1" t="n">
        <v>6</v>
      </c>
      <c r="F13" s="1" t="s">
        <v>2095</v>
      </c>
      <c r="G13" s="1" t="n">
        <v>2</v>
      </c>
      <c r="H13" s="1" t="s">
        <v>2098</v>
      </c>
      <c r="I13" s="1" t="n">
        <v>1</v>
      </c>
      <c r="J13" s="1" t="s">
        <v>1748</v>
      </c>
    </row>
    <row r="14" customFormat="false" ht="14.25" hidden="false" customHeight="false" outlineLevel="0" collapsed="false">
      <c r="A14" s="73" t="n">
        <v>26</v>
      </c>
      <c r="B14" s="1" t="s">
        <v>2102</v>
      </c>
      <c r="C14" s="1" t="n">
        <v>26</v>
      </c>
      <c r="D14" s="1" t="s">
        <v>2102</v>
      </c>
      <c r="E14" s="1" t="n">
        <v>6</v>
      </c>
      <c r="F14" s="1" t="s">
        <v>2095</v>
      </c>
      <c r="G14" s="1" t="n">
        <v>2</v>
      </c>
      <c r="H14" s="1" t="s">
        <v>2098</v>
      </c>
      <c r="I14" s="1" t="n">
        <v>2</v>
      </c>
      <c r="J14" s="1" t="s">
        <v>1749</v>
      </c>
    </row>
    <row r="15" customFormat="false" ht="14.25" hidden="false" customHeight="false" outlineLevel="0" collapsed="false">
      <c r="A15" s="73" t="n">
        <v>27</v>
      </c>
      <c r="B15" s="1" t="s">
        <v>2103</v>
      </c>
      <c r="C15" s="1" t="n">
        <v>27</v>
      </c>
      <c r="D15" s="1" t="s">
        <v>2103</v>
      </c>
      <c r="E15" s="1" t="n">
        <v>6</v>
      </c>
      <c r="F15" s="1" t="s">
        <v>2095</v>
      </c>
      <c r="G15" s="1" t="n">
        <v>2</v>
      </c>
      <c r="H15" s="1" t="s">
        <v>2098</v>
      </c>
      <c r="I15" s="1" t="n">
        <v>2</v>
      </c>
      <c r="J15" s="1" t="s">
        <v>1749</v>
      </c>
    </row>
    <row r="16" customFormat="false" ht="14.25" hidden="false" customHeight="false" outlineLevel="0" collapsed="false">
      <c r="A16" s="73" t="n">
        <v>28</v>
      </c>
      <c r="B16" s="1" t="s">
        <v>2104</v>
      </c>
      <c r="C16" s="1" t="n">
        <v>28</v>
      </c>
      <c r="D16" s="1" t="s">
        <v>2104</v>
      </c>
      <c r="E16" s="1" t="n">
        <v>6</v>
      </c>
      <c r="F16" s="1" t="s">
        <v>2095</v>
      </c>
      <c r="G16" s="1" t="n">
        <v>2</v>
      </c>
      <c r="H16" s="1" t="s">
        <v>2098</v>
      </c>
      <c r="I16" s="1" t="n">
        <v>2</v>
      </c>
      <c r="J16" s="1" t="s">
        <v>1749</v>
      </c>
    </row>
    <row r="17" customFormat="false" ht="14.25" hidden="false" customHeight="false" outlineLevel="0" collapsed="false">
      <c r="A17" s="73" t="n">
        <v>29</v>
      </c>
      <c r="B17" s="1" t="s">
        <v>2105</v>
      </c>
      <c r="C17" s="1" t="n">
        <v>29</v>
      </c>
      <c r="D17" s="1" t="s">
        <v>2105</v>
      </c>
      <c r="E17" s="1" t="n">
        <v>6</v>
      </c>
      <c r="F17" s="1" t="s">
        <v>2095</v>
      </c>
      <c r="G17" s="1" t="n">
        <v>2</v>
      </c>
      <c r="H17" s="1" t="s">
        <v>2098</v>
      </c>
      <c r="I17" s="1" t="n">
        <v>2</v>
      </c>
      <c r="J17" s="1" t="s">
        <v>1749</v>
      </c>
    </row>
    <row r="18" customFormat="false" ht="14.25" hidden="false" customHeight="false" outlineLevel="0" collapsed="false">
      <c r="A18" s="73" t="n">
        <v>31</v>
      </c>
      <c r="B18" s="1" t="s">
        <v>2106</v>
      </c>
      <c r="C18" s="1" t="n">
        <v>31</v>
      </c>
      <c r="D18" s="1" t="s">
        <v>2106</v>
      </c>
      <c r="E18" s="1" t="n">
        <v>6</v>
      </c>
      <c r="F18" s="1" t="s">
        <v>2095</v>
      </c>
      <c r="G18" s="1" t="n">
        <v>3</v>
      </c>
      <c r="H18" s="1" t="s">
        <v>2107</v>
      </c>
      <c r="I18" s="1" t="n">
        <v>1</v>
      </c>
      <c r="J18" s="1" t="s">
        <v>1748</v>
      </c>
    </row>
    <row r="19" customFormat="false" ht="14.25" hidden="false" customHeight="false" outlineLevel="0" collapsed="false">
      <c r="A19" s="73" t="n">
        <v>32</v>
      </c>
      <c r="B19" s="1" t="s">
        <v>2108</v>
      </c>
      <c r="C19" s="1" t="n">
        <v>32</v>
      </c>
      <c r="D19" s="1" t="s">
        <v>2108</v>
      </c>
      <c r="E19" s="1" t="n">
        <v>6</v>
      </c>
      <c r="F19" s="1" t="s">
        <v>2095</v>
      </c>
      <c r="G19" s="1" t="n">
        <v>3</v>
      </c>
      <c r="H19" s="1" t="s">
        <v>2107</v>
      </c>
      <c r="I19" s="1" t="n">
        <v>1</v>
      </c>
      <c r="J19" s="1" t="s">
        <v>1748</v>
      </c>
    </row>
    <row r="20" customFormat="false" ht="14.25" hidden="false" customHeight="false" outlineLevel="0" collapsed="false">
      <c r="A20" s="73" t="n">
        <v>341</v>
      </c>
      <c r="B20" s="1" t="s">
        <v>2109</v>
      </c>
      <c r="C20" s="1" t="n">
        <v>34</v>
      </c>
      <c r="D20" s="1" t="s">
        <v>2110</v>
      </c>
      <c r="E20" s="1" t="n">
        <v>6</v>
      </c>
      <c r="F20" s="1" t="s">
        <v>2095</v>
      </c>
      <c r="G20" s="1" t="n">
        <v>3</v>
      </c>
      <c r="H20" s="1" t="s">
        <v>2107</v>
      </c>
      <c r="I20" s="1" t="n">
        <v>2</v>
      </c>
      <c r="J20" s="1" t="s">
        <v>1749</v>
      </c>
    </row>
    <row r="21" customFormat="false" ht="14.25" hidden="false" customHeight="false" outlineLevel="0" collapsed="false">
      <c r="A21" s="73" t="n">
        <v>342</v>
      </c>
      <c r="B21" s="1" t="s">
        <v>2111</v>
      </c>
      <c r="C21" s="1" t="n">
        <v>34</v>
      </c>
      <c r="D21" s="1" t="s">
        <v>2110</v>
      </c>
      <c r="E21" s="1" t="n">
        <v>99</v>
      </c>
      <c r="F21" s="1" t="s">
        <v>2092</v>
      </c>
      <c r="G21" s="1" t="n">
        <v>3</v>
      </c>
      <c r="H21" s="1" t="s">
        <v>2107</v>
      </c>
      <c r="I21" s="1" t="n">
        <v>3</v>
      </c>
      <c r="J21" s="1" t="s">
        <v>1750</v>
      </c>
    </row>
    <row r="22" customFormat="false" ht="14.25" hidden="false" customHeight="false" outlineLevel="0" collapsed="false">
      <c r="A22" s="73" t="n">
        <v>343</v>
      </c>
      <c r="B22" s="1" t="s">
        <v>2112</v>
      </c>
      <c r="C22" s="1" t="n">
        <v>34</v>
      </c>
      <c r="D22" s="1" t="s">
        <v>2110</v>
      </c>
      <c r="E22" s="1" t="n">
        <v>6</v>
      </c>
      <c r="F22" s="1" t="s">
        <v>2095</v>
      </c>
      <c r="G22" s="1" t="n">
        <v>3</v>
      </c>
      <c r="H22" s="1" t="s">
        <v>2107</v>
      </c>
      <c r="I22" s="1" t="n">
        <v>3</v>
      </c>
      <c r="J22" s="1" t="s">
        <v>1750</v>
      </c>
    </row>
    <row r="23" customFormat="false" ht="14.25" hidden="false" customHeight="false" outlineLevel="0" collapsed="false">
      <c r="A23" s="73" t="n">
        <v>344</v>
      </c>
      <c r="B23" s="1" t="s">
        <v>2113</v>
      </c>
      <c r="C23" s="1" t="n">
        <v>34</v>
      </c>
      <c r="D23" s="1" t="s">
        <v>2110</v>
      </c>
      <c r="E23" s="1" t="n">
        <v>6</v>
      </c>
      <c r="F23" s="1" t="s">
        <v>2095</v>
      </c>
      <c r="G23" s="1" t="n">
        <v>3</v>
      </c>
      <c r="H23" s="1" t="s">
        <v>2107</v>
      </c>
      <c r="I23" s="1" t="n">
        <v>2</v>
      </c>
      <c r="J23" s="1" t="s">
        <v>1749</v>
      </c>
    </row>
    <row r="24" customFormat="false" ht="14.25" hidden="false" customHeight="false" outlineLevel="0" collapsed="false">
      <c r="A24" s="73" t="n">
        <v>346</v>
      </c>
      <c r="B24" s="1" t="s">
        <v>2114</v>
      </c>
      <c r="C24" s="1" t="n">
        <v>34</v>
      </c>
      <c r="D24" s="1" t="s">
        <v>2110</v>
      </c>
      <c r="E24" s="1" t="n">
        <v>6</v>
      </c>
      <c r="F24" s="1" t="s">
        <v>2095</v>
      </c>
      <c r="G24" s="1" t="n">
        <v>3</v>
      </c>
      <c r="H24" s="1" t="s">
        <v>2107</v>
      </c>
      <c r="I24" s="1" t="n">
        <v>2</v>
      </c>
      <c r="J24" s="1" t="s">
        <v>1749</v>
      </c>
    </row>
    <row r="25" customFormat="false" ht="14.25" hidden="false" customHeight="false" outlineLevel="0" collapsed="false">
      <c r="A25" s="73" t="n">
        <v>351</v>
      </c>
      <c r="B25" s="1" t="s">
        <v>2115</v>
      </c>
      <c r="C25" s="1" t="n">
        <v>35</v>
      </c>
      <c r="D25" s="1" t="s">
        <v>2116</v>
      </c>
      <c r="E25" s="1" t="n">
        <v>6</v>
      </c>
      <c r="F25" s="1" t="s">
        <v>2095</v>
      </c>
      <c r="G25" s="1" t="n">
        <v>3</v>
      </c>
      <c r="H25" s="1" t="s">
        <v>2107</v>
      </c>
      <c r="I25" s="1" t="n">
        <v>2</v>
      </c>
      <c r="J25" s="1" t="s">
        <v>1749</v>
      </c>
    </row>
    <row r="26" customFormat="false" ht="14.25" hidden="false" customHeight="false" outlineLevel="0" collapsed="false">
      <c r="A26" s="73" t="n">
        <v>352</v>
      </c>
      <c r="B26" s="1" t="s">
        <v>2117</v>
      </c>
      <c r="C26" s="1" t="n">
        <v>35</v>
      </c>
      <c r="D26" s="1" t="s">
        <v>2116</v>
      </c>
      <c r="E26" s="1" t="n">
        <v>6</v>
      </c>
      <c r="F26" s="1" t="s">
        <v>2095</v>
      </c>
      <c r="G26" s="1" t="n">
        <v>3</v>
      </c>
      <c r="H26" s="1" t="s">
        <v>2107</v>
      </c>
      <c r="I26" s="1" t="n">
        <v>2</v>
      </c>
      <c r="J26" s="1" t="s">
        <v>1749</v>
      </c>
    </row>
    <row r="27" customFormat="false" ht="14.25" hidden="false" customHeight="false" outlineLevel="0" collapsed="false">
      <c r="A27" s="73" t="n">
        <v>353</v>
      </c>
      <c r="B27" s="1" t="s">
        <v>2118</v>
      </c>
      <c r="C27" s="1" t="n">
        <v>35</v>
      </c>
      <c r="D27" s="1" t="s">
        <v>2116</v>
      </c>
      <c r="E27" s="1" t="n">
        <v>6</v>
      </c>
      <c r="F27" s="1" t="s">
        <v>2095</v>
      </c>
      <c r="G27" s="1" t="n">
        <v>3</v>
      </c>
      <c r="H27" s="1" t="s">
        <v>2107</v>
      </c>
      <c r="I27" s="1" t="n">
        <v>2</v>
      </c>
      <c r="J27" s="1" t="s">
        <v>1749</v>
      </c>
    </row>
    <row r="28" customFormat="false" ht="14.25" hidden="false" customHeight="false" outlineLevel="0" collapsed="false">
      <c r="A28" s="73" t="n">
        <v>37</v>
      </c>
      <c r="B28" s="1" t="s">
        <v>2119</v>
      </c>
      <c r="C28" s="1" t="n">
        <v>37</v>
      </c>
      <c r="D28" s="1" t="s">
        <v>2119</v>
      </c>
      <c r="E28" s="1" t="n">
        <v>99</v>
      </c>
      <c r="F28" s="1" t="s">
        <v>2092</v>
      </c>
      <c r="G28" s="1" t="n">
        <v>3</v>
      </c>
      <c r="H28" s="1" t="s">
        <v>2107</v>
      </c>
      <c r="I28" s="1" t="n">
        <v>3</v>
      </c>
      <c r="J28" s="1" t="s">
        <v>1750</v>
      </c>
    </row>
    <row r="29" customFormat="false" ht="14.25" hidden="false" customHeight="false" outlineLevel="0" collapsed="false">
      <c r="A29" s="73" t="n">
        <v>38</v>
      </c>
      <c r="B29" s="1" t="s">
        <v>2120</v>
      </c>
      <c r="C29" s="1" t="n">
        <v>38</v>
      </c>
      <c r="D29" s="1" t="s">
        <v>2120</v>
      </c>
      <c r="E29" s="1" t="n">
        <v>99</v>
      </c>
      <c r="F29" s="1" t="s">
        <v>2092</v>
      </c>
      <c r="G29" s="1" t="n">
        <v>3</v>
      </c>
      <c r="H29" s="1" t="s">
        <v>2107</v>
      </c>
      <c r="I29" s="1" t="n">
        <v>3</v>
      </c>
      <c r="J29" s="1" t="s">
        <v>1750</v>
      </c>
    </row>
    <row r="30" customFormat="false" ht="14.25" hidden="false" customHeight="false" outlineLevel="0" collapsed="false">
      <c r="A30" s="73" t="n">
        <v>39</v>
      </c>
      <c r="B30" s="1" t="s">
        <v>2121</v>
      </c>
      <c r="C30" s="1" t="n">
        <v>39</v>
      </c>
      <c r="D30" s="1" t="s">
        <v>2121</v>
      </c>
      <c r="E30" s="1" t="n">
        <v>4</v>
      </c>
      <c r="F30" s="1" t="s">
        <v>2122</v>
      </c>
      <c r="G30" s="1" t="n">
        <v>3</v>
      </c>
      <c r="H30" s="1" t="s">
        <v>2107</v>
      </c>
      <c r="I30" s="1" t="n">
        <v>2</v>
      </c>
      <c r="J30" s="1" t="s">
        <v>1749</v>
      </c>
    </row>
    <row r="31" customFormat="false" ht="14.25" hidden="false" customHeight="false" outlineLevel="0" collapsed="false">
      <c r="A31" s="62" t="s">
        <v>1958</v>
      </c>
      <c r="B31" s="1" t="s">
        <v>2123</v>
      </c>
      <c r="C31" s="1" t="s">
        <v>1958</v>
      </c>
      <c r="D31" s="1" t="s">
        <v>2123</v>
      </c>
      <c r="E31" s="1" t="n">
        <v>99</v>
      </c>
      <c r="F31" s="1" t="s">
        <v>2092</v>
      </c>
      <c r="G31" s="1" t="n">
        <v>4</v>
      </c>
      <c r="H31" s="1" t="s">
        <v>2124</v>
      </c>
      <c r="I31" s="1" t="n">
        <v>3</v>
      </c>
      <c r="J31" s="1" t="s">
        <v>1750</v>
      </c>
      <c r="N31" s="62"/>
    </row>
    <row r="32" customFormat="false" ht="14.25" hidden="false" customHeight="false" outlineLevel="0" collapsed="false">
      <c r="A32" s="73" t="n">
        <v>5</v>
      </c>
      <c r="B32" s="1" t="s">
        <v>2125</v>
      </c>
      <c r="C32" s="73" t="n">
        <v>5</v>
      </c>
      <c r="D32" s="1" t="s">
        <v>2125</v>
      </c>
      <c r="E32" s="1" t="n">
        <v>99</v>
      </c>
      <c r="F32" s="1" t="s">
        <v>2092</v>
      </c>
      <c r="G32" s="1" t="n">
        <v>5</v>
      </c>
      <c r="H32" s="1" t="s">
        <v>2125</v>
      </c>
      <c r="I32" s="1" t="n">
        <v>3</v>
      </c>
      <c r="J32" s="1" t="s">
        <v>1750</v>
      </c>
    </row>
    <row r="33" customFormat="false" ht="14.25" hidden="false" customHeight="false" outlineLevel="0" collapsed="false">
      <c r="A33" s="73" t="n">
        <v>6</v>
      </c>
      <c r="B33" s="1" t="s">
        <v>1641</v>
      </c>
      <c r="C33" s="1" t="n">
        <v>6</v>
      </c>
      <c r="D33" s="1" t="s">
        <v>1641</v>
      </c>
      <c r="E33" s="1" t="n">
        <v>99</v>
      </c>
      <c r="F33" s="1" t="s">
        <v>2092</v>
      </c>
      <c r="G33" s="1" t="n">
        <v>6</v>
      </c>
      <c r="H33" s="1" t="s">
        <v>2126</v>
      </c>
      <c r="I33" s="1" t="n">
        <v>3</v>
      </c>
      <c r="J33" s="1" t="s">
        <v>1750</v>
      </c>
    </row>
    <row r="34" customFormat="false" ht="14.25" hidden="false" customHeight="false" outlineLevel="0" collapsed="false">
      <c r="A34" s="73" t="n">
        <v>63</v>
      </c>
      <c r="B34" s="1" t="s">
        <v>2127</v>
      </c>
      <c r="C34" s="1" t="n">
        <v>63</v>
      </c>
      <c r="D34" s="1" t="s">
        <v>2127</v>
      </c>
      <c r="E34" s="1" t="n">
        <v>6</v>
      </c>
      <c r="F34" s="1" t="s">
        <v>2095</v>
      </c>
      <c r="G34" s="1" t="n">
        <v>6</v>
      </c>
      <c r="H34" s="1" t="s">
        <v>2126</v>
      </c>
      <c r="I34" s="1" t="n">
        <v>2</v>
      </c>
      <c r="J34" s="1" t="s">
        <v>1749</v>
      </c>
    </row>
    <row r="35" customFormat="false" ht="14.25" hidden="false" customHeight="false" outlineLevel="0" collapsed="false">
      <c r="A35" s="73" t="n">
        <v>69</v>
      </c>
      <c r="B35" s="1" t="s">
        <v>2128</v>
      </c>
      <c r="C35" s="1" t="n">
        <v>69</v>
      </c>
      <c r="D35" s="1" t="s">
        <v>2128</v>
      </c>
      <c r="E35" s="1" t="n">
        <v>6</v>
      </c>
      <c r="F35" s="1" t="s">
        <v>2095</v>
      </c>
      <c r="G35" s="1" t="n">
        <v>6</v>
      </c>
      <c r="H35" s="1" t="s">
        <v>2126</v>
      </c>
      <c r="I35" s="1" t="n">
        <v>2</v>
      </c>
      <c r="J35" s="1" t="s">
        <v>1749</v>
      </c>
    </row>
    <row r="36" customFormat="false" ht="14.25" hidden="false" customHeight="false" outlineLevel="0" collapsed="false">
      <c r="A36" s="73" t="n">
        <v>81</v>
      </c>
      <c r="B36" s="1" t="s">
        <v>2129</v>
      </c>
      <c r="C36" s="1" t="n">
        <v>81</v>
      </c>
      <c r="D36" s="1" t="s">
        <v>2129</v>
      </c>
      <c r="E36" s="1" t="n">
        <v>6</v>
      </c>
      <c r="F36" s="1" t="s">
        <v>2095</v>
      </c>
      <c r="G36" s="1" t="n">
        <v>8</v>
      </c>
      <c r="H36" s="1" t="s">
        <v>2130</v>
      </c>
      <c r="I36" s="1" t="n">
        <v>2</v>
      </c>
      <c r="J36" s="1" t="s">
        <v>1749</v>
      </c>
    </row>
    <row r="37" customFormat="false" ht="14.25" hidden="false" customHeight="false" outlineLevel="0" collapsed="false">
      <c r="A37" s="73" t="n">
        <v>83</v>
      </c>
      <c r="B37" s="1" t="s">
        <v>2131</v>
      </c>
      <c r="C37" s="1" t="n">
        <v>83</v>
      </c>
      <c r="D37" s="1" t="s">
        <v>2131</v>
      </c>
      <c r="E37" s="1" t="n">
        <v>6</v>
      </c>
      <c r="F37" s="1" t="s">
        <v>2095</v>
      </c>
      <c r="G37" s="1" t="n">
        <v>8</v>
      </c>
      <c r="H37" s="1" t="s">
        <v>2130</v>
      </c>
      <c r="I37" s="1" t="n">
        <v>2</v>
      </c>
      <c r="J37" s="1" t="s">
        <v>1749</v>
      </c>
    </row>
    <row r="38" customFormat="false" ht="14.25" hidden="false" customHeight="false" outlineLevel="0" collapsed="false">
      <c r="A38" s="73" t="n">
        <v>86</v>
      </c>
      <c r="B38" s="1" t="s">
        <v>2132</v>
      </c>
      <c r="C38" s="1" t="n">
        <v>86</v>
      </c>
      <c r="D38" s="1" t="s">
        <v>2132</v>
      </c>
      <c r="E38" s="1" t="n">
        <v>6</v>
      </c>
      <c r="F38" s="1" t="s">
        <v>2095</v>
      </c>
      <c r="G38" s="1" t="n">
        <v>8</v>
      </c>
      <c r="H38" s="1" t="s">
        <v>2130</v>
      </c>
      <c r="I38" s="1" t="n">
        <v>2</v>
      </c>
      <c r="J38" s="1" t="s">
        <v>1749</v>
      </c>
    </row>
    <row r="39" customFormat="false" ht="14.25" hidden="false" customHeight="false" outlineLevel="0" collapsed="false">
      <c r="A39" s="73" t="n">
        <v>94</v>
      </c>
      <c r="B39" s="1" t="s">
        <v>2133</v>
      </c>
      <c r="C39" s="1" t="n">
        <v>94</v>
      </c>
      <c r="D39" s="1" t="s">
        <v>2133</v>
      </c>
      <c r="E39" s="1" t="n">
        <v>4</v>
      </c>
      <c r="F39" s="1" t="s">
        <v>2122</v>
      </c>
      <c r="G39" s="1" t="n">
        <v>9</v>
      </c>
      <c r="H39" s="1" t="s">
        <v>2134</v>
      </c>
      <c r="I39" s="1" t="n">
        <v>2</v>
      </c>
      <c r="J39" s="1" t="s">
        <v>1749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2" style="1" width="52.45"/>
  </cols>
  <sheetData>
    <row r="1" customFormat="false" ht="14.25" hidden="false" customHeight="false" outlineLevel="0" collapsed="false">
      <c r="A1" s="58" t="s">
        <v>1767</v>
      </c>
      <c r="B1" s="58" t="s">
        <v>1768</v>
      </c>
      <c r="C1" s="58" t="s">
        <v>1769</v>
      </c>
    </row>
    <row r="2" customFormat="false" ht="14.25" hidden="false" customHeight="false" outlineLevel="0" collapsed="false">
      <c r="A2" s="1" t="s">
        <v>1786</v>
      </c>
      <c r="B2" s="1" t="s">
        <v>1654</v>
      </c>
      <c r="C2" s="1" t="s">
        <v>1655</v>
      </c>
    </row>
    <row r="3" customFormat="false" ht="14.25" hidden="false" customHeight="false" outlineLevel="0" collapsed="false">
      <c r="A3" s="1" t="s">
        <v>2079</v>
      </c>
      <c r="B3" s="1" t="s">
        <v>1664</v>
      </c>
      <c r="C3" s="1" t="s">
        <v>1663</v>
      </c>
    </row>
    <row r="4" customFormat="false" ht="14.25" hidden="false" customHeight="false" outlineLevel="0" collapsed="false">
      <c r="A4" s="1" t="s">
        <v>2135</v>
      </c>
      <c r="B4" s="1" t="s">
        <v>1718</v>
      </c>
      <c r="C4" s="1" t="s">
        <v>1716</v>
      </c>
    </row>
    <row r="5" customFormat="false" ht="14.25" hidden="false" customHeight="false" outlineLevel="0" collapsed="false">
      <c r="A5" s="1" t="s">
        <v>2136</v>
      </c>
      <c r="B5" s="1" t="s">
        <v>2137</v>
      </c>
      <c r="C5" s="1" t="s">
        <v>1704</v>
      </c>
    </row>
    <row r="6" customFormat="false" ht="14.25" hidden="false" customHeight="false" outlineLevel="0" collapsed="false">
      <c r="A6" s="1" t="s">
        <v>2138</v>
      </c>
      <c r="B6" s="1" t="s">
        <v>2139</v>
      </c>
      <c r="C6" s="1" t="s">
        <v>1710</v>
      </c>
    </row>
    <row r="7" customFormat="false" ht="14.25" hidden="false" customHeight="false" outlineLevel="0" collapsed="false">
      <c r="A7" s="1" t="s">
        <v>2080</v>
      </c>
      <c r="B7" s="1" t="s">
        <v>2140</v>
      </c>
      <c r="C7" s="1" t="s">
        <v>1565</v>
      </c>
    </row>
    <row r="8" customFormat="false" ht="14.25" hidden="false" customHeight="false" outlineLevel="0" collapsed="false">
      <c r="A8" s="1" t="s">
        <v>2141</v>
      </c>
      <c r="B8" s="1" t="s">
        <v>2142</v>
      </c>
      <c r="C8" s="1" t="s">
        <v>1565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Andres Oscar Mondaini</dc:creator>
  <dc:description/>
  <dc:language>en-US</dc:language>
  <cp:lastModifiedBy>Renato Vargas</cp:lastModifiedBy>
  <dcterms:modified xsi:type="dcterms:W3CDTF">2026-03-15T09:44:28Z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