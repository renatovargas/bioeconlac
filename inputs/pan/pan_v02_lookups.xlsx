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11/relationships/webextensiontaskpanes" Target="xl/webextensions/taskpanes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ows" sheetId="1" state="visible" r:id="rId3"/>
    <sheet name="columns" sheetId="2" state="visible" r:id="rId4"/>
    <sheet name="quadrants" sheetId="3" state="visible" r:id="rId5"/>
    <sheet name="columnas" sheetId="4" state="visible" r:id="rId6"/>
    <sheet name="Correl CIIU" sheetId="5" state="visible" r:id="rId7"/>
    <sheet name="at_columnas" sheetId="6" state="visible" r:id="rId8"/>
    <sheet name="transacciones" sheetId="7" state="visible" r:id="rId9"/>
    <sheet name="AT_FILAS" sheetId="8" state="visible" r:id="rId10"/>
    <sheet name="filas" sheetId="9" state="visible" r:id="rId11"/>
    <sheet name="clasif_filas" sheetId="10" state="visible" r:id="rId12"/>
    <sheet name="Base_filas" sheetId="11" state="visible" r:id="rId13"/>
    <sheet name="bio" sheetId="12" state="visible" r:id="rId14"/>
    <sheet name="ejemplo_dinamico" sheetId="13" state="visible" r:id="rId15"/>
    <sheet name="ntg2" sheetId="14" state="visible" r:id="rId16"/>
  </sheets>
  <definedNames>
    <definedName function="false" hidden="true" localSheetId="8" name="_xlnm._FilterDatabase" vbProcedure="false">filas!$A$1:$T$388</definedName>
  </definedNames>
  <calcPr iterateCount="100" refMode="A1" iterate="false" iterateDelta="0.0001"/>
  <pivotCaches>
    <pivotCache cacheId="1" r:id="rId1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<sst xmlns="http://schemas.openxmlformats.org/spreadsheetml/2006/main" count="7759" uniqueCount="2404">
  <si>
    <t xml:space="preserve">row_id</t>
  </si>
  <si>
    <t xml:space="preserve">Filas</t>
  </si>
  <si>
    <t xml:space="preserve">pan_v02_q01_r0001</t>
  </si>
  <si>
    <t xml:space="preserve">PANof001</t>
  </si>
  <si>
    <t xml:space="preserve">pan_v02_q01_r0002</t>
  </si>
  <si>
    <t xml:space="preserve">PANof002</t>
  </si>
  <si>
    <t xml:space="preserve">pan_v02_q01_r0003</t>
  </si>
  <si>
    <t xml:space="preserve">PANof003</t>
  </si>
  <si>
    <t xml:space="preserve">pan_v02_q01_r0004</t>
  </si>
  <si>
    <t xml:space="preserve">PANof004</t>
  </si>
  <si>
    <t xml:space="preserve">pan_v02_q01_r0005</t>
  </si>
  <si>
    <t xml:space="preserve">PANof005</t>
  </si>
  <si>
    <t xml:space="preserve">pan_v02_q01_r0006</t>
  </si>
  <si>
    <t xml:space="preserve">PANof006</t>
  </si>
  <si>
    <t xml:space="preserve">pan_v02_q01_r0007</t>
  </si>
  <si>
    <t xml:space="preserve">PANof007</t>
  </si>
  <si>
    <t xml:space="preserve">pan_v02_q01_r0008</t>
  </si>
  <si>
    <t xml:space="preserve">PANof008</t>
  </si>
  <si>
    <t xml:space="preserve">pan_v02_q01_r0009</t>
  </si>
  <si>
    <t xml:space="preserve">PANof009</t>
  </si>
  <si>
    <t xml:space="preserve">pan_v02_q01_r0010</t>
  </si>
  <si>
    <t xml:space="preserve">PANof010</t>
  </si>
  <si>
    <t xml:space="preserve">pan_v02_q01_r0011</t>
  </si>
  <si>
    <t xml:space="preserve">PANof011</t>
  </si>
  <si>
    <t xml:space="preserve">pan_v02_q01_r0012</t>
  </si>
  <si>
    <t xml:space="preserve">PANof012</t>
  </si>
  <si>
    <t xml:space="preserve">pan_v02_q01_r0013</t>
  </si>
  <si>
    <t xml:space="preserve">PANof013</t>
  </si>
  <si>
    <t xml:space="preserve">pan_v02_q01_r0014</t>
  </si>
  <si>
    <t xml:space="preserve">PANof014</t>
  </si>
  <si>
    <t xml:space="preserve">pan_v02_q01_r0015</t>
  </si>
  <si>
    <t xml:space="preserve">PANof015</t>
  </si>
  <si>
    <t xml:space="preserve">pan_v02_q01_r0016</t>
  </si>
  <si>
    <t xml:space="preserve">PANof016</t>
  </si>
  <si>
    <t xml:space="preserve">pan_v02_q01_r0017</t>
  </si>
  <si>
    <t xml:space="preserve">PANof017</t>
  </si>
  <si>
    <t xml:space="preserve">pan_v02_q01_r0018</t>
  </si>
  <si>
    <t xml:space="preserve">PANof018</t>
  </si>
  <si>
    <t xml:space="preserve">pan_v02_q01_r0019</t>
  </si>
  <si>
    <t xml:space="preserve">PANof019</t>
  </si>
  <si>
    <t xml:space="preserve">pan_v02_q01_r0020</t>
  </si>
  <si>
    <t xml:space="preserve">PANof020</t>
  </si>
  <si>
    <t xml:space="preserve">pan_v02_q01_r0021</t>
  </si>
  <si>
    <t xml:space="preserve">PANof021</t>
  </si>
  <si>
    <t xml:space="preserve">pan_v02_q01_r0022</t>
  </si>
  <si>
    <t xml:space="preserve">PANof022</t>
  </si>
  <si>
    <t xml:space="preserve">pan_v02_q01_r0023</t>
  </si>
  <si>
    <t xml:space="preserve">PANof023</t>
  </si>
  <si>
    <t xml:space="preserve">pan_v02_q01_r0024</t>
  </si>
  <si>
    <t xml:space="preserve">PANof024</t>
  </si>
  <si>
    <t xml:space="preserve">pan_v02_q01_r0025</t>
  </si>
  <si>
    <t xml:space="preserve">PANof025</t>
  </si>
  <si>
    <t xml:space="preserve">pan_v02_q01_r0026</t>
  </si>
  <si>
    <t xml:space="preserve">PANof026</t>
  </si>
  <si>
    <t xml:space="preserve">pan_v02_q01_r0027</t>
  </si>
  <si>
    <t xml:space="preserve">PANof027</t>
  </si>
  <si>
    <t xml:space="preserve">pan_v02_q01_r0028</t>
  </si>
  <si>
    <t xml:space="preserve">PANof028</t>
  </si>
  <si>
    <t xml:space="preserve">pan_v02_q01_r0029</t>
  </si>
  <si>
    <t xml:space="preserve">PANof029</t>
  </si>
  <si>
    <t xml:space="preserve">pan_v02_q01_r0030</t>
  </si>
  <si>
    <t xml:space="preserve">PANof030</t>
  </si>
  <si>
    <t xml:space="preserve">pan_v02_q01_r0031</t>
  </si>
  <si>
    <t xml:space="preserve">PANof031</t>
  </si>
  <si>
    <t xml:space="preserve">pan_v02_q01_r0032</t>
  </si>
  <si>
    <t xml:space="preserve">PANof032</t>
  </si>
  <si>
    <t xml:space="preserve">pan_v02_q01_r0033</t>
  </si>
  <si>
    <t xml:space="preserve">PANof033</t>
  </si>
  <si>
    <t xml:space="preserve">pan_v02_q01_r0034</t>
  </si>
  <si>
    <t xml:space="preserve">PANof034</t>
  </si>
  <si>
    <t xml:space="preserve">pan_v02_q01_r0035</t>
  </si>
  <si>
    <t xml:space="preserve">PANof035</t>
  </si>
  <si>
    <t xml:space="preserve">pan_v02_q01_r0036</t>
  </si>
  <si>
    <t xml:space="preserve">PANof036</t>
  </si>
  <si>
    <t xml:space="preserve">pan_v02_q01_r0037</t>
  </si>
  <si>
    <t xml:space="preserve">PANof037</t>
  </si>
  <si>
    <t xml:space="preserve">pan_v02_q01_r0038</t>
  </si>
  <si>
    <t xml:space="preserve">PANof038</t>
  </si>
  <si>
    <t xml:space="preserve">pan_v02_q01_r0039</t>
  </si>
  <si>
    <t xml:space="preserve">PANof039</t>
  </si>
  <si>
    <t xml:space="preserve">pan_v02_q01_r0040</t>
  </si>
  <si>
    <t xml:space="preserve">PANof040</t>
  </si>
  <si>
    <t xml:space="preserve">pan_v02_q01_r0041</t>
  </si>
  <si>
    <t xml:space="preserve">PANof041</t>
  </si>
  <si>
    <t xml:space="preserve">pan_v02_q01_r0042</t>
  </si>
  <si>
    <t xml:space="preserve">PANof042</t>
  </si>
  <si>
    <t xml:space="preserve">pan_v02_q01_r0043</t>
  </si>
  <si>
    <t xml:space="preserve">PANof043</t>
  </si>
  <si>
    <t xml:space="preserve">pan_v02_q01_r0044</t>
  </si>
  <si>
    <t xml:space="preserve">PANof044</t>
  </si>
  <si>
    <t xml:space="preserve">pan_v02_q01_r0045</t>
  </si>
  <si>
    <t xml:space="preserve">PANof045</t>
  </si>
  <si>
    <t xml:space="preserve">pan_v02_q01_r0046</t>
  </si>
  <si>
    <t xml:space="preserve">PANof046</t>
  </si>
  <si>
    <t xml:space="preserve">pan_v02_q01_r0047</t>
  </si>
  <si>
    <t xml:space="preserve">PANof047</t>
  </si>
  <si>
    <t xml:space="preserve">pan_v02_q01_r0048</t>
  </si>
  <si>
    <t xml:space="preserve">PANof048</t>
  </si>
  <si>
    <t xml:space="preserve">pan_v02_q01_r0049</t>
  </si>
  <si>
    <t xml:space="preserve">PANof049</t>
  </si>
  <si>
    <t xml:space="preserve">pan_v02_q01_r0050</t>
  </si>
  <si>
    <t xml:space="preserve">PANof050</t>
  </si>
  <si>
    <t xml:space="preserve">pan_v02_q01_r0051</t>
  </si>
  <si>
    <t xml:space="preserve">PANof051</t>
  </si>
  <si>
    <t xml:space="preserve">pan_v02_q01_r0052</t>
  </si>
  <si>
    <t xml:space="preserve">PANof052</t>
  </si>
  <si>
    <t xml:space="preserve">pan_v02_q01_r0053</t>
  </si>
  <si>
    <t xml:space="preserve">PANof053</t>
  </si>
  <si>
    <t xml:space="preserve">pan_v02_q01_r0054</t>
  </si>
  <si>
    <t xml:space="preserve">PANof054</t>
  </si>
  <si>
    <t xml:space="preserve">pan_v02_q01_r0055</t>
  </si>
  <si>
    <t xml:space="preserve">PANof055</t>
  </si>
  <si>
    <t xml:space="preserve">pan_v02_q01_r0056</t>
  </si>
  <si>
    <t xml:space="preserve">PANof056</t>
  </si>
  <si>
    <t xml:space="preserve">pan_v02_q01_r0057</t>
  </si>
  <si>
    <t xml:space="preserve">PANof057</t>
  </si>
  <si>
    <t xml:space="preserve">pan_v02_q01_r0058</t>
  </si>
  <si>
    <t xml:space="preserve">PANof058</t>
  </si>
  <si>
    <t xml:space="preserve">pan_v02_q01_r0059</t>
  </si>
  <si>
    <t xml:space="preserve">PANof059</t>
  </si>
  <si>
    <t xml:space="preserve">pan_v02_q01_r0060</t>
  </si>
  <si>
    <t xml:space="preserve">PANof060</t>
  </si>
  <si>
    <t xml:space="preserve">pan_v02_q01_r0061</t>
  </si>
  <si>
    <t xml:space="preserve">PANof061</t>
  </si>
  <si>
    <t xml:space="preserve">pan_v02_q01_r0062</t>
  </si>
  <si>
    <t xml:space="preserve">PANof062</t>
  </si>
  <si>
    <t xml:space="preserve">pan_v02_q01_r0063</t>
  </si>
  <si>
    <t xml:space="preserve">PANof063</t>
  </si>
  <si>
    <t xml:space="preserve">pan_v02_q01_r0064</t>
  </si>
  <si>
    <t xml:space="preserve">PANof064</t>
  </si>
  <si>
    <t xml:space="preserve">pan_v02_q01_r0065</t>
  </si>
  <si>
    <t xml:space="preserve">PANof065</t>
  </si>
  <si>
    <t xml:space="preserve">pan_v02_q01_r0066</t>
  </si>
  <si>
    <t xml:space="preserve">PANof066</t>
  </si>
  <si>
    <t xml:space="preserve">pan_v02_q01_r0067</t>
  </si>
  <si>
    <t xml:space="preserve">PANof067</t>
  </si>
  <si>
    <t xml:space="preserve">pan_v02_q01_r0068</t>
  </si>
  <si>
    <t xml:space="preserve">PANof068</t>
  </si>
  <si>
    <t xml:space="preserve">pan_v02_q01_r0069</t>
  </si>
  <si>
    <t xml:space="preserve">PANof069</t>
  </si>
  <si>
    <t xml:space="preserve">pan_v02_q01_r0070</t>
  </si>
  <si>
    <t xml:space="preserve">PANof070</t>
  </si>
  <si>
    <t xml:space="preserve">pan_v02_q01_r0071</t>
  </si>
  <si>
    <t xml:space="preserve">PANof071</t>
  </si>
  <si>
    <t xml:space="preserve">pan_v02_q01_r0072</t>
  </si>
  <si>
    <t xml:space="preserve">PANof072</t>
  </si>
  <si>
    <t xml:space="preserve">pan_v02_q01_r0073</t>
  </si>
  <si>
    <t xml:space="preserve">PANof073</t>
  </si>
  <si>
    <t xml:space="preserve">pan_v02_q01_r0074</t>
  </si>
  <si>
    <t xml:space="preserve">PANof074</t>
  </si>
  <si>
    <t xml:space="preserve">pan_v02_q01_r0075</t>
  </si>
  <si>
    <t xml:space="preserve">PANof075</t>
  </si>
  <si>
    <t xml:space="preserve">pan_v02_q01_r0076</t>
  </si>
  <si>
    <t xml:space="preserve">PANof076</t>
  </si>
  <si>
    <t xml:space="preserve">pan_v02_q01_r0077</t>
  </si>
  <si>
    <t xml:space="preserve">PANof077</t>
  </si>
  <si>
    <t xml:space="preserve">pan_v02_q01_r0078</t>
  </si>
  <si>
    <t xml:space="preserve">PANof078</t>
  </si>
  <si>
    <t xml:space="preserve">pan_v02_q01_r0079</t>
  </si>
  <si>
    <t xml:space="preserve">PANof079</t>
  </si>
  <si>
    <t xml:space="preserve">pan_v02_q01_r0080</t>
  </si>
  <si>
    <t xml:space="preserve">PANof080</t>
  </si>
  <si>
    <t xml:space="preserve">pan_v02_q01_r0081</t>
  </si>
  <si>
    <t xml:space="preserve">PANof081</t>
  </si>
  <si>
    <t xml:space="preserve">pan_v02_q01_r0082</t>
  </si>
  <si>
    <t xml:space="preserve">PANof082</t>
  </si>
  <si>
    <t xml:space="preserve">pan_v02_q01_r0083</t>
  </si>
  <si>
    <t xml:space="preserve">PANof083</t>
  </si>
  <si>
    <t xml:space="preserve">pan_v02_q01_r0084</t>
  </si>
  <si>
    <t xml:space="preserve">PANof084</t>
  </si>
  <si>
    <t xml:space="preserve">pan_v02_q01_r0085</t>
  </si>
  <si>
    <t xml:space="preserve">PANof085</t>
  </si>
  <si>
    <t xml:space="preserve">pan_v02_q01_r0086</t>
  </si>
  <si>
    <t xml:space="preserve">PANof086</t>
  </si>
  <si>
    <t xml:space="preserve">pan_v02_q01_r0087</t>
  </si>
  <si>
    <t xml:space="preserve">PANof087</t>
  </si>
  <si>
    <t xml:space="preserve">pan_v02_q01_r0088</t>
  </si>
  <si>
    <t xml:space="preserve">PANof088</t>
  </si>
  <si>
    <t xml:space="preserve">pan_v02_q01_r0089</t>
  </si>
  <si>
    <t xml:space="preserve">PANof089</t>
  </si>
  <si>
    <t xml:space="preserve">pan_v02_q01_r0090</t>
  </si>
  <si>
    <t xml:space="preserve">PANof090</t>
  </si>
  <si>
    <t xml:space="preserve">pan_v02_q01_r0091</t>
  </si>
  <si>
    <t xml:space="preserve">PANof091</t>
  </si>
  <si>
    <t xml:space="preserve">pan_v02_q01_r0092</t>
  </si>
  <si>
    <t xml:space="preserve">PANof092</t>
  </si>
  <si>
    <t xml:space="preserve">pan_v02_q01_r0093</t>
  </si>
  <si>
    <t xml:space="preserve">PANof093</t>
  </si>
  <si>
    <t xml:space="preserve">pan_v02_q01_r0094</t>
  </si>
  <si>
    <t xml:space="preserve">PANof094</t>
  </si>
  <si>
    <t xml:space="preserve">pan_v02_q01_r0095</t>
  </si>
  <si>
    <t xml:space="preserve">PANof095</t>
  </si>
  <si>
    <t xml:space="preserve">pan_v02_q01_r0096</t>
  </si>
  <si>
    <t xml:space="preserve">PANof096</t>
  </si>
  <si>
    <t xml:space="preserve">pan_v02_q01_r0097</t>
  </si>
  <si>
    <t xml:space="preserve">PANof097</t>
  </si>
  <si>
    <t xml:space="preserve">pan_v02_q01_r0098</t>
  </si>
  <si>
    <t xml:space="preserve">PANof098</t>
  </si>
  <si>
    <t xml:space="preserve">pan_v02_q01_r0099</t>
  </si>
  <si>
    <t xml:space="preserve">PANof099</t>
  </si>
  <si>
    <t xml:space="preserve">pan_v02_q01_r0100</t>
  </si>
  <si>
    <t xml:space="preserve">PANof100</t>
  </si>
  <si>
    <t xml:space="preserve">pan_v02_q01_r0101</t>
  </si>
  <si>
    <t xml:space="preserve">PANof101</t>
  </si>
  <si>
    <t xml:space="preserve">pan_v02_q01_r0102</t>
  </si>
  <si>
    <t xml:space="preserve">PANof102</t>
  </si>
  <si>
    <t xml:space="preserve">pan_v02_q01_r0103</t>
  </si>
  <si>
    <t xml:space="preserve">PANof103</t>
  </si>
  <si>
    <t xml:space="preserve">pan_v02_q01_r0104</t>
  </si>
  <si>
    <t xml:space="preserve">PANof104</t>
  </si>
  <si>
    <t xml:space="preserve">pan_v02_q01_r0105</t>
  </si>
  <si>
    <t xml:space="preserve">PANof105</t>
  </si>
  <si>
    <t xml:space="preserve">pan_v02_q01_r0106</t>
  </si>
  <si>
    <t xml:space="preserve">PANof106</t>
  </si>
  <si>
    <t xml:space="preserve">pan_v02_q01_r0107</t>
  </si>
  <si>
    <t xml:space="preserve">PANof107</t>
  </si>
  <si>
    <t xml:space="preserve">pan_v02_q01_r0108</t>
  </si>
  <si>
    <t xml:space="preserve">PANof108</t>
  </si>
  <si>
    <t xml:space="preserve">pan_v02_q01_r0109</t>
  </si>
  <si>
    <t xml:space="preserve">PANof109</t>
  </si>
  <si>
    <t xml:space="preserve">pan_v02_q01_r0110</t>
  </si>
  <si>
    <t xml:space="preserve">PANof110</t>
  </si>
  <si>
    <t xml:space="preserve">pan_v02_q01_r0111</t>
  </si>
  <si>
    <t xml:space="preserve">PANof111</t>
  </si>
  <si>
    <t xml:space="preserve">pan_v02_q01_r0112</t>
  </si>
  <si>
    <t xml:space="preserve">PANof112</t>
  </si>
  <si>
    <t xml:space="preserve">pan_v02_q01_r0113</t>
  </si>
  <si>
    <t xml:space="preserve">PANof113</t>
  </si>
  <si>
    <t xml:space="preserve">pan_v02_q01_r0114</t>
  </si>
  <si>
    <t xml:space="preserve">PANof114</t>
  </si>
  <si>
    <t xml:space="preserve">pan_v02_q01_r0115</t>
  </si>
  <si>
    <t xml:space="preserve">PANof115</t>
  </si>
  <si>
    <t xml:space="preserve">pan_v02_q01_r0116</t>
  </si>
  <si>
    <t xml:space="preserve">PANof116</t>
  </si>
  <si>
    <t xml:space="preserve">pan_v02_q01_r0117</t>
  </si>
  <si>
    <t xml:space="preserve">PANof117</t>
  </si>
  <si>
    <t xml:space="preserve">pan_v02_q01_r0118</t>
  </si>
  <si>
    <t xml:space="preserve">PANof118</t>
  </si>
  <si>
    <t xml:space="preserve">pan_v02_q01_r0119</t>
  </si>
  <si>
    <t xml:space="preserve">PANof119</t>
  </si>
  <si>
    <t xml:space="preserve">pan_v02_q01_r0120</t>
  </si>
  <si>
    <t xml:space="preserve">PANof120</t>
  </si>
  <si>
    <t xml:space="preserve">pan_v02_q01_r0121</t>
  </si>
  <si>
    <t xml:space="preserve">PANof121</t>
  </si>
  <si>
    <t xml:space="preserve">pan_v02_q01_r0122</t>
  </si>
  <si>
    <t xml:space="preserve">PANof122</t>
  </si>
  <si>
    <t xml:space="preserve">pan_v02_q01_r0123</t>
  </si>
  <si>
    <t xml:space="preserve">PANof123</t>
  </si>
  <si>
    <t xml:space="preserve">pan_v02_q01_r0124</t>
  </si>
  <si>
    <t xml:space="preserve">PANof124</t>
  </si>
  <si>
    <t xml:space="preserve">pan_v02_q01_r0125</t>
  </si>
  <si>
    <t xml:space="preserve">PANof125</t>
  </si>
  <si>
    <t xml:space="preserve">pan_v02_q01_r0126</t>
  </si>
  <si>
    <t xml:space="preserve">PANof126</t>
  </si>
  <si>
    <t xml:space="preserve">pan_v02_q01_r0127</t>
  </si>
  <si>
    <t xml:space="preserve">PANof127</t>
  </si>
  <si>
    <t xml:space="preserve">pan_v02_q01_r0128</t>
  </si>
  <si>
    <t xml:space="preserve">PANof128</t>
  </si>
  <si>
    <t xml:space="preserve">pan_v02_q01_r0129</t>
  </si>
  <si>
    <t xml:space="preserve">PANof129</t>
  </si>
  <si>
    <t xml:space="preserve">pan_v02_q01_r0130</t>
  </si>
  <si>
    <t xml:space="preserve">PANof130</t>
  </si>
  <si>
    <t xml:space="preserve">pan_v02_q01_r0131</t>
  </si>
  <si>
    <t xml:space="preserve">PANof131</t>
  </si>
  <si>
    <t xml:space="preserve">pan_v02_q01_r0132</t>
  </si>
  <si>
    <t xml:space="preserve">PANof132</t>
  </si>
  <si>
    <t xml:space="preserve">pan_v02_q01_r0133</t>
  </si>
  <si>
    <t xml:space="preserve">PANof133</t>
  </si>
  <si>
    <t xml:space="preserve">pan_v02_q01_r0134</t>
  </si>
  <si>
    <t xml:space="preserve">PANof134</t>
  </si>
  <si>
    <t xml:space="preserve">pan_v02_q01_r0135</t>
  </si>
  <si>
    <t xml:space="preserve">PANof135</t>
  </si>
  <si>
    <t xml:space="preserve">pan_v02_q01_r0136</t>
  </si>
  <si>
    <t xml:space="preserve">PANof136</t>
  </si>
  <si>
    <t xml:space="preserve">pan_v02_q01_r0137</t>
  </si>
  <si>
    <t xml:space="preserve">PANof137</t>
  </si>
  <si>
    <t xml:space="preserve">pan_v02_q01_r0138</t>
  </si>
  <si>
    <t xml:space="preserve">PANof138</t>
  </si>
  <si>
    <t xml:space="preserve">pan_v02_q01_r0139</t>
  </si>
  <si>
    <t xml:space="preserve">PANof139</t>
  </si>
  <si>
    <t xml:space="preserve">pan_v02_q01_r0140</t>
  </si>
  <si>
    <t xml:space="preserve">PANof140</t>
  </si>
  <si>
    <t xml:space="preserve">pan_v02_q01_r0141</t>
  </si>
  <si>
    <t xml:space="preserve">PANof141</t>
  </si>
  <si>
    <t xml:space="preserve">pan_v02_q01_r0142</t>
  </si>
  <si>
    <t xml:space="preserve">PANof142</t>
  </si>
  <si>
    <t xml:space="preserve">pan_v02_q01_r0143</t>
  </si>
  <si>
    <t xml:space="preserve">PANof143</t>
  </si>
  <si>
    <t xml:space="preserve">pan_v02_q01_r0144</t>
  </si>
  <si>
    <t xml:space="preserve">PANof144</t>
  </si>
  <si>
    <t xml:space="preserve">pan_v02_q01_r0145</t>
  </si>
  <si>
    <t xml:space="preserve">PANof145</t>
  </si>
  <si>
    <t xml:space="preserve">pan_v02_q01_r0146</t>
  </si>
  <si>
    <t xml:space="preserve">PANof146</t>
  </si>
  <si>
    <t xml:space="preserve">pan_v02_q01_r0147</t>
  </si>
  <si>
    <t xml:space="preserve">PANof147</t>
  </si>
  <si>
    <t xml:space="preserve">pan_v02_q01_r0148</t>
  </si>
  <si>
    <t xml:space="preserve">PANof148</t>
  </si>
  <si>
    <t xml:space="preserve">pan_v02_q01_r0149</t>
  </si>
  <si>
    <t xml:space="preserve">PANof149</t>
  </si>
  <si>
    <t xml:space="preserve">pan_v02_q01_r0150</t>
  </si>
  <si>
    <t xml:space="preserve">PANof150</t>
  </si>
  <si>
    <t xml:space="preserve">pan_v02_q01_r0151</t>
  </si>
  <si>
    <t xml:space="preserve">PANof151</t>
  </si>
  <si>
    <t xml:space="preserve">pan_v02_q01_r0152</t>
  </si>
  <si>
    <t xml:space="preserve">PANof152</t>
  </si>
  <si>
    <t xml:space="preserve">pan_v02_q01_r0153</t>
  </si>
  <si>
    <t xml:space="preserve">PANof153</t>
  </si>
  <si>
    <t xml:space="preserve">pan_v02_q01_r0154</t>
  </si>
  <si>
    <t xml:space="preserve">PANof154</t>
  </si>
  <si>
    <t xml:space="preserve">pan_v02_q01_r0155</t>
  </si>
  <si>
    <t xml:space="preserve">PANof155</t>
  </si>
  <si>
    <t xml:space="preserve">pan_v02_q01_r0156</t>
  </si>
  <si>
    <t xml:space="preserve">PANof156</t>
  </si>
  <si>
    <t xml:space="preserve">pan_v02_q01_r0157</t>
  </si>
  <si>
    <t xml:space="preserve">PANof157</t>
  </si>
  <si>
    <t xml:space="preserve">pan_v02_q01_r0158</t>
  </si>
  <si>
    <t xml:space="preserve">PANof158</t>
  </si>
  <si>
    <t xml:space="preserve">pan_v02_q01_r0159</t>
  </si>
  <si>
    <t xml:space="preserve">PANof159</t>
  </si>
  <si>
    <t xml:space="preserve">pan_v02_q01_r0160</t>
  </si>
  <si>
    <t xml:space="preserve">PANof160</t>
  </si>
  <si>
    <t xml:space="preserve">pan_v02_q01_r0161</t>
  </si>
  <si>
    <t xml:space="preserve">PANof161</t>
  </si>
  <si>
    <t xml:space="preserve">pan_v02_q01_r0162</t>
  </si>
  <si>
    <t xml:space="preserve">PANof162</t>
  </si>
  <si>
    <t xml:space="preserve">pan_v02_q01_r0163</t>
  </si>
  <si>
    <t xml:space="preserve">PANof163</t>
  </si>
  <si>
    <t xml:space="preserve">pan_v02_q01_r0164</t>
  </si>
  <si>
    <t xml:space="preserve">PANof164</t>
  </si>
  <si>
    <t xml:space="preserve">pan_v02_q01_r0165</t>
  </si>
  <si>
    <t xml:space="preserve">PANof165</t>
  </si>
  <si>
    <t xml:space="preserve">pan_v02_q01_r0166</t>
  </si>
  <si>
    <t xml:space="preserve">PANof166</t>
  </si>
  <si>
    <t xml:space="preserve">pan_v02_q01_r0167</t>
  </si>
  <si>
    <t xml:space="preserve">PANof167</t>
  </si>
  <si>
    <t xml:space="preserve">pan_v02_q01_r0168</t>
  </si>
  <si>
    <t xml:space="preserve">PANof168</t>
  </si>
  <si>
    <t xml:space="preserve">pan_v02_q01_r0169</t>
  </si>
  <si>
    <t xml:space="preserve">PANof169</t>
  </si>
  <si>
    <t xml:space="preserve">pan_v02_q01_r0170</t>
  </si>
  <si>
    <t xml:space="preserve">PANof170</t>
  </si>
  <si>
    <t xml:space="preserve">pan_v02_q01_r0171</t>
  </si>
  <si>
    <t xml:space="preserve">PANof171</t>
  </si>
  <si>
    <t xml:space="preserve">pan_v02_q01_r0172</t>
  </si>
  <si>
    <t xml:space="preserve">PANof172</t>
  </si>
  <si>
    <t xml:space="preserve">pan_v02_q01_r0173</t>
  </si>
  <si>
    <t xml:space="preserve">PANof173</t>
  </si>
  <si>
    <t xml:space="preserve">pan_v02_q01_r0174</t>
  </si>
  <si>
    <t xml:space="preserve">PANof174</t>
  </si>
  <si>
    <t xml:space="preserve">pan_v02_q01_r0175</t>
  </si>
  <si>
    <t xml:space="preserve">PANof175</t>
  </si>
  <si>
    <t xml:space="preserve">pan_v02_q01_r0176</t>
  </si>
  <si>
    <t xml:space="preserve">PANof176</t>
  </si>
  <si>
    <t xml:space="preserve">pan_v02_q01_r0177</t>
  </si>
  <si>
    <t xml:space="preserve">PANof177</t>
  </si>
  <si>
    <t xml:space="preserve">pan_v02_q01_r0178</t>
  </si>
  <si>
    <t xml:space="preserve">PANof178</t>
  </si>
  <si>
    <t xml:space="preserve">pan_v02_q01_r0179</t>
  </si>
  <si>
    <t xml:space="preserve">PANof179</t>
  </si>
  <si>
    <t xml:space="preserve">pan_v02_q01_r0180</t>
  </si>
  <si>
    <t xml:space="preserve">PANof180</t>
  </si>
  <si>
    <t xml:space="preserve">pan_v02_q01_r0181</t>
  </si>
  <si>
    <t xml:space="preserve">PANof181</t>
  </si>
  <si>
    <t xml:space="preserve">pan_v02_q01_r0182</t>
  </si>
  <si>
    <t xml:space="preserve">PANof182</t>
  </si>
  <si>
    <t xml:space="preserve">pan_v02_q01_r0183</t>
  </si>
  <si>
    <t xml:space="preserve">PANof183</t>
  </si>
  <si>
    <t xml:space="preserve">pan_v02_q01_r0184</t>
  </si>
  <si>
    <t xml:space="preserve">PANof184</t>
  </si>
  <si>
    <t xml:space="preserve">pan_v02_q01_r0185</t>
  </si>
  <si>
    <t xml:space="preserve">PANof185</t>
  </si>
  <si>
    <t xml:space="preserve">pan_v02_q01_r0186</t>
  </si>
  <si>
    <t xml:space="preserve">PANof186</t>
  </si>
  <si>
    <t xml:space="preserve">pan_v02_q01_r0187</t>
  </si>
  <si>
    <t xml:space="preserve">PANof187</t>
  </si>
  <si>
    <t xml:space="preserve">pan_v02_q01_r0188</t>
  </si>
  <si>
    <t xml:space="preserve">PANof188</t>
  </si>
  <si>
    <t xml:space="preserve">pan_v02_q01_r0189</t>
  </si>
  <si>
    <t xml:space="preserve">pan_v02_q01_r0190</t>
  </si>
  <si>
    <t xml:space="preserve">PANof189</t>
  </si>
  <si>
    <t xml:space="preserve">pan_v02_q01_r0191</t>
  </si>
  <si>
    <t xml:space="preserve">pan_v02_q01_r0192</t>
  </si>
  <si>
    <t xml:space="preserve">PANof190</t>
  </si>
  <si>
    <t xml:space="preserve">pan_v02_q01_r0193</t>
  </si>
  <si>
    <t xml:space="preserve">PANof191</t>
  </si>
  <si>
    <t xml:space="preserve">pan_v02_q01_r0194</t>
  </si>
  <si>
    <t xml:space="preserve">PANof192</t>
  </si>
  <si>
    <t xml:space="preserve">pan_v02_q01_r0195</t>
  </si>
  <si>
    <t xml:space="preserve">PANof193</t>
  </si>
  <si>
    <t xml:space="preserve">pan_v02_q01_r0196</t>
  </si>
  <si>
    <t xml:space="preserve">pan_v02_q01_r0197</t>
  </si>
  <si>
    <t xml:space="preserve">pan_v02_q02_r0001</t>
  </si>
  <si>
    <t xml:space="preserve">PANuf001</t>
  </si>
  <si>
    <t xml:space="preserve">pan_v02_q02_r0002</t>
  </si>
  <si>
    <t xml:space="preserve">PANuf002</t>
  </si>
  <si>
    <t xml:space="preserve">pan_v02_q02_r0003</t>
  </si>
  <si>
    <t xml:space="preserve">PANuf003</t>
  </si>
  <si>
    <t xml:space="preserve">pan_v02_q02_r0004</t>
  </si>
  <si>
    <t xml:space="preserve">PANuf004</t>
  </si>
  <si>
    <t xml:space="preserve">pan_v02_q02_r0005</t>
  </si>
  <si>
    <t xml:space="preserve">PANuf005</t>
  </si>
  <si>
    <t xml:space="preserve">pan_v02_q02_r0006</t>
  </si>
  <si>
    <t xml:space="preserve">PANuf006</t>
  </si>
  <si>
    <t xml:space="preserve">pan_v02_q02_r0007</t>
  </si>
  <si>
    <t xml:space="preserve">PANuf007</t>
  </si>
  <si>
    <t xml:space="preserve">pan_v02_q02_r0008</t>
  </si>
  <si>
    <t xml:space="preserve">PANuf008</t>
  </si>
  <si>
    <t xml:space="preserve">pan_v02_q02_r0009</t>
  </si>
  <si>
    <t xml:space="preserve">PANuf009</t>
  </si>
  <si>
    <t xml:space="preserve">pan_v02_q02_r0010</t>
  </si>
  <si>
    <t xml:space="preserve">PANuf010</t>
  </si>
  <si>
    <t xml:space="preserve">pan_v02_q02_r0011</t>
  </si>
  <si>
    <t xml:space="preserve">PANuf011</t>
  </si>
  <si>
    <t xml:space="preserve">pan_v02_q02_r0012</t>
  </si>
  <si>
    <t xml:space="preserve">PANuf012</t>
  </si>
  <si>
    <t xml:space="preserve">pan_v02_q02_r0013</t>
  </si>
  <si>
    <t xml:space="preserve">PANuf013</t>
  </si>
  <si>
    <t xml:space="preserve">pan_v02_q02_r0014</t>
  </si>
  <si>
    <t xml:space="preserve">PANuf014</t>
  </si>
  <si>
    <t xml:space="preserve">pan_v02_q02_r0015</t>
  </si>
  <si>
    <t xml:space="preserve">PANuf015</t>
  </si>
  <si>
    <t xml:space="preserve">pan_v02_q02_r0016</t>
  </si>
  <si>
    <t xml:space="preserve">PANuf016</t>
  </si>
  <si>
    <t xml:space="preserve">pan_v02_q02_r0017</t>
  </si>
  <si>
    <t xml:space="preserve">PANuf017</t>
  </si>
  <si>
    <t xml:space="preserve">pan_v02_q02_r0018</t>
  </si>
  <si>
    <t xml:space="preserve">PANuf018</t>
  </si>
  <si>
    <t xml:space="preserve">pan_v02_q02_r0019</t>
  </si>
  <si>
    <t xml:space="preserve">PANuf019</t>
  </si>
  <si>
    <t xml:space="preserve">pan_v02_q02_r0020</t>
  </si>
  <si>
    <t xml:space="preserve">PANuf020</t>
  </si>
  <si>
    <t xml:space="preserve">pan_v02_q02_r0021</t>
  </si>
  <si>
    <t xml:space="preserve">PANuf021</t>
  </si>
  <si>
    <t xml:space="preserve">pan_v02_q02_r0022</t>
  </si>
  <si>
    <t xml:space="preserve">PANuf022</t>
  </si>
  <si>
    <t xml:space="preserve">pan_v02_q02_r0023</t>
  </si>
  <si>
    <t xml:space="preserve">PANuf023</t>
  </si>
  <si>
    <t xml:space="preserve">pan_v02_q02_r0024</t>
  </si>
  <si>
    <t xml:space="preserve">PANuf024</t>
  </si>
  <si>
    <t xml:space="preserve">pan_v02_q02_r0025</t>
  </si>
  <si>
    <t xml:space="preserve">PANuf025</t>
  </si>
  <si>
    <t xml:space="preserve">pan_v02_q02_r0026</t>
  </si>
  <si>
    <t xml:space="preserve">PANuf026</t>
  </si>
  <si>
    <t xml:space="preserve">pan_v02_q02_r0027</t>
  </si>
  <si>
    <t xml:space="preserve">PANuf027</t>
  </si>
  <si>
    <t xml:space="preserve">pan_v02_q02_r0028</t>
  </si>
  <si>
    <t xml:space="preserve">PANuf028</t>
  </si>
  <si>
    <t xml:space="preserve">pan_v02_q02_r0029</t>
  </si>
  <si>
    <t xml:space="preserve">PANuf029</t>
  </si>
  <si>
    <t xml:space="preserve">pan_v02_q02_r0030</t>
  </si>
  <si>
    <t xml:space="preserve">PANuf030</t>
  </si>
  <si>
    <t xml:space="preserve">pan_v02_q02_r0031</t>
  </si>
  <si>
    <t xml:space="preserve">PANuf031</t>
  </si>
  <si>
    <t xml:space="preserve">pan_v02_q02_r0032</t>
  </si>
  <si>
    <t xml:space="preserve">PANuf032</t>
  </si>
  <si>
    <t xml:space="preserve">pan_v02_q02_r0033</t>
  </si>
  <si>
    <t xml:space="preserve">PANuf033</t>
  </si>
  <si>
    <t xml:space="preserve">pan_v02_q02_r0034</t>
  </si>
  <si>
    <t xml:space="preserve">PANuf034</t>
  </si>
  <si>
    <t xml:space="preserve">pan_v02_q02_r0035</t>
  </si>
  <si>
    <t xml:space="preserve">PANuf035</t>
  </si>
  <si>
    <t xml:space="preserve">pan_v02_q02_r0036</t>
  </si>
  <si>
    <t xml:space="preserve">PANuf036</t>
  </si>
  <si>
    <t xml:space="preserve">pan_v02_q02_r0037</t>
  </si>
  <si>
    <t xml:space="preserve">PANuf037</t>
  </si>
  <si>
    <t xml:space="preserve">pan_v02_q02_r0038</t>
  </si>
  <si>
    <t xml:space="preserve">PANuf038</t>
  </si>
  <si>
    <t xml:space="preserve">pan_v02_q02_r0039</t>
  </si>
  <si>
    <t xml:space="preserve">PANuf039</t>
  </si>
  <si>
    <t xml:space="preserve">pan_v02_q02_r0040</t>
  </si>
  <si>
    <t xml:space="preserve">PANuf040</t>
  </si>
  <si>
    <t xml:space="preserve">pan_v02_q02_r0041</t>
  </si>
  <si>
    <t xml:space="preserve">PANuf041</t>
  </si>
  <si>
    <t xml:space="preserve">pan_v02_q02_r0042</t>
  </si>
  <si>
    <t xml:space="preserve">PANuf042</t>
  </si>
  <si>
    <t xml:space="preserve">pan_v02_q02_r0043</t>
  </si>
  <si>
    <t xml:space="preserve">PANuf043</t>
  </si>
  <si>
    <t xml:space="preserve">pan_v02_q02_r0044</t>
  </si>
  <si>
    <t xml:space="preserve">PANuf044</t>
  </si>
  <si>
    <t xml:space="preserve">pan_v02_q02_r0045</t>
  </si>
  <si>
    <t xml:space="preserve">PANuf045</t>
  </si>
  <si>
    <t xml:space="preserve">pan_v02_q02_r0046</t>
  </si>
  <si>
    <t xml:space="preserve">PANuf046</t>
  </si>
  <si>
    <t xml:space="preserve">pan_v02_q02_r0047</t>
  </si>
  <si>
    <t xml:space="preserve">PANuf047</t>
  </si>
  <si>
    <t xml:space="preserve">pan_v02_q02_r0048</t>
  </si>
  <si>
    <t xml:space="preserve">PANuf048</t>
  </si>
  <si>
    <t xml:space="preserve">pan_v02_q02_r0049</t>
  </si>
  <si>
    <t xml:space="preserve">PANuf049</t>
  </si>
  <si>
    <t xml:space="preserve">pan_v02_q02_r0050</t>
  </si>
  <si>
    <t xml:space="preserve">PANuf050</t>
  </si>
  <si>
    <t xml:space="preserve">pan_v02_q02_r0051</t>
  </si>
  <si>
    <t xml:space="preserve">PANuf051</t>
  </si>
  <si>
    <t xml:space="preserve">pan_v02_q02_r0052</t>
  </si>
  <si>
    <t xml:space="preserve">PANuf052</t>
  </si>
  <si>
    <t xml:space="preserve">pan_v02_q02_r0053</t>
  </si>
  <si>
    <t xml:space="preserve">PANuf053</t>
  </si>
  <si>
    <t xml:space="preserve">pan_v02_q02_r0054</t>
  </si>
  <si>
    <t xml:space="preserve">PANuf054</t>
  </si>
  <si>
    <t xml:space="preserve">pan_v02_q02_r0055</t>
  </si>
  <si>
    <t xml:space="preserve">PANuf055</t>
  </si>
  <si>
    <t xml:space="preserve">pan_v02_q02_r0056</t>
  </si>
  <si>
    <t xml:space="preserve">PANuf056</t>
  </si>
  <si>
    <t xml:space="preserve">pan_v02_q02_r0057</t>
  </si>
  <si>
    <t xml:space="preserve">PANuf057</t>
  </si>
  <si>
    <t xml:space="preserve">pan_v02_q02_r0058</t>
  </si>
  <si>
    <t xml:space="preserve">PANuf058</t>
  </si>
  <si>
    <t xml:space="preserve">pan_v02_q02_r0059</t>
  </si>
  <si>
    <t xml:space="preserve">PANuf059</t>
  </si>
  <si>
    <t xml:space="preserve">pan_v02_q02_r0060</t>
  </si>
  <si>
    <t xml:space="preserve">PANuf060</t>
  </si>
  <si>
    <t xml:space="preserve">pan_v02_q02_r0061</t>
  </si>
  <si>
    <t xml:space="preserve">PANuf061</t>
  </si>
  <si>
    <t xml:space="preserve">pan_v02_q02_r0062</t>
  </si>
  <si>
    <t xml:space="preserve">PANuf062</t>
  </si>
  <si>
    <t xml:space="preserve">pan_v02_q02_r0063</t>
  </si>
  <si>
    <t xml:space="preserve">PANuf063</t>
  </si>
  <si>
    <t xml:space="preserve">pan_v02_q02_r0064</t>
  </si>
  <si>
    <t xml:space="preserve">PANuf064</t>
  </si>
  <si>
    <t xml:space="preserve">pan_v02_q02_r0065</t>
  </si>
  <si>
    <t xml:space="preserve">PANuf065</t>
  </si>
  <si>
    <t xml:space="preserve">pan_v02_q02_r0066</t>
  </si>
  <si>
    <t xml:space="preserve">PANuf066</t>
  </si>
  <si>
    <t xml:space="preserve">pan_v02_q02_r0067</t>
  </si>
  <si>
    <t xml:space="preserve">PANuf067</t>
  </si>
  <si>
    <t xml:space="preserve">pan_v02_q02_r0068</t>
  </si>
  <si>
    <t xml:space="preserve">PANuf068</t>
  </si>
  <si>
    <t xml:space="preserve">pan_v02_q02_r0069</t>
  </si>
  <si>
    <t xml:space="preserve">PANuf069</t>
  </si>
  <si>
    <t xml:space="preserve">pan_v02_q02_r0070</t>
  </si>
  <si>
    <t xml:space="preserve">PANuf070</t>
  </si>
  <si>
    <t xml:space="preserve">pan_v02_q02_r0071</t>
  </si>
  <si>
    <t xml:space="preserve">PANuf071</t>
  </si>
  <si>
    <t xml:space="preserve">pan_v02_q02_r0072</t>
  </si>
  <si>
    <t xml:space="preserve">PANuf072</t>
  </si>
  <si>
    <t xml:space="preserve">pan_v02_q02_r0073</t>
  </si>
  <si>
    <t xml:space="preserve">PANuf073</t>
  </si>
  <si>
    <t xml:space="preserve">pan_v02_q02_r0074</t>
  </si>
  <si>
    <t xml:space="preserve">PANuf074</t>
  </si>
  <si>
    <t xml:space="preserve">pan_v02_q02_r0075</t>
  </si>
  <si>
    <t xml:space="preserve">PANuf075</t>
  </si>
  <si>
    <t xml:space="preserve">pan_v02_q02_r0076</t>
  </si>
  <si>
    <t xml:space="preserve">PANuf076</t>
  </si>
  <si>
    <t xml:space="preserve">pan_v02_q02_r0077</t>
  </si>
  <si>
    <t xml:space="preserve">PANuf077</t>
  </si>
  <si>
    <t xml:space="preserve">pan_v02_q02_r0078</t>
  </si>
  <si>
    <t xml:space="preserve">PANuf078</t>
  </si>
  <si>
    <t xml:space="preserve">pan_v02_q02_r0079</t>
  </si>
  <si>
    <t xml:space="preserve">PANuf079</t>
  </si>
  <si>
    <t xml:space="preserve">pan_v02_q02_r0080</t>
  </si>
  <si>
    <t xml:space="preserve">PANuf080</t>
  </si>
  <si>
    <t xml:space="preserve">pan_v02_q02_r0081</t>
  </si>
  <si>
    <t xml:space="preserve">PANuf081</t>
  </si>
  <si>
    <t xml:space="preserve">pan_v02_q02_r0082</t>
  </si>
  <si>
    <t xml:space="preserve">PANuf082</t>
  </si>
  <si>
    <t xml:space="preserve">pan_v02_q02_r0083</t>
  </si>
  <si>
    <t xml:space="preserve">PANuf083</t>
  </si>
  <si>
    <t xml:space="preserve">pan_v02_q02_r0084</t>
  </si>
  <si>
    <t xml:space="preserve">PANuf084</t>
  </si>
  <si>
    <t xml:space="preserve">pan_v02_q02_r0085</t>
  </si>
  <si>
    <t xml:space="preserve">PANuf085</t>
  </si>
  <si>
    <t xml:space="preserve">pan_v02_q02_r0086</t>
  </si>
  <si>
    <t xml:space="preserve">PANuf086</t>
  </si>
  <si>
    <t xml:space="preserve">pan_v02_q02_r0087</t>
  </si>
  <si>
    <t xml:space="preserve">PANuf087</t>
  </si>
  <si>
    <t xml:space="preserve">pan_v02_q02_r0088</t>
  </si>
  <si>
    <t xml:space="preserve">PANuf088</t>
  </si>
  <si>
    <t xml:space="preserve">pan_v02_q02_r0089</t>
  </si>
  <si>
    <t xml:space="preserve">PANuf089</t>
  </si>
  <si>
    <t xml:space="preserve">pan_v02_q02_r0090</t>
  </si>
  <si>
    <t xml:space="preserve">PANuf090</t>
  </si>
  <si>
    <t xml:space="preserve">pan_v02_q02_r0091</t>
  </si>
  <si>
    <t xml:space="preserve">PANuf091</t>
  </si>
  <si>
    <t xml:space="preserve">pan_v02_q02_r0092</t>
  </si>
  <si>
    <t xml:space="preserve">PANuf092</t>
  </si>
  <si>
    <t xml:space="preserve">pan_v02_q02_r0093</t>
  </si>
  <si>
    <t xml:space="preserve">PANuf093</t>
  </si>
  <si>
    <t xml:space="preserve">pan_v02_q02_r0094</t>
  </si>
  <si>
    <t xml:space="preserve">PANuf094</t>
  </si>
  <si>
    <t xml:space="preserve">pan_v02_q02_r0095</t>
  </si>
  <si>
    <t xml:space="preserve">PANuf095</t>
  </si>
  <si>
    <t xml:space="preserve">pan_v02_q02_r0096</t>
  </si>
  <si>
    <t xml:space="preserve">PANuf096</t>
  </si>
  <si>
    <t xml:space="preserve">pan_v02_q02_r0097</t>
  </si>
  <si>
    <t xml:space="preserve">PANuf097</t>
  </si>
  <si>
    <t xml:space="preserve">pan_v02_q02_r0098</t>
  </si>
  <si>
    <t xml:space="preserve">PANuf098</t>
  </si>
  <si>
    <t xml:space="preserve">pan_v02_q02_r0099</t>
  </si>
  <si>
    <t xml:space="preserve">PANuf099</t>
  </si>
  <si>
    <t xml:space="preserve">pan_v02_q02_r0100</t>
  </si>
  <si>
    <t xml:space="preserve">PANuf100</t>
  </si>
  <si>
    <t xml:space="preserve">pan_v02_q02_r0101</t>
  </si>
  <si>
    <t xml:space="preserve">PANuf101</t>
  </si>
  <si>
    <t xml:space="preserve">pan_v02_q02_r0102</t>
  </si>
  <si>
    <t xml:space="preserve">PANuf102</t>
  </si>
  <si>
    <t xml:space="preserve">pan_v02_q02_r0103</t>
  </si>
  <si>
    <t xml:space="preserve">PANuf103</t>
  </si>
  <si>
    <t xml:space="preserve">pan_v02_q02_r0104</t>
  </si>
  <si>
    <t xml:space="preserve">PANuf104</t>
  </si>
  <si>
    <t xml:space="preserve">pan_v02_q02_r0105</t>
  </si>
  <si>
    <t xml:space="preserve">PANuf105</t>
  </si>
  <si>
    <t xml:space="preserve">pan_v02_q02_r0106</t>
  </si>
  <si>
    <t xml:space="preserve">PANuf106</t>
  </si>
  <si>
    <t xml:space="preserve">pan_v02_q02_r0107</t>
  </si>
  <si>
    <t xml:space="preserve">PANuf107</t>
  </si>
  <si>
    <t xml:space="preserve">pan_v02_q02_r0108</t>
  </si>
  <si>
    <t xml:space="preserve">PANuf108</t>
  </si>
  <si>
    <t xml:space="preserve">pan_v02_q02_r0109</t>
  </si>
  <si>
    <t xml:space="preserve">PANuf109</t>
  </si>
  <si>
    <t xml:space="preserve">pan_v02_q02_r0110</t>
  </si>
  <si>
    <t xml:space="preserve">PANuf110</t>
  </si>
  <si>
    <t xml:space="preserve">pan_v02_q02_r0111</t>
  </si>
  <si>
    <t xml:space="preserve">PANuf111</t>
  </si>
  <si>
    <t xml:space="preserve">pan_v02_q02_r0112</t>
  </si>
  <si>
    <t xml:space="preserve">PANuf112</t>
  </si>
  <si>
    <t xml:space="preserve">pan_v02_q02_r0113</t>
  </si>
  <si>
    <t xml:space="preserve">PANuf113</t>
  </si>
  <si>
    <t xml:space="preserve">pan_v02_q02_r0114</t>
  </si>
  <si>
    <t xml:space="preserve">PANuf114</t>
  </si>
  <si>
    <t xml:space="preserve">pan_v02_q02_r0115</t>
  </si>
  <si>
    <t xml:space="preserve">PANuf115</t>
  </si>
  <si>
    <t xml:space="preserve">pan_v02_q02_r0116</t>
  </si>
  <si>
    <t xml:space="preserve">PANuf116</t>
  </si>
  <si>
    <t xml:space="preserve">pan_v02_q02_r0117</t>
  </si>
  <si>
    <t xml:space="preserve">PANuf117</t>
  </si>
  <si>
    <t xml:space="preserve">pan_v02_q02_r0118</t>
  </si>
  <si>
    <t xml:space="preserve">PANuf118</t>
  </si>
  <si>
    <t xml:space="preserve">pan_v02_q02_r0119</t>
  </si>
  <si>
    <t xml:space="preserve">PANuf119</t>
  </si>
  <si>
    <t xml:space="preserve">pan_v02_q02_r0120</t>
  </si>
  <si>
    <t xml:space="preserve">PANuf120</t>
  </si>
  <si>
    <t xml:space="preserve">pan_v02_q02_r0121</t>
  </si>
  <si>
    <t xml:space="preserve">PANuf121</t>
  </si>
  <si>
    <t xml:space="preserve">pan_v02_q02_r0122</t>
  </si>
  <si>
    <t xml:space="preserve">PANuf122</t>
  </si>
  <si>
    <t xml:space="preserve">pan_v02_q02_r0123</t>
  </si>
  <si>
    <t xml:space="preserve">PANuf123</t>
  </si>
  <si>
    <t xml:space="preserve">pan_v02_q02_r0124</t>
  </si>
  <si>
    <t xml:space="preserve">PANuf124</t>
  </si>
  <si>
    <t xml:space="preserve">pan_v02_q02_r0125</t>
  </si>
  <si>
    <t xml:space="preserve">PANuf125</t>
  </si>
  <si>
    <t xml:space="preserve">pan_v02_q02_r0126</t>
  </si>
  <si>
    <t xml:space="preserve">PANuf126</t>
  </si>
  <si>
    <t xml:space="preserve">pan_v02_q02_r0127</t>
  </si>
  <si>
    <t xml:space="preserve">PANuf127</t>
  </si>
  <si>
    <t xml:space="preserve">pan_v02_q02_r0128</t>
  </si>
  <si>
    <t xml:space="preserve">PANuf128</t>
  </si>
  <si>
    <t xml:space="preserve">pan_v02_q02_r0129</t>
  </si>
  <si>
    <t xml:space="preserve">PANuf129</t>
  </si>
  <si>
    <t xml:space="preserve">pan_v02_q02_r0130</t>
  </si>
  <si>
    <t xml:space="preserve">PANuf130</t>
  </si>
  <si>
    <t xml:space="preserve">pan_v02_q02_r0131</t>
  </si>
  <si>
    <t xml:space="preserve">PANuf131</t>
  </si>
  <si>
    <t xml:space="preserve">pan_v02_q02_r0132</t>
  </si>
  <si>
    <t xml:space="preserve">PANuf132</t>
  </si>
  <si>
    <t xml:space="preserve">pan_v02_q02_r0133</t>
  </si>
  <si>
    <t xml:space="preserve">PANuf133</t>
  </si>
  <si>
    <t xml:space="preserve">pan_v02_q02_r0134</t>
  </si>
  <si>
    <t xml:space="preserve">PANuf134</t>
  </si>
  <si>
    <t xml:space="preserve">pan_v02_q02_r0135</t>
  </si>
  <si>
    <t xml:space="preserve">PANuf135</t>
  </si>
  <si>
    <t xml:space="preserve">pan_v02_q02_r0136</t>
  </si>
  <si>
    <t xml:space="preserve">PANuf136</t>
  </si>
  <si>
    <t xml:space="preserve">pan_v02_q02_r0137</t>
  </si>
  <si>
    <t xml:space="preserve">PANuf137</t>
  </si>
  <si>
    <t xml:space="preserve">pan_v02_q02_r0138</t>
  </si>
  <si>
    <t xml:space="preserve">PANuf138</t>
  </si>
  <si>
    <t xml:space="preserve">pan_v02_q02_r0139</t>
  </si>
  <si>
    <t xml:space="preserve">PANuf139</t>
  </si>
  <si>
    <t xml:space="preserve">pan_v02_q02_r0140</t>
  </si>
  <si>
    <t xml:space="preserve">PANuf140</t>
  </si>
  <si>
    <t xml:space="preserve">pan_v02_q02_r0141</t>
  </si>
  <si>
    <t xml:space="preserve">PANuf141</t>
  </si>
  <si>
    <t xml:space="preserve">pan_v02_q02_r0142</t>
  </si>
  <si>
    <t xml:space="preserve">PANuf142</t>
  </si>
  <si>
    <t xml:space="preserve">pan_v02_q02_r0143</t>
  </si>
  <si>
    <t xml:space="preserve">PANuf143</t>
  </si>
  <si>
    <t xml:space="preserve">pan_v02_q02_r0144</t>
  </si>
  <si>
    <t xml:space="preserve">PANuf144</t>
  </si>
  <si>
    <t xml:space="preserve">pan_v02_q02_r0145</t>
  </si>
  <si>
    <t xml:space="preserve">PANuf145</t>
  </si>
  <si>
    <t xml:space="preserve">pan_v02_q02_r0146</t>
  </si>
  <si>
    <t xml:space="preserve">PANuf146</t>
  </si>
  <si>
    <t xml:space="preserve">pan_v02_q02_r0147</t>
  </si>
  <si>
    <t xml:space="preserve">PANuf147</t>
  </si>
  <si>
    <t xml:space="preserve">pan_v02_q02_r0148</t>
  </si>
  <si>
    <t xml:space="preserve">PANuf148</t>
  </si>
  <si>
    <t xml:space="preserve">pan_v02_q02_r0149</t>
  </si>
  <si>
    <t xml:space="preserve">PANuf149</t>
  </si>
  <si>
    <t xml:space="preserve">pan_v02_q02_r0150</t>
  </si>
  <si>
    <t xml:space="preserve">PANuf150</t>
  </si>
  <si>
    <t xml:space="preserve">pan_v02_q02_r0151</t>
  </si>
  <si>
    <t xml:space="preserve">PANuf151</t>
  </si>
  <si>
    <t xml:space="preserve">pan_v02_q02_r0152</t>
  </si>
  <si>
    <t xml:space="preserve">PANuf152</t>
  </si>
  <si>
    <t xml:space="preserve">pan_v02_q02_r0153</t>
  </si>
  <si>
    <t xml:space="preserve">PANuf153</t>
  </si>
  <si>
    <t xml:space="preserve">pan_v02_q02_r0154</t>
  </si>
  <si>
    <t xml:space="preserve">PANuf154</t>
  </si>
  <si>
    <t xml:space="preserve">pan_v02_q02_r0155</t>
  </si>
  <si>
    <t xml:space="preserve">PANuf155</t>
  </si>
  <si>
    <t xml:space="preserve">pan_v02_q02_r0156</t>
  </si>
  <si>
    <t xml:space="preserve">PANuf156</t>
  </si>
  <si>
    <t xml:space="preserve">pan_v02_q02_r0157</t>
  </si>
  <si>
    <t xml:space="preserve">PANuf157</t>
  </si>
  <si>
    <t xml:space="preserve">pan_v02_q02_r0158</t>
  </si>
  <si>
    <t xml:space="preserve">PANuf158</t>
  </si>
  <si>
    <t xml:space="preserve">pan_v02_q02_r0159</t>
  </si>
  <si>
    <t xml:space="preserve">PANuf159</t>
  </si>
  <si>
    <t xml:space="preserve">pan_v02_q02_r0160</t>
  </si>
  <si>
    <t xml:space="preserve">PANuf160</t>
  </si>
  <si>
    <t xml:space="preserve">pan_v02_q02_r0161</t>
  </si>
  <si>
    <t xml:space="preserve">PANuf161</t>
  </si>
  <si>
    <t xml:space="preserve">pan_v02_q02_r0162</t>
  </si>
  <si>
    <t xml:space="preserve">PANuf162</t>
  </si>
  <si>
    <t xml:space="preserve">pan_v02_q02_r0163</t>
  </si>
  <si>
    <t xml:space="preserve">PANuf163</t>
  </si>
  <si>
    <t xml:space="preserve">pan_v02_q02_r0164</t>
  </si>
  <si>
    <t xml:space="preserve">PANuf164</t>
  </si>
  <si>
    <t xml:space="preserve">pan_v02_q02_r0165</t>
  </si>
  <si>
    <t xml:space="preserve">PANuf165</t>
  </si>
  <si>
    <t xml:space="preserve">pan_v02_q02_r0166</t>
  </si>
  <si>
    <t xml:space="preserve">PANuf166</t>
  </si>
  <si>
    <t xml:space="preserve">pan_v02_q02_r0167</t>
  </si>
  <si>
    <t xml:space="preserve">PANuf167</t>
  </si>
  <si>
    <t xml:space="preserve">pan_v02_q02_r0168</t>
  </si>
  <si>
    <t xml:space="preserve">PANuf168</t>
  </si>
  <si>
    <t xml:space="preserve">pan_v02_q02_r0169</t>
  </si>
  <si>
    <t xml:space="preserve">PANuf169</t>
  </si>
  <si>
    <t xml:space="preserve">pan_v02_q02_r0170</t>
  </si>
  <si>
    <t xml:space="preserve">PANuf170</t>
  </si>
  <si>
    <t xml:space="preserve">pan_v02_q02_r0171</t>
  </si>
  <si>
    <t xml:space="preserve">PANuf171</t>
  </si>
  <si>
    <t xml:space="preserve">pan_v02_q02_r0172</t>
  </si>
  <si>
    <t xml:space="preserve">PANuf172</t>
  </si>
  <si>
    <t xml:space="preserve">pan_v02_q02_r0173</t>
  </si>
  <si>
    <t xml:space="preserve">PANuf173</t>
  </si>
  <si>
    <t xml:space="preserve">pan_v02_q02_r0174</t>
  </si>
  <si>
    <t xml:space="preserve">PANuf174</t>
  </si>
  <si>
    <t xml:space="preserve">pan_v02_q02_r0175</t>
  </si>
  <si>
    <t xml:space="preserve">PANuf175</t>
  </si>
  <si>
    <t xml:space="preserve">pan_v02_q02_r0176</t>
  </si>
  <si>
    <t xml:space="preserve">PANuf176</t>
  </si>
  <si>
    <t xml:space="preserve">pan_v02_q02_r0177</t>
  </si>
  <si>
    <t xml:space="preserve">PANuf177</t>
  </si>
  <si>
    <t xml:space="preserve">pan_v02_q02_r0178</t>
  </si>
  <si>
    <t xml:space="preserve">PANuf178</t>
  </si>
  <si>
    <t xml:space="preserve">pan_v02_q02_r0179</t>
  </si>
  <si>
    <t xml:space="preserve">PANuf179</t>
  </si>
  <si>
    <t xml:space="preserve">pan_v02_q02_r0180</t>
  </si>
  <si>
    <t xml:space="preserve">PANuf180</t>
  </si>
  <si>
    <t xml:space="preserve">pan_v02_q02_r0181</t>
  </si>
  <si>
    <t xml:space="preserve">PANuf181</t>
  </si>
  <si>
    <t xml:space="preserve">pan_v02_q02_r0182</t>
  </si>
  <si>
    <t xml:space="preserve">PANuf182</t>
  </si>
  <si>
    <t xml:space="preserve">pan_v02_q02_r0183</t>
  </si>
  <si>
    <t xml:space="preserve">PANuf183</t>
  </si>
  <si>
    <t xml:space="preserve">pan_v02_q02_r0184</t>
  </si>
  <si>
    <t xml:space="preserve">PANuf184</t>
  </si>
  <si>
    <t xml:space="preserve">pan_v02_q02_r0185</t>
  </si>
  <si>
    <t xml:space="preserve">PANuf185</t>
  </si>
  <si>
    <t xml:space="preserve">pan_v02_q02_r0186</t>
  </si>
  <si>
    <t xml:space="preserve">PANuf186</t>
  </si>
  <si>
    <t xml:space="preserve">pan_v02_q02_r0187</t>
  </si>
  <si>
    <t xml:space="preserve">PANuf187</t>
  </si>
  <si>
    <t xml:space="preserve">pan_v02_q02_r0188</t>
  </si>
  <si>
    <t xml:space="preserve">PANuf188</t>
  </si>
  <si>
    <t xml:space="preserve">pan_v02_q02_r0189</t>
  </si>
  <si>
    <t xml:space="preserve">pan_v02_q02_r0190</t>
  </si>
  <si>
    <t xml:space="preserve">PANuf189</t>
  </si>
  <si>
    <t xml:space="preserve">pan_v02_q02_r0191</t>
  </si>
  <si>
    <t xml:space="preserve">pan_v02_q02_r0192</t>
  </si>
  <si>
    <t xml:space="preserve">PANuf190</t>
  </si>
  <si>
    <t xml:space="preserve">pan_v02_q02_r0193</t>
  </si>
  <si>
    <t xml:space="preserve">PANuf191</t>
  </si>
  <si>
    <t xml:space="preserve">pan_v02_q02_r0194</t>
  </si>
  <si>
    <t xml:space="preserve">PANuf192</t>
  </si>
  <si>
    <t xml:space="preserve">pan_v02_q02_r0195</t>
  </si>
  <si>
    <t xml:space="preserve">PANuf193</t>
  </si>
  <si>
    <t xml:space="preserve">pan_v02_q02_r0196</t>
  </si>
  <si>
    <t xml:space="preserve">pan_v02_q02_r0197</t>
  </si>
  <si>
    <t xml:space="preserve">pan_v02_q03_r0001</t>
  </si>
  <si>
    <t xml:space="preserve">PANvf001</t>
  </si>
  <si>
    <t xml:space="preserve">col_id</t>
  </si>
  <si>
    <t xml:space="preserve">Columnas</t>
  </si>
  <si>
    <t xml:space="preserve">pan_v02_q01_c0001</t>
  </si>
  <si>
    <t xml:space="preserve">PANoc001</t>
  </si>
  <si>
    <t xml:space="preserve">pan_v02_q01_c0002</t>
  </si>
  <si>
    <t xml:space="preserve">PANoc002</t>
  </si>
  <si>
    <t xml:space="preserve">pan_v02_q01_c0003</t>
  </si>
  <si>
    <t xml:space="preserve">PANoc003</t>
  </si>
  <si>
    <t xml:space="preserve">pan_v02_q01_c0004</t>
  </si>
  <si>
    <t xml:space="preserve">PANoc004</t>
  </si>
  <si>
    <t xml:space="preserve">pan_v02_q01_c0005</t>
  </si>
  <si>
    <t xml:space="preserve">PANoc005</t>
  </si>
  <si>
    <t xml:space="preserve">pan_v02_q01_c0006</t>
  </si>
  <si>
    <t xml:space="preserve">PANoc006</t>
  </si>
  <si>
    <t xml:space="preserve">pan_v02_q01_c0007</t>
  </si>
  <si>
    <t xml:space="preserve">PANoc007</t>
  </si>
  <si>
    <t xml:space="preserve">pan_v02_q01_c0008</t>
  </si>
  <si>
    <t xml:space="preserve">PANoc008</t>
  </si>
  <si>
    <t xml:space="preserve">pan_v02_q01_c0009</t>
  </si>
  <si>
    <t xml:space="preserve">PANoc009</t>
  </si>
  <si>
    <t xml:space="preserve">pan_v02_q01_c0010</t>
  </si>
  <si>
    <t xml:space="preserve">PANoc010</t>
  </si>
  <si>
    <t xml:space="preserve">pan_v02_q01_c0011</t>
  </si>
  <si>
    <t xml:space="preserve">PANoc011</t>
  </si>
  <si>
    <t xml:space="preserve">pan_v02_q01_c0012</t>
  </si>
  <si>
    <t xml:space="preserve">PANoc012</t>
  </si>
  <si>
    <t xml:space="preserve">pan_v02_q01_c0013</t>
  </si>
  <si>
    <t xml:space="preserve">PANoc013</t>
  </si>
  <si>
    <t xml:space="preserve">pan_v02_q01_c0014</t>
  </si>
  <si>
    <t xml:space="preserve">PANoc014</t>
  </si>
  <si>
    <t xml:space="preserve">pan_v02_q01_c0015</t>
  </si>
  <si>
    <t xml:space="preserve">PANoc015</t>
  </si>
  <si>
    <t xml:space="preserve">pan_v02_q01_c0016</t>
  </si>
  <si>
    <t xml:space="preserve">PANoc016</t>
  </si>
  <si>
    <t xml:space="preserve">pan_v02_q01_c0017</t>
  </si>
  <si>
    <t xml:space="preserve">PANoc017</t>
  </si>
  <si>
    <t xml:space="preserve">pan_v02_q01_c0018</t>
  </si>
  <si>
    <t xml:space="preserve">PANoc018</t>
  </si>
  <si>
    <t xml:space="preserve">pan_v02_q01_c0019</t>
  </si>
  <si>
    <t xml:space="preserve">PANoc019</t>
  </si>
  <si>
    <t xml:space="preserve">pan_v02_q01_c0020</t>
  </si>
  <si>
    <t xml:space="preserve">PANoc020</t>
  </si>
  <si>
    <t xml:space="preserve">pan_v02_q01_c0021</t>
  </si>
  <si>
    <t xml:space="preserve">PANoc021</t>
  </si>
  <si>
    <t xml:space="preserve">pan_v02_q01_c0022</t>
  </si>
  <si>
    <t xml:space="preserve">PANoc022</t>
  </si>
  <si>
    <t xml:space="preserve">pan_v02_q01_c0023</t>
  </si>
  <si>
    <t xml:space="preserve">PANoc023</t>
  </si>
  <si>
    <t xml:space="preserve">pan_v02_q01_c0024</t>
  </si>
  <si>
    <t xml:space="preserve">PANoc024</t>
  </si>
  <si>
    <t xml:space="preserve">pan_v02_q01_c0025</t>
  </si>
  <si>
    <t xml:space="preserve">PANoc025</t>
  </si>
  <si>
    <t xml:space="preserve">pan_v02_q01_c0026</t>
  </si>
  <si>
    <t xml:space="preserve">PANoc026</t>
  </si>
  <si>
    <t xml:space="preserve">pan_v02_q01_c0027</t>
  </si>
  <si>
    <t xml:space="preserve">PANoc027</t>
  </si>
  <si>
    <t xml:space="preserve">pan_v02_q01_c0028</t>
  </si>
  <si>
    <t xml:space="preserve">PANoc028</t>
  </si>
  <si>
    <t xml:space="preserve">pan_v02_q01_c0029</t>
  </si>
  <si>
    <t xml:space="preserve">PANoc029</t>
  </si>
  <si>
    <t xml:space="preserve">pan_v02_q01_c0030</t>
  </si>
  <si>
    <t xml:space="preserve">PANoc030</t>
  </si>
  <si>
    <t xml:space="preserve">pan_v02_q01_c0031</t>
  </si>
  <si>
    <t xml:space="preserve">PANoc031</t>
  </si>
  <si>
    <t xml:space="preserve">pan_v02_q01_c0032</t>
  </si>
  <si>
    <t xml:space="preserve">PANoc032</t>
  </si>
  <si>
    <t xml:space="preserve">pan_v02_q01_c0033</t>
  </si>
  <si>
    <t xml:space="preserve">PANoc033</t>
  </si>
  <si>
    <t xml:space="preserve">pan_v02_q01_c0034</t>
  </si>
  <si>
    <t xml:space="preserve">PANoc034</t>
  </si>
  <si>
    <t xml:space="preserve">pan_v02_q01_c0035</t>
  </si>
  <si>
    <t xml:space="preserve">PANoc035</t>
  </si>
  <si>
    <t xml:space="preserve">pan_v02_q01_c0036</t>
  </si>
  <si>
    <t xml:space="preserve">PANoc036</t>
  </si>
  <si>
    <t xml:space="preserve">pan_v02_q01_c0037</t>
  </si>
  <si>
    <t xml:space="preserve">PANoc037</t>
  </si>
  <si>
    <t xml:space="preserve">pan_v02_q01_c0038</t>
  </si>
  <si>
    <t xml:space="preserve">PANoc038</t>
  </si>
  <si>
    <t xml:space="preserve">pan_v02_q01_c0039</t>
  </si>
  <si>
    <t xml:space="preserve">PANoc039</t>
  </si>
  <si>
    <t xml:space="preserve">pan_v02_q01_c0040</t>
  </si>
  <si>
    <t xml:space="preserve">PANoc040</t>
  </si>
  <si>
    <t xml:space="preserve">pan_v02_q01_c0041</t>
  </si>
  <si>
    <t xml:space="preserve">PANoc041</t>
  </si>
  <si>
    <t xml:space="preserve">pan_v02_q01_c0042</t>
  </si>
  <si>
    <t xml:space="preserve">PANoc042</t>
  </si>
  <si>
    <t xml:space="preserve">pan_v02_q01_c0043</t>
  </si>
  <si>
    <t xml:space="preserve">PANoc043</t>
  </si>
  <si>
    <t xml:space="preserve">pan_v02_q01_c0044</t>
  </si>
  <si>
    <t xml:space="preserve">PANoc044</t>
  </si>
  <si>
    <t xml:space="preserve">pan_v02_q01_c0045</t>
  </si>
  <si>
    <t xml:space="preserve">PANoc045</t>
  </si>
  <si>
    <t xml:space="preserve">pan_v02_q01_c0046</t>
  </si>
  <si>
    <t xml:space="preserve">PANoc046</t>
  </si>
  <si>
    <t xml:space="preserve">pan_v02_q01_c0047</t>
  </si>
  <si>
    <t xml:space="preserve">PANoc047</t>
  </si>
  <si>
    <t xml:space="preserve">pan_v02_q01_c0048</t>
  </si>
  <si>
    <t xml:space="preserve">PANoc048</t>
  </si>
  <si>
    <t xml:space="preserve">pan_v02_q01_c0049</t>
  </si>
  <si>
    <t xml:space="preserve">PANoc049</t>
  </si>
  <si>
    <t xml:space="preserve">pan_v02_q01_c0050</t>
  </si>
  <si>
    <t xml:space="preserve">PANoc050</t>
  </si>
  <si>
    <t xml:space="preserve">pan_v02_q01_c0051</t>
  </si>
  <si>
    <t xml:space="preserve">PANoc051</t>
  </si>
  <si>
    <t xml:space="preserve">pan_v02_q01_c0052</t>
  </si>
  <si>
    <t xml:space="preserve">PANoc052</t>
  </si>
  <si>
    <t xml:space="preserve">pan_v02_q01_c0053</t>
  </si>
  <si>
    <t xml:space="preserve">PANoc053</t>
  </si>
  <si>
    <t xml:space="preserve">pan_v02_q01_c0054</t>
  </si>
  <si>
    <t xml:space="preserve">PANoc054</t>
  </si>
  <si>
    <t xml:space="preserve">pan_v02_q01_c0055</t>
  </si>
  <si>
    <t xml:space="preserve">PANoc055</t>
  </si>
  <si>
    <t xml:space="preserve">pan_v02_q01_c0056</t>
  </si>
  <si>
    <t xml:space="preserve">PANoc056</t>
  </si>
  <si>
    <t xml:space="preserve">pan_v02_q01_c0057</t>
  </si>
  <si>
    <t xml:space="preserve">PANoc057</t>
  </si>
  <si>
    <t xml:space="preserve">pan_v02_q01_c0058</t>
  </si>
  <si>
    <t xml:space="preserve">PANoc058</t>
  </si>
  <si>
    <t xml:space="preserve">pan_v02_q01_c0059</t>
  </si>
  <si>
    <t xml:space="preserve">PANoc059</t>
  </si>
  <si>
    <t xml:space="preserve">pan_v02_q01_c0060</t>
  </si>
  <si>
    <t xml:space="preserve">PANoc060</t>
  </si>
  <si>
    <t xml:space="preserve">pan_v02_q01_c0061</t>
  </si>
  <si>
    <t xml:space="preserve">PANoc061</t>
  </si>
  <si>
    <t xml:space="preserve">pan_v02_q01_c0062</t>
  </si>
  <si>
    <t xml:space="preserve">PANoc062</t>
  </si>
  <si>
    <t xml:space="preserve">pan_v02_q01_c0063</t>
  </si>
  <si>
    <t xml:space="preserve">PANoc063</t>
  </si>
  <si>
    <t xml:space="preserve">pan_v02_q01_c0064</t>
  </si>
  <si>
    <t xml:space="preserve">PANoc064</t>
  </si>
  <si>
    <t xml:space="preserve">pan_v02_q01_c0065</t>
  </si>
  <si>
    <t xml:space="preserve">PANoc065</t>
  </si>
  <si>
    <t xml:space="preserve">pan_v02_q01_c0066</t>
  </si>
  <si>
    <t xml:space="preserve">PANoc066</t>
  </si>
  <si>
    <t xml:space="preserve">pan_v02_q01_c0067</t>
  </si>
  <si>
    <t xml:space="preserve">PANoc067</t>
  </si>
  <si>
    <t xml:space="preserve">pan_v02_q01_c0068</t>
  </si>
  <si>
    <t xml:space="preserve">PANoc068</t>
  </si>
  <si>
    <t xml:space="preserve">pan_v02_q01_c0069</t>
  </si>
  <si>
    <t xml:space="preserve">PANoc069</t>
  </si>
  <si>
    <t xml:space="preserve">pan_v02_q01_c0070</t>
  </si>
  <si>
    <t xml:space="preserve">PANoc070</t>
  </si>
  <si>
    <t xml:space="preserve">pan_v02_q01_c0071</t>
  </si>
  <si>
    <t xml:space="preserve">PANoc071</t>
  </si>
  <si>
    <t xml:space="preserve">pan_v02_q01_c0072</t>
  </si>
  <si>
    <t xml:space="preserve">PANoc072</t>
  </si>
  <si>
    <t xml:space="preserve">pan_v02_q01_c0073</t>
  </si>
  <si>
    <t xml:space="preserve">PANoc073</t>
  </si>
  <si>
    <t xml:space="preserve">pan_v02_q01_c0074</t>
  </si>
  <si>
    <t xml:space="preserve">PANoc074</t>
  </si>
  <si>
    <t xml:space="preserve">pan_v02_q01_c0075</t>
  </si>
  <si>
    <t xml:space="preserve">PANoc075</t>
  </si>
  <si>
    <t xml:space="preserve">pan_v02_q01_c0076</t>
  </si>
  <si>
    <t xml:space="preserve">PANoc076</t>
  </si>
  <si>
    <t xml:space="preserve">pan_v02_q01_c0077</t>
  </si>
  <si>
    <t xml:space="preserve">PANoc077</t>
  </si>
  <si>
    <t xml:space="preserve">pan_v02_q01_c0078</t>
  </si>
  <si>
    <t xml:space="preserve">PANoc078</t>
  </si>
  <si>
    <t xml:space="preserve">pan_v02_q01_c0079</t>
  </si>
  <si>
    <t xml:space="preserve">PANoc079</t>
  </si>
  <si>
    <t xml:space="preserve">pan_v02_q01_c0080</t>
  </si>
  <si>
    <t xml:space="preserve">PANoc080</t>
  </si>
  <si>
    <t xml:space="preserve">pan_v02_q01_c0081</t>
  </si>
  <si>
    <t xml:space="preserve">PANoc081</t>
  </si>
  <si>
    <t xml:space="preserve">pan_v02_q01_c0082</t>
  </si>
  <si>
    <t xml:space="preserve">PANoc082</t>
  </si>
  <si>
    <t xml:space="preserve">pan_v02_q01_c0083</t>
  </si>
  <si>
    <t xml:space="preserve">PANoc083</t>
  </si>
  <si>
    <t xml:space="preserve">pan_v02_q01_c0084</t>
  </si>
  <si>
    <t xml:space="preserve">PANoc084</t>
  </si>
  <si>
    <t xml:space="preserve">pan_v02_q01_c0085</t>
  </si>
  <si>
    <t xml:space="preserve">PANoc085</t>
  </si>
  <si>
    <t xml:space="preserve">pan_v02_q01_c0086</t>
  </si>
  <si>
    <t xml:space="preserve">PANoc086</t>
  </si>
  <si>
    <t xml:space="preserve">pan_v02_q01_c0087</t>
  </si>
  <si>
    <t xml:space="preserve">PANoc087</t>
  </si>
  <si>
    <t xml:space="preserve">pan_v02_q01_c0088</t>
  </si>
  <si>
    <t xml:space="preserve">PANoc088</t>
  </si>
  <si>
    <t xml:space="preserve">pan_v02_q01_c0089</t>
  </si>
  <si>
    <t xml:space="preserve">PANoc089</t>
  </si>
  <si>
    <t xml:space="preserve">pan_v02_q01_c0090</t>
  </si>
  <si>
    <t xml:space="preserve">PANoc090</t>
  </si>
  <si>
    <t xml:space="preserve">pan_v02_q01_c0091</t>
  </si>
  <si>
    <t xml:space="preserve">PANoc091</t>
  </si>
  <si>
    <t xml:space="preserve">pan_v02_q01_c0092</t>
  </si>
  <si>
    <t xml:space="preserve">pan_v02_q01_c0093</t>
  </si>
  <si>
    <t xml:space="preserve">pan_v02_q01_c0094</t>
  </si>
  <si>
    <t xml:space="preserve">PANoc092</t>
  </si>
  <si>
    <t xml:space="preserve">pan_v02_q01_c0095</t>
  </si>
  <si>
    <t xml:space="preserve">PANoc093</t>
  </si>
  <si>
    <t xml:space="preserve">pan_v02_q01_c0096</t>
  </si>
  <si>
    <t xml:space="preserve">PANoc094</t>
  </si>
  <si>
    <t xml:space="preserve">pan_v02_q01_c0097</t>
  </si>
  <si>
    <t xml:space="preserve">PANoc095</t>
  </si>
  <si>
    <t xml:space="preserve">pan_v02_q01_c0098</t>
  </si>
  <si>
    <t xml:space="preserve">PANoc096</t>
  </si>
  <si>
    <t xml:space="preserve">pan_v02_q01_c0099</t>
  </si>
  <si>
    <t xml:space="preserve">PANoc097</t>
  </si>
  <si>
    <t xml:space="preserve">pan_v02_q01_c0100</t>
  </si>
  <si>
    <t xml:space="preserve">PANoc098</t>
  </si>
  <si>
    <t xml:space="preserve">pan_v02_q01_c0101</t>
  </si>
  <si>
    <t xml:space="preserve">PANoc099</t>
  </si>
  <si>
    <t xml:space="preserve">pan_v02_q01_c0102</t>
  </si>
  <si>
    <t xml:space="preserve">PANoc100</t>
  </si>
  <si>
    <t xml:space="preserve">pan_v02_q01_c0103</t>
  </si>
  <si>
    <t xml:space="preserve">PANoc101</t>
  </si>
  <si>
    <t xml:space="preserve">pan_v02_q01_c0104</t>
  </si>
  <si>
    <t xml:space="preserve">PANoc102</t>
  </si>
  <si>
    <t xml:space="preserve">pan_v02_q01_c0105</t>
  </si>
  <si>
    <t xml:space="preserve">PANoc103</t>
  </si>
  <si>
    <t xml:space="preserve">pan_v02_q01_c0106</t>
  </si>
  <si>
    <t xml:space="preserve">PANoc104</t>
  </si>
  <si>
    <t xml:space="preserve">pan_v02_q01_c0107</t>
  </si>
  <si>
    <t xml:space="preserve">pan_v02_q01_c0108</t>
  </si>
  <si>
    <t xml:space="preserve">pan_v02_q02_c0001</t>
  </si>
  <si>
    <t xml:space="preserve">PANuc001</t>
  </si>
  <si>
    <t xml:space="preserve">pan_v02_q02_c0002</t>
  </si>
  <si>
    <t xml:space="preserve">PANuc002</t>
  </si>
  <si>
    <t xml:space="preserve">pan_v02_q02_c0003</t>
  </si>
  <si>
    <t xml:space="preserve">PANuc003</t>
  </si>
  <si>
    <t xml:space="preserve">pan_v02_q02_c0004</t>
  </si>
  <si>
    <t xml:space="preserve">PANuc004</t>
  </si>
  <si>
    <t xml:space="preserve">pan_v02_q02_c0005</t>
  </si>
  <si>
    <t xml:space="preserve">PANuc005</t>
  </si>
  <si>
    <t xml:space="preserve">pan_v02_q02_c0006</t>
  </si>
  <si>
    <t xml:space="preserve">PANuc006</t>
  </si>
  <si>
    <t xml:space="preserve">pan_v02_q02_c0007</t>
  </si>
  <si>
    <t xml:space="preserve">PANuc007</t>
  </si>
  <si>
    <t xml:space="preserve">pan_v02_q02_c0008</t>
  </si>
  <si>
    <t xml:space="preserve">PANuc008</t>
  </si>
  <si>
    <t xml:space="preserve">pan_v02_q02_c0009</t>
  </si>
  <si>
    <t xml:space="preserve">PANuc009</t>
  </si>
  <si>
    <t xml:space="preserve">pan_v02_q02_c0010</t>
  </si>
  <si>
    <t xml:space="preserve">PANuc010</t>
  </si>
  <si>
    <t xml:space="preserve">pan_v02_q02_c0011</t>
  </si>
  <si>
    <t xml:space="preserve">PANuc011</t>
  </si>
  <si>
    <t xml:space="preserve">pan_v02_q02_c0012</t>
  </si>
  <si>
    <t xml:space="preserve">PANuc012</t>
  </si>
  <si>
    <t xml:space="preserve">pan_v02_q02_c0013</t>
  </si>
  <si>
    <t xml:space="preserve">PANuc013</t>
  </si>
  <si>
    <t xml:space="preserve">pan_v02_q02_c0014</t>
  </si>
  <si>
    <t xml:space="preserve">PANuc014</t>
  </si>
  <si>
    <t xml:space="preserve">pan_v02_q02_c0015</t>
  </si>
  <si>
    <t xml:space="preserve">PANuc015</t>
  </si>
  <si>
    <t xml:space="preserve">pan_v02_q02_c0016</t>
  </si>
  <si>
    <t xml:space="preserve">PANuc016</t>
  </si>
  <si>
    <t xml:space="preserve">pan_v02_q02_c0017</t>
  </si>
  <si>
    <t xml:space="preserve">PANuc017</t>
  </si>
  <si>
    <t xml:space="preserve">pan_v02_q02_c0018</t>
  </si>
  <si>
    <t xml:space="preserve">PANuc018</t>
  </si>
  <si>
    <t xml:space="preserve">pan_v02_q02_c0019</t>
  </si>
  <si>
    <t xml:space="preserve">PANuc019</t>
  </si>
  <si>
    <t xml:space="preserve">pan_v02_q02_c0020</t>
  </si>
  <si>
    <t xml:space="preserve">PANuc020</t>
  </si>
  <si>
    <t xml:space="preserve">pan_v02_q02_c0021</t>
  </si>
  <si>
    <t xml:space="preserve">PANuc021</t>
  </si>
  <si>
    <t xml:space="preserve">pan_v02_q02_c0022</t>
  </si>
  <si>
    <t xml:space="preserve">PANuc022</t>
  </si>
  <si>
    <t xml:space="preserve">pan_v02_q02_c0023</t>
  </si>
  <si>
    <t xml:space="preserve">PANuc023</t>
  </si>
  <si>
    <t xml:space="preserve">pan_v02_q02_c0024</t>
  </si>
  <si>
    <t xml:space="preserve">PANuc024</t>
  </si>
  <si>
    <t xml:space="preserve">pan_v02_q02_c0025</t>
  </si>
  <si>
    <t xml:space="preserve">PANuc025</t>
  </si>
  <si>
    <t xml:space="preserve">pan_v02_q02_c0026</t>
  </si>
  <si>
    <t xml:space="preserve">PANuc026</t>
  </si>
  <si>
    <t xml:space="preserve">pan_v02_q02_c0027</t>
  </si>
  <si>
    <t xml:space="preserve">PANuc027</t>
  </si>
  <si>
    <t xml:space="preserve">pan_v02_q02_c0028</t>
  </si>
  <si>
    <t xml:space="preserve">PANuc028</t>
  </si>
  <si>
    <t xml:space="preserve">pan_v02_q02_c0029</t>
  </si>
  <si>
    <t xml:space="preserve">PANuc029</t>
  </si>
  <si>
    <t xml:space="preserve">pan_v02_q02_c0030</t>
  </si>
  <si>
    <t xml:space="preserve">PANuc030</t>
  </si>
  <si>
    <t xml:space="preserve">pan_v02_q02_c0031</t>
  </si>
  <si>
    <t xml:space="preserve">PANuc031</t>
  </si>
  <si>
    <t xml:space="preserve">pan_v02_q02_c0032</t>
  </si>
  <si>
    <t xml:space="preserve">PANuc032</t>
  </si>
  <si>
    <t xml:space="preserve">pan_v02_q02_c0033</t>
  </si>
  <si>
    <t xml:space="preserve">PANuc033</t>
  </si>
  <si>
    <t xml:space="preserve">pan_v02_q02_c0034</t>
  </si>
  <si>
    <t xml:space="preserve">PANuc034</t>
  </si>
  <si>
    <t xml:space="preserve">pan_v02_q02_c0035</t>
  </si>
  <si>
    <t xml:space="preserve">PANuc035</t>
  </si>
  <si>
    <t xml:space="preserve">pan_v02_q02_c0036</t>
  </si>
  <si>
    <t xml:space="preserve">PANuc036</t>
  </si>
  <si>
    <t xml:space="preserve">pan_v02_q02_c0037</t>
  </si>
  <si>
    <t xml:space="preserve">PANuc037</t>
  </si>
  <si>
    <t xml:space="preserve">pan_v02_q02_c0038</t>
  </si>
  <si>
    <t xml:space="preserve">PANuc038</t>
  </si>
  <si>
    <t xml:space="preserve">pan_v02_q02_c0039</t>
  </si>
  <si>
    <t xml:space="preserve">PANuc039</t>
  </si>
  <si>
    <t xml:space="preserve">pan_v02_q02_c0040</t>
  </si>
  <si>
    <t xml:space="preserve">PANuc040</t>
  </si>
  <si>
    <t xml:space="preserve">pan_v02_q02_c0041</t>
  </si>
  <si>
    <t xml:space="preserve">PANuc041</t>
  </si>
  <si>
    <t xml:space="preserve">pan_v02_q02_c0042</t>
  </si>
  <si>
    <t xml:space="preserve">PANuc042</t>
  </si>
  <si>
    <t xml:space="preserve">pan_v02_q02_c0043</t>
  </si>
  <si>
    <t xml:space="preserve">PANuc043</t>
  </si>
  <si>
    <t xml:space="preserve">pan_v02_q02_c0044</t>
  </si>
  <si>
    <t xml:space="preserve">PANuc044</t>
  </si>
  <si>
    <t xml:space="preserve">pan_v02_q02_c0045</t>
  </si>
  <si>
    <t xml:space="preserve">PANuc045</t>
  </si>
  <si>
    <t xml:space="preserve">pan_v02_q02_c0046</t>
  </si>
  <si>
    <t xml:space="preserve">PANuc046</t>
  </si>
  <si>
    <t xml:space="preserve">pan_v02_q02_c0047</t>
  </si>
  <si>
    <t xml:space="preserve">PANuc047</t>
  </si>
  <si>
    <t xml:space="preserve">pan_v02_q02_c0048</t>
  </si>
  <si>
    <t xml:space="preserve">PANuc048</t>
  </si>
  <si>
    <t xml:space="preserve">pan_v02_q02_c0049</t>
  </si>
  <si>
    <t xml:space="preserve">PANuc049</t>
  </si>
  <si>
    <t xml:space="preserve">pan_v02_q02_c0050</t>
  </si>
  <si>
    <t xml:space="preserve">PANuc050</t>
  </si>
  <si>
    <t xml:space="preserve">pan_v02_q02_c0051</t>
  </si>
  <si>
    <t xml:space="preserve">PANuc051</t>
  </si>
  <si>
    <t xml:space="preserve">pan_v02_q02_c0052</t>
  </si>
  <si>
    <t xml:space="preserve">PANuc052</t>
  </si>
  <si>
    <t xml:space="preserve">pan_v02_q02_c0053</t>
  </si>
  <si>
    <t xml:space="preserve">PANuc053</t>
  </si>
  <si>
    <t xml:space="preserve">pan_v02_q02_c0054</t>
  </si>
  <si>
    <t xml:space="preserve">PANuc054</t>
  </si>
  <si>
    <t xml:space="preserve">pan_v02_q02_c0055</t>
  </si>
  <si>
    <t xml:space="preserve">PANuc055</t>
  </si>
  <si>
    <t xml:space="preserve">pan_v02_q02_c0056</t>
  </si>
  <si>
    <t xml:space="preserve">PANuc056</t>
  </si>
  <si>
    <t xml:space="preserve">pan_v02_q02_c0057</t>
  </si>
  <si>
    <t xml:space="preserve">PANuc057</t>
  </si>
  <si>
    <t xml:space="preserve">pan_v02_q02_c0058</t>
  </si>
  <si>
    <t xml:space="preserve">PANuc058</t>
  </si>
  <si>
    <t xml:space="preserve">pan_v02_q02_c0059</t>
  </si>
  <si>
    <t xml:space="preserve">PANuc059</t>
  </si>
  <si>
    <t xml:space="preserve">pan_v02_q02_c0060</t>
  </si>
  <si>
    <t xml:space="preserve">PANuc060</t>
  </si>
  <si>
    <t xml:space="preserve">pan_v02_q02_c0061</t>
  </si>
  <si>
    <t xml:space="preserve">PANuc061</t>
  </si>
  <si>
    <t xml:space="preserve">pan_v02_q02_c0062</t>
  </si>
  <si>
    <t xml:space="preserve">PANuc062</t>
  </si>
  <si>
    <t xml:space="preserve">pan_v02_q02_c0063</t>
  </si>
  <si>
    <t xml:space="preserve">PANuc063</t>
  </si>
  <si>
    <t xml:space="preserve">pan_v02_q02_c0064</t>
  </si>
  <si>
    <t xml:space="preserve">PANuc064</t>
  </si>
  <si>
    <t xml:space="preserve">pan_v02_q02_c0065</t>
  </si>
  <si>
    <t xml:space="preserve">PANuc065</t>
  </si>
  <si>
    <t xml:space="preserve">pan_v02_q02_c0066</t>
  </si>
  <si>
    <t xml:space="preserve">PANuc066</t>
  </si>
  <si>
    <t xml:space="preserve">pan_v02_q02_c0067</t>
  </si>
  <si>
    <t xml:space="preserve">PANuc067</t>
  </si>
  <si>
    <t xml:space="preserve">pan_v02_q02_c0068</t>
  </si>
  <si>
    <t xml:space="preserve">PANuc068</t>
  </si>
  <si>
    <t xml:space="preserve">pan_v02_q02_c0069</t>
  </si>
  <si>
    <t xml:space="preserve">PANuc069</t>
  </si>
  <si>
    <t xml:space="preserve">pan_v02_q02_c0070</t>
  </si>
  <si>
    <t xml:space="preserve">PANuc070</t>
  </si>
  <si>
    <t xml:space="preserve">pan_v02_q02_c0071</t>
  </si>
  <si>
    <t xml:space="preserve">PANuc071</t>
  </si>
  <si>
    <t xml:space="preserve">pan_v02_q02_c0072</t>
  </si>
  <si>
    <t xml:space="preserve">PANuc072</t>
  </si>
  <si>
    <t xml:space="preserve">pan_v02_q02_c0073</t>
  </si>
  <si>
    <t xml:space="preserve">PANuc073</t>
  </si>
  <si>
    <t xml:space="preserve">pan_v02_q02_c0074</t>
  </si>
  <si>
    <t xml:space="preserve">PANuc074</t>
  </si>
  <si>
    <t xml:space="preserve">pan_v02_q02_c0075</t>
  </si>
  <si>
    <t xml:space="preserve">PANuc075</t>
  </si>
  <si>
    <t xml:space="preserve">pan_v02_q02_c0076</t>
  </si>
  <si>
    <t xml:space="preserve">PANuc076</t>
  </si>
  <si>
    <t xml:space="preserve">pan_v02_q02_c0077</t>
  </si>
  <si>
    <t xml:space="preserve">PANuc077</t>
  </si>
  <si>
    <t xml:space="preserve">pan_v02_q02_c0078</t>
  </si>
  <si>
    <t xml:space="preserve">PANuc078</t>
  </si>
  <si>
    <t xml:space="preserve">pan_v02_q02_c0079</t>
  </si>
  <si>
    <t xml:space="preserve">PANuc079</t>
  </si>
  <si>
    <t xml:space="preserve">pan_v02_q02_c0080</t>
  </si>
  <si>
    <t xml:space="preserve">PANuc080</t>
  </si>
  <si>
    <t xml:space="preserve">pan_v02_q02_c0081</t>
  </si>
  <si>
    <t xml:space="preserve">PANuc081</t>
  </si>
  <si>
    <t xml:space="preserve">pan_v02_q02_c0082</t>
  </si>
  <si>
    <t xml:space="preserve">PANuc082</t>
  </si>
  <si>
    <t xml:space="preserve">pan_v02_q02_c0083</t>
  </si>
  <si>
    <t xml:space="preserve">PANuc083</t>
  </si>
  <si>
    <t xml:space="preserve">pan_v02_q02_c0084</t>
  </si>
  <si>
    <t xml:space="preserve">PANuc084</t>
  </si>
  <si>
    <t xml:space="preserve">pan_v02_q02_c0085</t>
  </si>
  <si>
    <t xml:space="preserve">PANuc085</t>
  </si>
  <si>
    <t xml:space="preserve">pan_v02_q02_c0086</t>
  </si>
  <si>
    <t xml:space="preserve">PANuc086</t>
  </si>
  <si>
    <t xml:space="preserve">pan_v02_q02_c0087</t>
  </si>
  <si>
    <t xml:space="preserve">PANuc087</t>
  </si>
  <si>
    <t xml:space="preserve">pan_v02_q02_c0088</t>
  </si>
  <si>
    <t xml:space="preserve">PANuc088</t>
  </si>
  <si>
    <t xml:space="preserve">pan_v02_q02_c0089</t>
  </si>
  <si>
    <t xml:space="preserve">PANuc089</t>
  </si>
  <si>
    <t xml:space="preserve">pan_v02_q02_c0090</t>
  </si>
  <si>
    <t xml:space="preserve">PANuc090</t>
  </si>
  <si>
    <t xml:space="preserve">pan_v02_q02_c0091</t>
  </si>
  <si>
    <t xml:space="preserve">PANuc091</t>
  </si>
  <si>
    <t xml:space="preserve">pan_v02_q02_c0092</t>
  </si>
  <si>
    <t xml:space="preserve">pan_v02_q02_c0093</t>
  </si>
  <si>
    <t xml:space="preserve">PANuc092</t>
  </si>
  <si>
    <t xml:space="preserve">pan_v02_q02_c0094</t>
  </si>
  <si>
    <t xml:space="preserve">PANuc093</t>
  </si>
  <si>
    <t xml:space="preserve">pan_v02_q02_c0095</t>
  </si>
  <si>
    <t xml:space="preserve">PANuc094</t>
  </si>
  <si>
    <t xml:space="preserve">pan_v02_q02_c0096</t>
  </si>
  <si>
    <t xml:space="preserve">PANuc095</t>
  </si>
  <si>
    <t xml:space="preserve">pan_v02_q02_c0097</t>
  </si>
  <si>
    <t xml:space="preserve">PANuc096</t>
  </si>
  <si>
    <t xml:space="preserve">pan_v02_q02_c0098</t>
  </si>
  <si>
    <t xml:space="preserve">PANuc097</t>
  </si>
  <si>
    <t xml:space="preserve">pan_v02_q02_c0099</t>
  </si>
  <si>
    <t xml:space="preserve">PANuc098</t>
  </si>
  <si>
    <t xml:space="preserve">pan_v02_q02_c0100</t>
  </si>
  <si>
    <t xml:space="preserve">PANuc099</t>
  </si>
  <si>
    <t xml:space="preserve">pan_v02_q02_c0101</t>
  </si>
  <si>
    <t xml:space="preserve">PANuc100</t>
  </si>
  <si>
    <t xml:space="preserve">pan_v02_q02_c0102</t>
  </si>
  <si>
    <t xml:space="preserve">PANuc101</t>
  </si>
  <si>
    <t xml:space="preserve">pan_v02_q02_c0103</t>
  </si>
  <si>
    <t xml:space="preserve">PANuc102</t>
  </si>
  <si>
    <t xml:space="preserve">pan_v02_q02_c0104</t>
  </si>
  <si>
    <t xml:space="preserve">PANuc103</t>
  </si>
  <si>
    <t xml:space="preserve">pan_v02_q02_c0105</t>
  </si>
  <si>
    <t xml:space="preserve">PANuc104</t>
  </si>
  <si>
    <t xml:space="preserve">pan_v02_q02_c0106</t>
  </si>
  <si>
    <t xml:space="preserve">PANuc105</t>
  </si>
  <si>
    <t xml:space="preserve">pan_v02_q02_c0107</t>
  </si>
  <si>
    <t xml:space="preserve">PANuc106</t>
  </si>
  <si>
    <t xml:space="preserve">pan_v02_q02_c0108</t>
  </si>
  <si>
    <t xml:space="preserve">pan_v02_q02_c0109</t>
  </si>
  <si>
    <t xml:space="preserve">pan_v02_q03_c0001</t>
  </si>
  <si>
    <t xml:space="preserve">PANvc001</t>
  </si>
  <si>
    <t xml:space="preserve">pan_v02_q03_c0002</t>
  </si>
  <si>
    <t xml:space="preserve">PANvc002</t>
  </si>
  <si>
    <t xml:space="preserve">pan_v02_q03_c0003</t>
  </si>
  <si>
    <t xml:space="preserve">PANvc003</t>
  </si>
  <si>
    <t xml:space="preserve">pan_v02_q03_c0004</t>
  </si>
  <si>
    <t xml:space="preserve">PANvc004</t>
  </si>
  <si>
    <t xml:space="preserve">pan_v02_q03_c0005</t>
  </si>
  <si>
    <t xml:space="preserve">PANvc005</t>
  </si>
  <si>
    <t xml:space="preserve">pan_v02_q03_c0006</t>
  </si>
  <si>
    <t xml:space="preserve">PANvc006</t>
  </si>
  <si>
    <t xml:space="preserve">pan_v02_q03_c0007</t>
  </si>
  <si>
    <t xml:space="preserve">PANvc007</t>
  </si>
  <si>
    <t xml:space="preserve">pan_v02_q03_c0008</t>
  </si>
  <si>
    <t xml:space="preserve">PANvc008</t>
  </si>
  <si>
    <t xml:space="preserve">pan_v02_q03_c0009</t>
  </si>
  <si>
    <t xml:space="preserve">PANvc009</t>
  </si>
  <si>
    <t xml:space="preserve">pan_v02_q03_c0010</t>
  </si>
  <si>
    <t xml:space="preserve">PANvc010</t>
  </si>
  <si>
    <t xml:space="preserve">pan_v02_q03_c0011</t>
  </si>
  <si>
    <t xml:space="preserve">PANvc011</t>
  </si>
  <si>
    <t xml:space="preserve">pan_v02_q03_c0012</t>
  </si>
  <si>
    <t xml:space="preserve">PANvc012</t>
  </si>
  <si>
    <t xml:space="preserve">pan_v02_q03_c0013</t>
  </si>
  <si>
    <t xml:space="preserve">PANvc013</t>
  </si>
  <si>
    <t xml:space="preserve">pan_v02_q03_c0014</t>
  </si>
  <si>
    <t xml:space="preserve">PANvc014</t>
  </si>
  <si>
    <t xml:space="preserve">pan_v02_q03_c0015</t>
  </si>
  <si>
    <t xml:space="preserve">PANvc015</t>
  </si>
  <si>
    <t xml:space="preserve">pan_v02_q03_c0016</t>
  </si>
  <si>
    <t xml:space="preserve">PANvc016</t>
  </si>
  <si>
    <t xml:space="preserve">pan_v02_q03_c0017</t>
  </si>
  <si>
    <t xml:space="preserve">PANvc017</t>
  </si>
  <si>
    <t xml:space="preserve">pan_v02_q03_c0018</t>
  </si>
  <si>
    <t xml:space="preserve">PANvc018</t>
  </si>
  <si>
    <t xml:space="preserve">pan_v02_q03_c0019</t>
  </si>
  <si>
    <t xml:space="preserve">PANvc019</t>
  </si>
  <si>
    <t xml:space="preserve">pan_v02_q03_c0020</t>
  </si>
  <si>
    <t xml:space="preserve">PANvc020</t>
  </si>
  <si>
    <t xml:space="preserve">pan_v02_q03_c0021</t>
  </si>
  <si>
    <t xml:space="preserve">PANvc021</t>
  </si>
  <si>
    <t xml:space="preserve">pan_v02_q03_c0022</t>
  </si>
  <si>
    <t xml:space="preserve">PANvc022</t>
  </si>
  <si>
    <t xml:space="preserve">pan_v02_q03_c0023</t>
  </si>
  <si>
    <t xml:space="preserve">PANvc023</t>
  </si>
  <si>
    <t xml:space="preserve">pan_v02_q03_c0024</t>
  </si>
  <si>
    <t xml:space="preserve">PANvc024</t>
  </si>
  <si>
    <t xml:space="preserve">pan_v02_q03_c0025</t>
  </si>
  <si>
    <t xml:space="preserve">PANvc025</t>
  </si>
  <si>
    <t xml:space="preserve">pan_v02_q03_c0026</t>
  </si>
  <si>
    <t xml:space="preserve">PANvc026</t>
  </si>
  <si>
    <t xml:space="preserve">pan_v02_q03_c0027</t>
  </si>
  <si>
    <t xml:space="preserve">PANvc027</t>
  </si>
  <si>
    <t xml:space="preserve">pan_v02_q03_c0028</t>
  </si>
  <si>
    <t xml:space="preserve">PANvc028</t>
  </si>
  <si>
    <t xml:space="preserve">pan_v02_q03_c0029</t>
  </si>
  <si>
    <t xml:space="preserve">PANvc029</t>
  </si>
  <si>
    <t xml:space="preserve">pan_v02_q03_c0030</t>
  </si>
  <si>
    <t xml:space="preserve">PANvc030</t>
  </si>
  <si>
    <t xml:space="preserve">pan_v02_q03_c0031</t>
  </si>
  <si>
    <t xml:space="preserve">PANvc031</t>
  </si>
  <si>
    <t xml:space="preserve">pan_v02_q03_c0032</t>
  </si>
  <si>
    <t xml:space="preserve">PANvc032</t>
  </si>
  <si>
    <t xml:space="preserve">pan_v02_q03_c0033</t>
  </si>
  <si>
    <t xml:space="preserve">PANvc033</t>
  </si>
  <si>
    <t xml:space="preserve">pan_v02_q03_c0034</t>
  </si>
  <si>
    <t xml:space="preserve">PANvc034</t>
  </si>
  <si>
    <t xml:space="preserve">pan_v02_q03_c0035</t>
  </si>
  <si>
    <t xml:space="preserve">PANvc035</t>
  </si>
  <si>
    <t xml:space="preserve">pan_v02_q03_c0036</t>
  </si>
  <si>
    <t xml:space="preserve">PANvc036</t>
  </si>
  <si>
    <t xml:space="preserve">pan_v02_q03_c0037</t>
  </si>
  <si>
    <t xml:space="preserve">PANvc037</t>
  </si>
  <si>
    <t xml:space="preserve">pan_v02_q03_c0038</t>
  </si>
  <si>
    <t xml:space="preserve">PANvc038</t>
  </si>
  <si>
    <t xml:space="preserve">pan_v02_q03_c0039</t>
  </si>
  <si>
    <t xml:space="preserve">PANvc039</t>
  </si>
  <si>
    <t xml:space="preserve">pan_v02_q03_c0040</t>
  </si>
  <si>
    <t xml:space="preserve">PANvc040</t>
  </si>
  <si>
    <t xml:space="preserve">pan_v02_q03_c0041</t>
  </si>
  <si>
    <t xml:space="preserve">PANvc041</t>
  </si>
  <si>
    <t xml:space="preserve">pan_v02_q03_c0042</t>
  </si>
  <si>
    <t xml:space="preserve">PANvc042</t>
  </si>
  <si>
    <t xml:space="preserve">pan_v02_q03_c0043</t>
  </si>
  <si>
    <t xml:space="preserve">PANvc043</t>
  </si>
  <si>
    <t xml:space="preserve">pan_v02_q03_c0044</t>
  </si>
  <si>
    <t xml:space="preserve">PANvc044</t>
  </si>
  <si>
    <t xml:space="preserve">pan_v02_q03_c0045</t>
  </si>
  <si>
    <t xml:space="preserve">PANvc045</t>
  </si>
  <si>
    <t xml:space="preserve">pan_v02_q03_c0046</t>
  </si>
  <si>
    <t xml:space="preserve">PANvc046</t>
  </si>
  <si>
    <t xml:space="preserve">pan_v02_q03_c0047</t>
  </si>
  <si>
    <t xml:space="preserve">PANvc047</t>
  </si>
  <si>
    <t xml:space="preserve">pan_v02_q03_c0048</t>
  </si>
  <si>
    <t xml:space="preserve">PANvc048</t>
  </si>
  <si>
    <t xml:space="preserve">pan_v02_q03_c0049</t>
  </si>
  <si>
    <t xml:space="preserve">PANvc049</t>
  </si>
  <si>
    <t xml:space="preserve">pan_v02_q03_c0050</t>
  </si>
  <si>
    <t xml:space="preserve">PANvc050</t>
  </si>
  <si>
    <t xml:space="preserve">pan_v02_q03_c0051</t>
  </si>
  <si>
    <t xml:space="preserve">PANvc051</t>
  </si>
  <si>
    <t xml:space="preserve">pan_v02_q03_c0052</t>
  </si>
  <si>
    <t xml:space="preserve">PANvc052</t>
  </si>
  <si>
    <t xml:space="preserve">pan_v02_q03_c0053</t>
  </si>
  <si>
    <t xml:space="preserve">PANvc053</t>
  </si>
  <si>
    <t xml:space="preserve">pan_v02_q03_c0054</t>
  </si>
  <si>
    <t xml:space="preserve">PANvc054</t>
  </si>
  <si>
    <t xml:space="preserve">pan_v02_q03_c0055</t>
  </si>
  <si>
    <t xml:space="preserve">PANvc055</t>
  </si>
  <si>
    <t xml:space="preserve">pan_v02_q03_c0056</t>
  </si>
  <si>
    <t xml:space="preserve">PANvc056</t>
  </si>
  <si>
    <t xml:space="preserve">pan_v02_q03_c0057</t>
  </si>
  <si>
    <t xml:space="preserve">PANvc057</t>
  </si>
  <si>
    <t xml:space="preserve">pan_v02_q03_c0058</t>
  </si>
  <si>
    <t xml:space="preserve">PANvc058</t>
  </si>
  <si>
    <t xml:space="preserve">pan_v02_q03_c0059</t>
  </si>
  <si>
    <t xml:space="preserve">PANvc059</t>
  </si>
  <si>
    <t xml:space="preserve">pan_v02_q03_c0060</t>
  </si>
  <si>
    <t xml:space="preserve">PANvc060</t>
  </si>
  <si>
    <t xml:space="preserve">pan_v02_q03_c0061</t>
  </si>
  <si>
    <t xml:space="preserve">PANvc061</t>
  </si>
  <si>
    <t xml:space="preserve">pan_v02_q03_c0062</t>
  </si>
  <si>
    <t xml:space="preserve">PANvc062</t>
  </si>
  <si>
    <t xml:space="preserve">pan_v02_q03_c0063</t>
  </si>
  <si>
    <t xml:space="preserve">PANvc063</t>
  </si>
  <si>
    <t xml:space="preserve">pan_v02_q03_c0064</t>
  </si>
  <si>
    <t xml:space="preserve">PANvc064</t>
  </si>
  <si>
    <t xml:space="preserve">pan_v02_q03_c0065</t>
  </si>
  <si>
    <t xml:space="preserve">PANvc065</t>
  </si>
  <si>
    <t xml:space="preserve">pan_v02_q03_c0066</t>
  </si>
  <si>
    <t xml:space="preserve">PANvc066</t>
  </si>
  <si>
    <t xml:space="preserve">pan_v02_q03_c0067</t>
  </si>
  <si>
    <t xml:space="preserve">PANvc067</t>
  </si>
  <si>
    <t xml:space="preserve">pan_v02_q03_c0068</t>
  </si>
  <si>
    <t xml:space="preserve">PANvc068</t>
  </si>
  <si>
    <t xml:space="preserve">pan_v02_q03_c0069</t>
  </si>
  <si>
    <t xml:space="preserve">PANvc069</t>
  </si>
  <si>
    <t xml:space="preserve">pan_v02_q03_c0070</t>
  </si>
  <si>
    <t xml:space="preserve">PANvc070</t>
  </si>
  <si>
    <t xml:space="preserve">pan_v02_q03_c0071</t>
  </si>
  <si>
    <t xml:space="preserve">PANvc071</t>
  </si>
  <si>
    <t xml:space="preserve">pan_v02_q03_c0072</t>
  </si>
  <si>
    <t xml:space="preserve">PANvc072</t>
  </si>
  <si>
    <t xml:space="preserve">pan_v02_q03_c0073</t>
  </si>
  <si>
    <t xml:space="preserve">PANvc073</t>
  </si>
  <si>
    <t xml:space="preserve">pan_v02_q03_c0074</t>
  </si>
  <si>
    <t xml:space="preserve">PANvc074</t>
  </si>
  <si>
    <t xml:space="preserve">pan_v02_q03_c0075</t>
  </si>
  <si>
    <t xml:space="preserve">PANvc075</t>
  </si>
  <si>
    <t xml:space="preserve">pan_v02_q03_c0076</t>
  </si>
  <si>
    <t xml:space="preserve">PANvc076</t>
  </si>
  <si>
    <t xml:space="preserve">pan_v02_q03_c0077</t>
  </si>
  <si>
    <t xml:space="preserve">PANvc077</t>
  </si>
  <si>
    <t xml:space="preserve">pan_v02_q03_c0078</t>
  </si>
  <si>
    <t xml:space="preserve">PANvc078</t>
  </si>
  <si>
    <t xml:space="preserve">pan_v02_q03_c0079</t>
  </si>
  <si>
    <t xml:space="preserve">PANvc079</t>
  </si>
  <si>
    <t xml:space="preserve">pan_v02_q03_c0080</t>
  </si>
  <si>
    <t xml:space="preserve">PANvc080</t>
  </si>
  <si>
    <t xml:space="preserve">pan_v02_q03_c0081</t>
  </si>
  <si>
    <t xml:space="preserve">PANvc081</t>
  </si>
  <si>
    <t xml:space="preserve">pan_v02_q03_c0082</t>
  </si>
  <si>
    <t xml:space="preserve">PANvc082</t>
  </si>
  <si>
    <t xml:space="preserve">pan_v02_q03_c0083</t>
  </si>
  <si>
    <t xml:space="preserve">PANvc083</t>
  </si>
  <si>
    <t xml:space="preserve">pan_v02_q03_c0084</t>
  </si>
  <si>
    <t xml:space="preserve">PANvc084</t>
  </si>
  <si>
    <t xml:space="preserve">pan_v02_q03_c0085</t>
  </si>
  <si>
    <t xml:space="preserve">PANvc085</t>
  </si>
  <si>
    <t xml:space="preserve">pan_v02_q03_c0086</t>
  </si>
  <si>
    <t xml:space="preserve">PANvc086</t>
  </si>
  <si>
    <t xml:space="preserve">pan_v02_q03_c0087</t>
  </si>
  <si>
    <t xml:space="preserve">PANvc087</t>
  </si>
  <si>
    <t xml:space="preserve">pan_v02_q03_c0088</t>
  </si>
  <si>
    <t xml:space="preserve">PANvc088</t>
  </si>
  <si>
    <t xml:space="preserve">pan_v02_q03_c0089</t>
  </si>
  <si>
    <t xml:space="preserve">PANvc089</t>
  </si>
  <si>
    <t xml:space="preserve">pan_v02_q03_c0090</t>
  </si>
  <si>
    <t xml:space="preserve">pan_v02_q03_c0091</t>
  </si>
  <si>
    <t xml:space="preserve">quadrant_code</t>
  </si>
  <si>
    <t xml:space="preserve">quadrant</t>
  </si>
  <si>
    <t xml:space="preserve">target_table</t>
  </si>
  <si>
    <t xml:space="preserve">cell_range</t>
  </si>
  <si>
    <t xml:space="preserve">excl_rows</t>
  </si>
  <si>
    <t xml:space="preserve">excl_cols</t>
  </si>
  <si>
    <t xml:space="preserve">q01</t>
  </si>
  <si>
    <t xml:space="preserve">OFERTA DE PRODUCTOS A PRECIOS DE COMPRADOR</t>
  </si>
  <si>
    <t xml:space="preserve">Supply</t>
  </si>
  <si>
    <t xml:space="preserve">C12:DF208</t>
  </si>
  <si>
    <t xml:space="preserve">189, 191, 196, 197</t>
  </si>
  <si>
    <t xml:space="preserve">75,79,90,91,92,93,96,98,103,107,108</t>
  </si>
  <si>
    <t xml:space="preserve">q02</t>
  </si>
  <si>
    <t xml:space="preserve">UTILIZACIÓN DE PRODUCTOS A PRECIOS DE COMPRADOR</t>
  </si>
  <si>
    <t xml:space="preserve">Use</t>
  </si>
  <si>
    <t xml:space="preserve">C12:DG208</t>
  </si>
  <si>
    <t xml:space="preserve">75,79,90,91,92,95,99,102,103,108,109</t>
  </si>
  <si>
    <t xml:space="preserve">q03</t>
  </si>
  <si>
    <t xml:space="preserve">VALOR AGREGADO BRUTO TOTAL/PIB</t>
  </si>
  <si>
    <t xml:space="preserve">Value Added</t>
  </si>
  <si>
    <t xml:space="preserve">D210:CQ210</t>
  </si>
  <si>
    <t xml:space="preserve">75,79,90,91,92</t>
  </si>
  <si>
    <t xml:space="preserve">Código Transacciones</t>
  </si>
  <si>
    <t xml:space="preserve">Área transaccional columnas No.</t>
  </si>
  <si>
    <t xml:space="preserve">Área transaccional</t>
  </si>
  <si>
    <t xml:space="preserve">Transacciones</t>
  </si>
  <si>
    <t xml:space="preserve">Correlativo Transacciones Agregadas</t>
  </si>
  <si>
    <t xml:space="preserve">Código Transacciones Agregadas</t>
  </si>
  <si>
    <t xml:space="preserve">Transacciones Agregadas</t>
  </si>
  <si>
    <t xml:space="preserve">Código Clasificación Actividades</t>
  </si>
  <si>
    <t xml:space="preserve">Descripción Actividades</t>
  </si>
  <si>
    <t xml:space="preserve">CIIU Secciones</t>
  </si>
  <si>
    <t xml:space="preserve">CIIU Secciones descripción</t>
  </si>
  <si>
    <t xml:space="preserve">CIIU Corto</t>
  </si>
  <si>
    <t xml:space="preserve">CIIU English</t>
  </si>
  <si>
    <t xml:space="preserve">Correlativo Bioeconomía Actividades</t>
  </si>
  <si>
    <t xml:space="preserve">Bioeconomía Actividades</t>
  </si>
  <si>
    <t xml:space="preserve">P11</t>
  </si>
  <si>
    <t xml:space="preserve">01.1</t>
  </si>
  <si>
    <t xml:space="preserve">Cultivo  de  cereales, legumbres y semillas oleaginosas</t>
  </si>
  <si>
    <t xml:space="preserve">A</t>
  </si>
  <si>
    <t xml:space="preserve">02.1</t>
  </si>
  <si>
    <t xml:space="preserve">Cultivo de maiz</t>
  </si>
  <si>
    <t xml:space="preserve">03.1</t>
  </si>
  <si>
    <t xml:space="preserve">Cultivo de arroz</t>
  </si>
  <si>
    <t xml:space="preserve">04.1</t>
  </si>
  <si>
    <t xml:space="preserve">Cultivo de vegetales, raíces y tubérculos</t>
  </si>
  <si>
    <t xml:space="preserve">05.1</t>
  </si>
  <si>
    <t xml:space="preserve">Cultivo de Banano</t>
  </si>
  <si>
    <t xml:space="preserve">06.1</t>
  </si>
  <si>
    <t xml:space="preserve">Cultivo de otras frutas y nueces</t>
  </si>
  <si>
    <t xml:space="preserve">07.1</t>
  </si>
  <si>
    <t xml:space="preserve">Otras actividades agrícolas</t>
  </si>
  <si>
    <t xml:space="preserve">08.1</t>
  </si>
  <si>
    <t xml:space="preserve">Cría de ganado bovino (excluye búfalo)</t>
  </si>
  <si>
    <t xml:space="preserve">08.2</t>
  </si>
  <si>
    <t xml:space="preserve">Cría de ganado porcino</t>
  </si>
  <si>
    <t xml:space="preserve">08.3</t>
  </si>
  <si>
    <t xml:space="preserve">Cría de aves de corral</t>
  </si>
  <si>
    <t xml:space="preserve">08.4</t>
  </si>
  <si>
    <t xml:space="preserve">Cría de otros animales y obtención de subproductos</t>
  </si>
  <si>
    <t xml:space="preserve">09.1</t>
  </si>
  <si>
    <t xml:space="preserve">Actividades de apoyo agropecuario</t>
  </si>
  <si>
    <t xml:space="preserve">10.1</t>
  </si>
  <si>
    <t xml:space="preserve">Silvicultura, extracción de madera y actividades conexas</t>
  </si>
  <si>
    <t xml:space="preserve">11.1</t>
  </si>
  <si>
    <t xml:space="preserve">Pesca</t>
  </si>
  <si>
    <t xml:space="preserve">12.1</t>
  </si>
  <si>
    <t xml:space="preserve">Acuicultura</t>
  </si>
  <si>
    <t xml:space="preserve">13.1</t>
  </si>
  <si>
    <t xml:space="preserve">Explotación minas y canteras</t>
  </si>
  <si>
    <t xml:space="preserve">B</t>
  </si>
  <si>
    <t xml:space="preserve">14.1</t>
  </si>
  <si>
    <t xml:space="preserve">Procesamiento y conservación de carne</t>
  </si>
  <si>
    <t xml:space="preserve">C</t>
  </si>
  <si>
    <t xml:space="preserve">15.1</t>
  </si>
  <si>
    <t xml:space="preserve">Procesamiento y conservación de pescado, crustáceos y moluscos</t>
  </si>
  <si>
    <t xml:space="preserve">16.1</t>
  </si>
  <si>
    <t xml:space="preserve">Procesamiento y conservación de frutas y vegetales</t>
  </si>
  <si>
    <t xml:space="preserve">17.1</t>
  </si>
  <si>
    <t xml:space="preserve">Elaboración de aceites y grasas de origen vegetal y animal</t>
  </si>
  <si>
    <t xml:space="preserve">18.1</t>
  </si>
  <si>
    <t xml:space="preserve">Elaboración de productos lácteos</t>
  </si>
  <si>
    <t xml:space="preserve">19.1</t>
  </si>
  <si>
    <t xml:space="preserve">Elaboración de productos de molinería, almidones y productos derivados del almidón</t>
  </si>
  <si>
    <t xml:space="preserve">19.2</t>
  </si>
  <si>
    <t xml:space="preserve">Elaboración de otros productos alimenticios</t>
  </si>
  <si>
    <t xml:space="preserve">20.1</t>
  </si>
  <si>
    <t xml:space="preserve">Elaboración de bebidas y tabaco</t>
  </si>
  <si>
    <t xml:space="preserve">21.1</t>
  </si>
  <si>
    <t xml:space="preserve">Fabricación de productos textiles y prendas de vestir</t>
  </si>
  <si>
    <t xml:space="preserve">22.1</t>
  </si>
  <si>
    <t xml:space="preserve">Fabricación de cuero, productos conexos y calzado</t>
  </si>
  <si>
    <t xml:space="preserve">23.1</t>
  </si>
  <si>
    <t xml:space="preserve">Producción de madera y fabricación de productos de madera y corcho, excepto muebles; fabricación de artículos de paja y de materiales trenzables</t>
  </si>
  <si>
    <t xml:space="preserve">24.1</t>
  </si>
  <si>
    <t xml:space="preserve">Fabricacion de papel y productos de papel</t>
  </si>
  <si>
    <t xml:space="preserve">25.1</t>
  </si>
  <si>
    <t xml:space="preserve">Actividades de impresión y servicios conexos</t>
  </si>
  <si>
    <t xml:space="preserve">26.1</t>
  </si>
  <si>
    <t xml:space="preserve">Fabricación de sustancias y productos químicos</t>
  </si>
  <si>
    <t xml:space="preserve">27.1</t>
  </si>
  <si>
    <t xml:space="preserve">Fabricación de productos farmacéuticos, sustancias químicas medicinales y de productos botánicos</t>
  </si>
  <si>
    <t xml:space="preserve">28.1</t>
  </si>
  <si>
    <t xml:space="preserve">Fabricación de productos de caucho y plástico</t>
  </si>
  <si>
    <t xml:space="preserve">29.1</t>
  </si>
  <si>
    <t xml:space="preserve">Fabricación de cemento, cal y yeso</t>
  </si>
  <si>
    <t xml:space="preserve">30.1</t>
  </si>
  <si>
    <t xml:space="preserve">Fabricación de otros productos minerales no metálicos </t>
  </si>
  <si>
    <t xml:space="preserve">31.1</t>
  </si>
  <si>
    <t xml:space="preserve">Fabricación de metales comunes</t>
  </si>
  <si>
    <t xml:space="preserve">31.2</t>
  </si>
  <si>
    <t xml:space="preserve">Fabricación de productos metalicos elaborados, excepto maquinaria y equipo</t>
  </si>
  <si>
    <t xml:space="preserve">32.1</t>
  </si>
  <si>
    <t xml:space="preserve">Otras industrias manufactureras</t>
  </si>
  <si>
    <t xml:space="preserve">33.1</t>
  </si>
  <si>
    <t xml:space="preserve">Reparación, mantenimiento e instalación de maquinaria y equipo comercial e industrial</t>
  </si>
  <si>
    <t xml:space="preserve">34.1</t>
  </si>
  <si>
    <t xml:space="preserve">Suministro de electricidad, gas, vapor y aire acondicionado</t>
  </si>
  <si>
    <t xml:space="preserve">D</t>
  </si>
  <si>
    <t xml:space="preserve">35.1</t>
  </si>
  <si>
    <t xml:space="preserve">Captación, tratamiento y distribuciòn de agua </t>
  </si>
  <si>
    <t xml:space="preserve">E</t>
  </si>
  <si>
    <t xml:space="preserve">35.2 M</t>
  </si>
  <si>
    <t xml:space="preserve">Recogida, tratamiento y eliminación de desechos, recuperación de materiales y actividades de descontaminación y otros servicios de eliminación de desechos</t>
  </si>
  <si>
    <t xml:space="preserve">36.1 M</t>
  </si>
  <si>
    <t xml:space="preserve">Construcción de edificios</t>
  </si>
  <si>
    <t xml:space="preserve">F</t>
  </si>
  <si>
    <t xml:space="preserve">37.1</t>
  </si>
  <si>
    <t xml:space="preserve">Comercio al por mayor y menor en zona franca </t>
  </si>
  <si>
    <t xml:space="preserve">G</t>
  </si>
  <si>
    <t xml:space="preserve">38.1</t>
  </si>
  <si>
    <t xml:space="preserve">Comercio al por mayor, en comisión y de vehículos automotores</t>
  </si>
  <si>
    <t xml:space="preserve">38.2</t>
  </si>
  <si>
    <t xml:space="preserve">Comercio al por menor</t>
  </si>
  <si>
    <t xml:space="preserve">38.3</t>
  </si>
  <si>
    <t xml:space="preserve">Mantenimiento  y reparación de  vehículos automotores y bicicletas</t>
  </si>
  <si>
    <t xml:space="preserve">H</t>
  </si>
  <si>
    <t xml:space="preserve">39.1</t>
  </si>
  <si>
    <t xml:space="preserve">Transporte por vía terrestre; transporte por tuberías</t>
  </si>
  <si>
    <t xml:space="preserve">Transporte por vía acuática</t>
  </si>
  <si>
    <t xml:space="preserve">39.3</t>
  </si>
  <si>
    <t xml:space="preserve">Transporte por vía aérea</t>
  </si>
  <si>
    <t xml:space="preserve">39.4</t>
  </si>
  <si>
    <t xml:space="preserve">Servicio de almacenamiento y depósito</t>
  </si>
  <si>
    <t xml:space="preserve">39.5</t>
  </si>
  <si>
    <t xml:space="preserve">Actividades de servicio vinculadas al transporte por vía acuática: Autoridad del Canal de Panamá  (ACP)</t>
  </si>
  <si>
    <t xml:space="preserve">39.6</t>
  </si>
  <si>
    <t xml:space="preserve">Otras actividades de servicio vinculado al transporte por vía acuática</t>
  </si>
  <si>
    <t xml:space="preserve">39.7</t>
  </si>
  <si>
    <t xml:space="preserve">Actividades  de servicio vinculado al transporte por vía aérea: aeropuertos</t>
  </si>
  <si>
    <t xml:space="preserve">39.8</t>
  </si>
  <si>
    <t xml:space="preserve">Otros actividades  de apoyo al transporte</t>
  </si>
  <si>
    <t xml:space="preserve">39.9</t>
  </si>
  <si>
    <t xml:space="preserve">Actividades postales y de mensajería</t>
  </si>
  <si>
    <t xml:space="preserve">J</t>
  </si>
  <si>
    <t xml:space="preserve">Información y comunicaciones</t>
  </si>
  <si>
    <t xml:space="preserve">Information and communication</t>
  </si>
  <si>
    <t xml:space="preserve">40.1</t>
  </si>
  <si>
    <t xml:space="preserve">Actividades de alojamientos</t>
  </si>
  <si>
    <t xml:space="preserve">I</t>
  </si>
  <si>
    <t xml:space="preserve">40.2</t>
  </si>
  <si>
    <t xml:space="preserve">Actividades de servicios de comidas y bebidas</t>
  </si>
  <si>
    <t xml:space="preserve">41.1 M</t>
  </si>
  <si>
    <t xml:space="preserve">Actividades de información y comunicación excluída telecomunicaciones</t>
  </si>
  <si>
    <t xml:space="preserve">41.2</t>
  </si>
  <si>
    <t xml:space="preserve">Telecomunicaciones</t>
  </si>
  <si>
    <t xml:space="preserve">42.1</t>
  </si>
  <si>
    <t xml:space="preserve">Actividades de servicios financieros, excepto seguros y fondos de pensiones</t>
  </si>
  <si>
    <t xml:space="preserve">K</t>
  </si>
  <si>
    <t xml:space="preserve">42.2</t>
  </si>
  <si>
    <t xml:space="preserve">Actividades de seguros, reaseguros y fondos de pensiones, excepto los planes de seguridad social de afiliación obligatoria</t>
  </si>
  <si>
    <t xml:space="preserve">42.3</t>
  </si>
  <si>
    <t xml:space="preserve">Actividades auxiliares de las actividades de servicios financieros </t>
  </si>
  <si>
    <t xml:space="preserve">43.1 M</t>
  </si>
  <si>
    <t xml:space="preserve">Alquiler de viviendas</t>
  </si>
  <si>
    <t xml:space="preserve">L</t>
  </si>
  <si>
    <t xml:space="preserve">43.2</t>
  </si>
  <si>
    <t xml:space="preserve">Alquileres no residenciales y otras actividades inmobiliarias</t>
  </si>
  <si>
    <t xml:space="preserve">44.1</t>
  </si>
  <si>
    <t xml:space="preserve">Actividades jurídicas y de contabilidad</t>
  </si>
  <si>
    <t xml:space="preserve">M</t>
  </si>
  <si>
    <t xml:space="preserve">44.2</t>
  </si>
  <si>
    <t xml:space="preserve">Actividades de arquitectura e ingeniería, ensayos y análisis técnicos</t>
  </si>
  <si>
    <t xml:space="preserve">44.3 M</t>
  </si>
  <si>
    <t xml:space="preserve">Investigación científicas  y desarrollo</t>
  </si>
  <si>
    <t xml:space="preserve">44.4</t>
  </si>
  <si>
    <t xml:space="preserve">Publicidad y estudios de mercados</t>
  </si>
  <si>
    <t xml:space="preserve">N</t>
  </si>
  <si>
    <t xml:space="preserve">44.5</t>
  </si>
  <si>
    <t xml:space="preserve">Otras actividades profesionales, científicas y técnicas</t>
  </si>
  <si>
    <t xml:space="preserve">44.6 M</t>
  </si>
  <si>
    <t xml:space="preserve">Actividades de servicio administrativo y de apoyo </t>
  </si>
  <si>
    <t xml:space="preserve">45.1 M</t>
  </si>
  <si>
    <t xml:space="preserve">Enseñanza</t>
  </si>
  <si>
    <t xml:space="preserve">P</t>
  </si>
  <si>
    <t xml:space="preserve">46.1 M</t>
  </si>
  <si>
    <t xml:space="preserve">Actividades de atención de la salud humana y de asistencia social</t>
  </si>
  <si>
    <t xml:space="preserve">Q</t>
  </si>
  <si>
    <t xml:space="preserve">47.1 M</t>
  </si>
  <si>
    <t xml:space="preserve">Actividades artísticas, de entretenimiento y recreativas</t>
  </si>
  <si>
    <t xml:space="preserve">S</t>
  </si>
  <si>
    <t xml:space="preserve">48.1 M</t>
  </si>
  <si>
    <t xml:space="preserve">Otras actividades de servicio</t>
  </si>
  <si>
    <t xml:space="preserve">P.11 SUBTOTAL PRODUCCION DE MERCADO</t>
  </si>
  <si>
    <t xml:space="preserve">P12</t>
  </si>
  <si>
    <t xml:space="preserve">36.1 UFP</t>
  </si>
  <si>
    <t xml:space="preserve">Construcción</t>
  </si>
  <si>
    <t xml:space="preserve">Construction</t>
  </si>
  <si>
    <t xml:space="preserve">No bioeconomía</t>
  </si>
  <si>
    <t xml:space="preserve">43.1 UFP</t>
  </si>
  <si>
    <t xml:space="preserve">Actividades inmobiliarias</t>
  </si>
  <si>
    <t xml:space="preserve">Inmobiliarios</t>
  </si>
  <si>
    <t xml:space="preserve">Real estate activities</t>
  </si>
  <si>
    <t xml:space="preserve">Actividades de los hogares como empleadores de personal doméstico</t>
  </si>
  <si>
    <t xml:space="preserve">T</t>
  </si>
  <si>
    <t xml:space="preserve">Actividades de los hogares como empleadores; actividades no diferenciadas de los hogares como productores de bienes y servicios para uso propio</t>
  </si>
  <si>
    <t xml:space="preserve">Hogares como empleadores</t>
  </si>
  <si>
    <t xml:space="preserve">Activities of households as employers; undifferentiated goods- and services-producing activities of households for own use</t>
  </si>
  <si>
    <t xml:space="preserve"> P.12 SUBTOTAL PRODUCCION PARA USO FINAL PROPIO</t>
  </si>
  <si>
    <t xml:space="preserve">P13</t>
  </si>
  <si>
    <t xml:space="preserve">ATC01</t>
  </si>
  <si>
    <t xml:space="preserve">Otra producción no de mercado</t>
  </si>
  <si>
    <t xml:space="preserve">P1</t>
  </si>
  <si>
    <t xml:space="preserve">Producción</t>
  </si>
  <si>
    <t xml:space="preserve">35.2 NM</t>
  </si>
  <si>
    <t xml:space="preserve">41.1 NM</t>
  </si>
  <si>
    <t xml:space="preserve">44.3 NM</t>
  </si>
  <si>
    <t xml:space="preserve">Administración pública y defensa; exceptos planes de seguridad social de afiliación obligatoria</t>
  </si>
  <si>
    <t xml:space="preserve">O</t>
  </si>
  <si>
    <t xml:space="preserve">Prestación de servicios a la comunidad en general</t>
  </si>
  <si>
    <t xml:space="preserve">R</t>
  </si>
  <si>
    <t xml:space="preserve">Actividades  de  planes  de  seguridad  social  de afiliación obligatoria</t>
  </si>
  <si>
    <t xml:space="preserve">45.1 NM</t>
  </si>
  <si>
    <t xml:space="preserve">46.1 NM</t>
  </si>
  <si>
    <t xml:space="preserve">47.1 NM</t>
  </si>
  <si>
    <t xml:space="preserve">48.1 NM</t>
  </si>
  <si>
    <t xml:space="preserve">P.13 SUBTOTAL OTRA PRODUCCION NO DE MERCADO</t>
  </si>
  <si>
    <t xml:space="preserve">-</t>
  </si>
  <si>
    <t xml:space="preserve">P.1 TOTAL PRODUCCION          (precios básicos)</t>
  </si>
  <si>
    <t xml:space="preserve">P71</t>
  </si>
  <si>
    <t xml:space="preserve">IMPORTACIÓN</t>
  </si>
  <si>
    <t xml:space="preserve"> P.71 BIENES</t>
  </si>
  <si>
    <t xml:space="preserve">P72</t>
  </si>
  <si>
    <t xml:space="preserve">P.72 SERVICIOS</t>
  </si>
  <si>
    <t xml:space="preserve">P.7 TOTAL</t>
  </si>
  <si>
    <t xml:space="preserve">CIF</t>
  </si>
  <si>
    <t xml:space="preserve">AJUSTE CIF/FOB SOBRE IMPORTACIONES</t>
  </si>
  <si>
    <t xml:space="preserve">TOTAL OFERTA (a precios básicos)</t>
  </si>
  <si>
    <t xml:space="preserve">D211</t>
  </si>
  <si>
    <t xml:space="preserve">D.211 IMPUESTOS TIPO IVA</t>
  </si>
  <si>
    <t xml:space="preserve">D.211  IMPUESTOS TIPO VALOR AGREGADO (IVA)</t>
  </si>
  <si>
    <t xml:space="preserve">D212</t>
  </si>
  <si>
    <t xml:space="preserve">D.212</t>
  </si>
  <si>
    <t xml:space="preserve">D.212  IMPUESTOS Y DERECHOS SOBRE IMPORTACIÓN</t>
  </si>
  <si>
    <t xml:space="preserve">D213</t>
  </si>
  <si>
    <t xml:space="preserve">D.213</t>
  </si>
  <si>
    <t xml:space="preserve">D.213 IMPUESTOS SOBRE LA EXPORTACIÓN</t>
  </si>
  <si>
    <t xml:space="preserve">D214</t>
  </si>
  <si>
    <t xml:space="preserve">D.214 IMP.A LOS PRODUCTOS EXC. IVA, IMP A LA IMPORT. </t>
  </si>
  <si>
    <t xml:space="preserve">D.21 TOTAL</t>
  </si>
  <si>
    <t xml:space="preserve">D31</t>
  </si>
  <si>
    <t xml:space="preserve">D.31 SUBVENCIO-NES A LOS PRODUCTOS</t>
  </si>
  <si>
    <t xml:space="preserve">M11</t>
  </si>
  <si>
    <t xml:space="preserve">ATC05</t>
  </si>
  <si>
    <t xml:space="preserve">Márgenes de distribución</t>
  </si>
  <si>
    <t xml:space="preserve">Márgenes de comercio</t>
  </si>
  <si>
    <t xml:space="preserve">M1</t>
  </si>
  <si>
    <t xml:space="preserve">MÁRGENES DE COMERCIO</t>
  </si>
  <si>
    <t xml:space="preserve">M13</t>
  </si>
  <si>
    <t xml:space="preserve">Márgenes de distribución de electricidad</t>
  </si>
  <si>
    <t xml:space="preserve">MÁRGENES DE DISTRIBUCIÓN DE ELECTRICIDAD</t>
  </si>
  <si>
    <t xml:space="preserve">P21</t>
  </si>
  <si>
    <t xml:space="preserve">P22</t>
  </si>
  <si>
    <t xml:space="preserve">SUBTOTAL  DE MERCADO</t>
  </si>
  <si>
    <t xml:space="preserve"> SUBTOTAL  PARA USO FINAL PROPIO</t>
  </si>
  <si>
    <t xml:space="preserve">P23</t>
  </si>
  <si>
    <t xml:space="preserve"> SUBTOTAL  OTRA DE NO DE MERCADO</t>
  </si>
  <si>
    <t xml:space="preserve">P.2 TOTAL CONSUMO INTERMEDIO          </t>
  </si>
  <si>
    <t xml:space="preserve">P61</t>
  </si>
  <si>
    <t xml:space="preserve">ATC02</t>
  </si>
  <si>
    <t xml:space="preserve">Exportaciones de bienes</t>
  </si>
  <si>
    <t xml:space="preserve">P6</t>
  </si>
  <si>
    <t xml:space="preserve">Exportaciones de bienes y servicios</t>
  </si>
  <si>
    <t xml:space="preserve"> P.61 BIENES</t>
  </si>
  <si>
    <t xml:space="preserve">P62</t>
  </si>
  <si>
    <t xml:space="preserve">Exportaciones de servicios</t>
  </si>
  <si>
    <t xml:space="preserve">P.62 SERVICIOS</t>
  </si>
  <si>
    <t xml:space="preserve">P.6 TOTAL</t>
  </si>
  <si>
    <t xml:space="preserve">Pa31</t>
  </si>
  <si>
    <t xml:space="preserve">P31 HOGARES</t>
  </si>
  <si>
    <t xml:space="preserve">Hogares</t>
  </si>
  <si>
    <t xml:space="preserve">Pb30</t>
  </si>
  <si>
    <t xml:space="preserve">P.3 ISFLSH</t>
  </si>
  <si>
    <t xml:space="preserve">P.31 INDIVIDUAL</t>
  </si>
  <si>
    <t xml:space="preserve">Pb31</t>
  </si>
  <si>
    <t xml:space="preserve">P.32 COLECTIVO</t>
  </si>
  <si>
    <t xml:space="preserve">SUBTOTAL ISFLSH</t>
  </si>
  <si>
    <t xml:space="preserve">Pc31</t>
  </si>
  <si>
    <t xml:space="preserve">P.3 GOBIERNO GENERAL</t>
  </si>
  <si>
    <t xml:space="preserve">Pc32</t>
  </si>
  <si>
    <t xml:space="preserve">SUBTOTAL GOBIERNO GENERAL</t>
  </si>
  <si>
    <t xml:space="preserve">P.3 TOTAL GASTO DE CONSUMO FINAL</t>
  </si>
  <si>
    <t xml:space="preserve">P51b</t>
  </si>
  <si>
    <t xml:space="preserve">P.51 FORMACION BRUTA DE CAPITAL</t>
  </si>
  <si>
    <t xml:space="preserve">P52</t>
  </si>
  <si>
    <t xml:space="preserve">P.52 VARIACION DE EXISTENCIAS</t>
  </si>
  <si>
    <t xml:space="preserve">P53</t>
  </si>
  <si>
    <t xml:space="preserve"> OTRAS VARIACIONES DE EXISTENCIA</t>
  </si>
  <si>
    <t xml:space="preserve">P.53  AQUISICIONES MENOS DISPOSICIONES DE OBJETOS VALIOSOS</t>
  </si>
  <si>
    <t xml:space="preserve">PANuc107</t>
  </si>
  <si>
    <t xml:space="preserve">P.5 TOTAL FORMACION BRUTA DE CAPITAL</t>
  </si>
  <si>
    <t xml:space="preserve">Producción de mercado</t>
  </si>
  <si>
    <t xml:space="preserve">P2</t>
  </si>
  <si>
    <t xml:space="preserve">P3</t>
  </si>
  <si>
    <t xml:space="preserve">P4</t>
  </si>
  <si>
    <t xml:space="preserve">P5</t>
  </si>
  <si>
    <t xml:space="preserve">P7</t>
  </si>
  <si>
    <t xml:space="preserve">P8</t>
  </si>
  <si>
    <t xml:space="preserve">P9</t>
  </si>
  <si>
    <t xml:space="preserve">P10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</si>
  <si>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</si>
  <si>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</si>
  <si>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</si>
  <si>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</si>
  <si>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</si>
  <si>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</si>
  <si>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P20</t>
  </si>
  <si>
    <t xml:space="preserve">P24</t>
  </si>
  <si>
    <t xml:space="preserve">P25</t>
  </si>
  <si>
    <t xml:space="preserve">P26</t>
  </si>
  <si>
    <t xml:space="preserve">P27</t>
  </si>
  <si>
    <t xml:space="preserve">P28</t>
  </si>
  <si>
    <t xml:space="preserve">P29</t>
  </si>
  <si>
    <t xml:space="preserve">P30</t>
  </si>
  <si>
    <t xml:space="preserve">Agricultura, ganadería, silvicultura y pesca</t>
  </si>
  <si>
    <t xml:space="preserve">Agricultura</t>
  </si>
  <si>
    <t xml:space="preserve">Agriculture, forestry and fishing</t>
  </si>
  <si>
    <t xml:space="preserve">Explotación de minas y canteras</t>
  </si>
  <si>
    <t xml:space="preserve">Minería</t>
  </si>
  <si>
    <t xml:space="preserve">Mining and quarrying</t>
  </si>
  <si>
    <t xml:space="preserve">Industrias manufactureras</t>
  </si>
  <si>
    <t xml:space="preserve">Manufacturas</t>
  </si>
  <si>
    <t xml:space="preserve">Manufacturing</t>
  </si>
  <si>
    <t xml:space="preserve">Servicios básicos</t>
  </si>
  <si>
    <t xml:space="preserve">Electricity, gas, steam and air conditioning supply</t>
  </si>
  <si>
    <t xml:space="preserve">Suministro de agua; evacuación de aguas residuales, gestión de desechos y descontaminación</t>
  </si>
  <si>
    <t xml:space="preserve">Suministro de agua</t>
  </si>
  <si>
    <t xml:space="preserve">Water supply; sewerage, waste management and remediation activities</t>
  </si>
  <si>
    <t xml:space="preserve">Comercio al por mayor y al por menor; reparación de vehículos automotores y motocicletas</t>
  </si>
  <si>
    <t xml:space="preserve">Comercio</t>
  </si>
  <si>
    <t xml:space="preserve">Wholesale and retail trade; repair of motor vehicles and motorcycles</t>
  </si>
  <si>
    <t xml:space="preserve">Transporte y almacenamiento</t>
  </si>
  <si>
    <t xml:space="preserve">Transportation and storage</t>
  </si>
  <si>
    <t xml:space="preserve">Actividades de alojamiento y de servicio de comidas</t>
  </si>
  <si>
    <t xml:space="preserve">Alojamiento y alimentación</t>
  </si>
  <si>
    <t xml:space="preserve">Accommodation and food service activities</t>
  </si>
  <si>
    <t xml:space="preserve">Actividades financieras y de seguros</t>
  </si>
  <si>
    <t xml:space="preserve">Finanzas y seguros</t>
  </si>
  <si>
    <t xml:space="preserve">Financial and insurance activities</t>
  </si>
  <si>
    <t xml:space="preserve">Actividades profesionales, científicas y técnicas</t>
  </si>
  <si>
    <t xml:space="preserve">Servicios profesionales</t>
  </si>
  <si>
    <t xml:space="preserve">Professional, scientific and technical activities</t>
  </si>
  <si>
    <t xml:space="preserve">Actividades de servicios administrativos y de apoyo</t>
  </si>
  <si>
    <t xml:space="preserve">Servicios administrativos</t>
  </si>
  <si>
    <t xml:space="preserve">Administrative and support service activities</t>
  </si>
  <si>
    <t xml:space="preserve">Education</t>
  </si>
  <si>
    <t xml:space="preserve">Salud</t>
  </si>
  <si>
    <t xml:space="preserve">Human health and social work activities</t>
  </si>
  <si>
    <t xml:space="preserve">Recreación</t>
  </si>
  <si>
    <t xml:space="preserve">Arts, entertainment and recreation</t>
  </si>
  <si>
    <t xml:space="preserve">Otras actividades de servicios</t>
  </si>
  <si>
    <t xml:space="preserve">Otros servicios</t>
  </si>
  <si>
    <t xml:space="preserve">Other service activities</t>
  </si>
  <si>
    <t xml:space="preserve"> - </t>
  </si>
  <si>
    <t xml:space="preserve">Administración pública y defensa; planes de seguridad social de afiliación obligatoria</t>
  </si>
  <si>
    <t xml:space="preserve">Administración pública</t>
  </si>
  <si>
    <t xml:space="preserve">Public administration and defence; compulsory social security</t>
  </si>
  <si>
    <t xml:space="preserve">corr_ntg2</t>
  </si>
  <si>
    <t xml:space="preserve">id_area_columnas</t>
  </si>
  <si>
    <t xml:space="preserve">Producción / Consumo intermedio</t>
  </si>
  <si>
    <t xml:space="preserve">Producción para uso final propio</t>
  </si>
  <si>
    <t xml:space="preserve">Consumo</t>
  </si>
  <si>
    <t xml:space="preserve">Consumo intermedio</t>
  </si>
  <si>
    <t xml:space="preserve">Consumo intermedio de mercado</t>
  </si>
  <si>
    <t xml:space="preserve">Consumo intermedio para uso final propio</t>
  </si>
  <si>
    <t xml:space="preserve">Consumo intermedio no de mercado</t>
  </si>
  <si>
    <t xml:space="preserve">ATC06</t>
  </si>
  <si>
    <t xml:space="preserve">Gasto de consumo final</t>
  </si>
  <si>
    <t xml:space="preserve">Gasto de consumo final de los hogares</t>
  </si>
  <si>
    <t xml:space="preserve">Consumo final</t>
  </si>
  <si>
    <t xml:space="preserve">Gasto de consumo ISFLH</t>
  </si>
  <si>
    <t xml:space="preserve">Gasto de consumo individual ISFLSH</t>
  </si>
  <si>
    <t xml:space="preserve">Pb32</t>
  </si>
  <si>
    <t xml:space="preserve">Gasto de consumo colectivo ISFLSH</t>
  </si>
  <si>
    <t xml:space="preserve">Pc30</t>
  </si>
  <si>
    <t xml:space="preserve">Gasto de consumo de gobierno</t>
  </si>
  <si>
    <t xml:space="preserve">Gasto de consumo individual de gobierno</t>
  </si>
  <si>
    <t xml:space="preserve">Gasto de consumo colectivo de gobierno</t>
  </si>
  <si>
    <t xml:space="preserve">P41</t>
  </si>
  <si>
    <t xml:space="preserve">Consumo individual efectivo</t>
  </si>
  <si>
    <t xml:space="preserve">Consumo final efectivo</t>
  </si>
  <si>
    <t xml:space="preserve">P42</t>
  </si>
  <si>
    <t xml:space="preserve">Consumo colectivo efectivo</t>
  </si>
  <si>
    <t xml:space="preserve">ATC07</t>
  </si>
  <si>
    <t xml:space="preserve">Formación bruta de capital fijo</t>
  </si>
  <si>
    <t xml:space="preserve">Formación de capital</t>
  </si>
  <si>
    <t xml:space="preserve">P51c</t>
  </si>
  <si>
    <t xml:space="preserve">Consumo de capital fijo</t>
  </si>
  <si>
    <t xml:space="preserve">Variación de existencias</t>
  </si>
  <si>
    <t xml:space="preserve">Adquisiciones menos disposiciones de objetos valiosos</t>
  </si>
  <si>
    <t xml:space="preserve">P60</t>
  </si>
  <si>
    <t xml:space="preserve">Exportaciones / Importaciones</t>
  </si>
  <si>
    <t xml:space="preserve">P70</t>
  </si>
  <si>
    <t xml:space="preserve">Importaciones de bienes y servicios</t>
  </si>
  <si>
    <t xml:space="preserve">Importaciones de bienes</t>
  </si>
  <si>
    <t xml:space="preserve">Importaciones de servicios</t>
  </si>
  <si>
    <t xml:space="preserve">ATC03</t>
  </si>
  <si>
    <t xml:space="preserve">Ajuste CIF/FOB</t>
  </si>
  <si>
    <t xml:space="preserve">Ajuste CIF/FOB sobre importaciones</t>
  </si>
  <si>
    <t xml:space="preserve">ATC04</t>
  </si>
  <si>
    <t xml:space="preserve">Impuestos menos subvenciones sobre los productos</t>
  </si>
  <si>
    <t xml:space="preserve">Impuestos tipo valor agregado (IVA)</t>
  </si>
  <si>
    <t xml:space="preserve">D2</t>
  </si>
  <si>
    <t xml:space="preserve">Impuestos sobre la producción y las importaciones</t>
  </si>
  <si>
    <t xml:space="preserve">Impuestos y derechos sobre las importaciones excepto IVA</t>
  </si>
  <si>
    <t xml:space="preserve">Impuestos sobre las exportaciones</t>
  </si>
  <si>
    <t xml:space="preserve">Impuestos sobre los productos, excepto IVA e impuestos sobre las importaciones </t>
  </si>
  <si>
    <t xml:space="preserve">D291</t>
  </si>
  <si>
    <t xml:space="preserve">Otros impuestos sobre la producción </t>
  </si>
  <si>
    <t xml:space="preserve">D29</t>
  </si>
  <si>
    <t xml:space="preserve">Subvenciones a los productos</t>
  </si>
  <si>
    <t xml:space="preserve">D3</t>
  </si>
  <si>
    <t xml:space="preserve">Subvenciones</t>
  </si>
  <si>
    <t xml:space="preserve">D39</t>
  </si>
  <si>
    <t xml:space="preserve">ATCO4</t>
  </si>
  <si>
    <t xml:space="preserve">Otras subvenciones a la producción</t>
  </si>
  <si>
    <t xml:space="preserve">M12</t>
  </si>
  <si>
    <t xml:space="preserve">Márgenes de transporte</t>
  </si>
  <si>
    <t xml:space="preserve">Áreas Transaccionales Filas No.</t>
  </si>
  <si>
    <t xml:space="preserve">Áreas Transaccionales Filas Descripción</t>
  </si>
  <si>
    <t xml:space="preserve">Codigo Transacción Filas</t>
  </si>
  <si>
    <t xml:space="preserve">ATF01</t>
  </si>
  <si>
    <t xml:space="preserve">ATF02</t>
  </si>
  <si>
    <t xml:space="preserve">ATF03</t>
  </si>
  <si>
    <t xml:space="preserve">ATF04</t>
  </si>
  <si>
    <t xml:space="preserve">Compras directas en el exterior por residentes</t>
  </si>
  <si>
    <t xml:space="preserve">ATF05</t>
  </si>
  <si>
    <t xml:space="preserve">Compras directas en el territorio nacional por no residentes</t>
  </si>
  <si>
    <t xml:space="preserve">ATF06</t>
  </si>
  <si>
    <t xml:space="preserve">Valor Agregado</t>
  </si>
  <si>
    <t xml:space="preserve">ATF07</t>
  </si>
  <si>
    <t xml:space="preserve">Puestos de trabajo</t>
  </si>
  <si>
    <t xml:space="preserve">Código Nomenclatura Local de Productos</t>
  </si>
  <si>
    <t xml:space="preserve">Nomenclatura Local de Productos</t>
  </si>
  <si>
    <t xml:space="preserve">Clasificación Productos</t>
  </si>
  <si>
    <t xml:space="preserve">Cod_Bioec Productos</t>
  </si>
  <si>
    <t xml:space="preserve">Tipo de bioeconomía Productos</t>
  </si>
  <si>
    <t xml:space="preserve">Sectores produuctos</t>
  </si>
  <si>
    <t xml:space="preserve">Cód_Div_CPC_3</t>
  </si>
  <si>
    <t xml:space="preserve">División CPC_3</t>
  </si>
  <si>
    <t xml:space="preserve">Cód_Div_CPC_2</t>
  </si>
  <si>
    <t xml:space="preserve">División CPC_2</t>
  </si>
  <si>
    <t xml:space="preserve">Cod. Elem. Def. Bioeconomía </t>
  </si>
  <si>
    <t xml:space="preserve">Tipo de elemento</t>
  </si>
  <si>
    <t xml:space="preserve">Código CPC</t>
  </si>
  <si>
    <t xml:space="preserve">Elemento CPC</t>
  </si>
  <si>
    <t xml:space="preserve">Código Bioeconomía</t>
  </si>
  <si>
    <t xml:space="preserve">Clasificación Bioeconomí</t>
  </si>
  <si>
    <t xml:space="preserve">0101</t>
  </si>
  <si>
    <t xml:space="preserve">TRIGO</t>
  </si>
  <si>
    <t xml:space="preserve">Productos agricolas_Cereales</t>
  </si>
  <si>
    <t xml:space="preserve">Bioeconomía de productos básicos</t>
  </si>
  <si>
    <t xml:space="preserve">Productos agropecuarios</t>
  </si>
  <si>
    <t xml:space="preserve">0102</t>
  </si>
  <si>
    <t xml:space="preserve">OTROS CEREALES (EXCL. MAÍZ Y ARROZ)</t>
  </si>
  <si>
    <t xml:space="preserve">0103</t>
  </si>
  <si>
    <t xml:space="preserve">LEGUMBRES</t>
  </si>
  <si>
    <t xml:space="preserve">Productos agropecuarios_Vegetales</t>
  </si>
  <si>
    <t xml:space="preserve">0104</t>
  </si>
  <si>
    <t xml:space="preserve">SEMILLAS OLEAGINOSAS</t>
  </si>
  <si>
    <t xml:space="preserve">Productos agricolas_Oleaginosas</t>
  </si>
  <si>
    <t xml:space="preserve">0201</t>
  </si>
  <si>
    <t xml:space="preserve">MAÍZ</t>
  </si>
  <si>
    <t xml:space="preserve">0301</t>
  </si>
  <si>
    <t xml:space="preserve">ARROZ</t>
  </si>
  <si>
    <t xml:space="preserve">0401</t>
  </si>
  <si>
    <t xml:space="preserve">HORTALIZAS DE HOJA O DE TALLO</t>
  </si>
  <si>
    <t xml:space="preserve">0402</t>
  </si>
  <si>
    <t xml:space="preserve">SANDÍAS</t>
  </si>
  <si>
    <t xml:space="preserve">Productos agricolas_Frutas</t>
  </si>
  <si>
    <t xml:space="preserve">0403</t>
  </si>
  <si>
    <t xml:space="preserve">MELONES</t>
  </si>
  <si>
    <t xml:space="preserve">0404</t>
  </si>
  <si>
    <t xml:space="preserve">TOMATES</t>
  </si>
  <si>
    <t xml:space="preserve">0405</t>
  </si>
  <si>
    <t xml:space="preserve">OTRAS HORTALIZAS </t>
  </si>
  <si>
    <t xml:space="preserve">0406</t>
  </si>
  <si>
    <t xml:space="preserve">CEBOLLAS</t>
  </si>
  <si>
    <t xml:space="preserve">0407</t>
  </si>
  <si>
    <t xml:space="preserve">PAPAS</t>
  </si>
  <si>
    <t xml:space="preserve">0408</t>
  </si>
  <si>
    <t xml:space="preserve">ÑAME</t>
  </si>
  <si>
    <t xml:space="preserve">0409</t>
  </si>
  <si>
    <t xml:space="preserve">OTRAS RAÍCES Y TUBÉRCULOS</t>
  </si>
  <si>
    <t xml:space="preserve">0501</t>
  </si>
  <si>
    <t xml:space="preserve">BANANO</t>
  </si>
  <si>
    <t xml:space="preserve">0502</t>
  </si>
  <si>
    <t xml:space="preserve">CÍTRICOS</t>
  </si>
  <si>
    <t xml:space="preserve">0503</t>
  </si>
  <si>
    <t xml:space="preserve">OTRAS FRUTAS</t>
  </si>
  <si>
    <t xml:space="preserve">0601</t>
  </si>
  <si>
    <t xml:space="preserve">FRUTAS OLEAGINOSAS</t>
  </si>
  <si>
    <t xml:space="preserve">0701</t>
  </si>
  <si>
    <t xml:space="preserve">CAÑA DE AZÚCAR</t>
  </si>
  <si>
    <t xml:space="preserve">Animales y plantas</t>
  </si>
  <si>
    <t xml:space="preserve">0801</t>
  </si>
  <si>
    <t xml:space="preserve">CAFÉ EN GRANOS</t>
  </si>
  <si>
    <t xml:space="preserve">0802</t>
  </si>
  <si>
    <t xml:space="preserve">OTRAS PLANTAS BEBESTIBLES</t>
  </si>
  <si>
    <t xml:space="preserve">0901</t>
  </si>
  <si>
    <t xml:space="preserve">PLANTAS AROMÁTICAS, MEDICINALES Y ESPECIAS</t>
  </si>
  <si>
    <t xml:space="preserve">1001</t>
  </si>
  <si>
    <t xml:space="preserve">PLANTAS NO PERENNES</t>
  </si>
  <si>
    <t xml:space="preserve">1101</t>
  </si>
  <si>
    <t xml:space="preserve">PLANTAS VIVAS Y BULBOS </t>
  </si>
  <si>
    <t xml:space="preserve">1201</t>
  </si>
  <si>
    <t xml:space="preserve">GANADO BOVINO</t>
  </si>
  <si>
    <t xml:space="preserve">1202</t>
  </si>
  <si>
    <t xml:space="preserve">GANADO PORCINO</t>
  </si>
  <si>
    <t xml:space="preserve">1203</t>
  </si>
  <si>
    <t xml:space="preserve">AVES DE CORRAL </t>
  </si>
  <si>
    <t xml:space="preserve">1204</t>
  </si>
  <si>
    <t xml:space="preserve">OTROS ANIMALES</t>
  </si>
  <si>
    <t xml:space="preserve">1301</t>
  </si>
  <si>
    <t xml:space="preserve">LECHE CRUDA</t>
  </si>
  <si>
    <t xml:space="preserve">Productos agropecuarios_Lácteos</t>
  </si>
  <si>
    <t xml:space="preserve">1302</t>
  </si>
  <si>
    <t xml:space="preserve">HUEVOS</t>
  </si>
  <si>
    <t xml:space="preserve">1303</t>
  </si>
  <si>
    <t xml:space="preserve">OTROS ANIMALES Y OTROS PRODUCTOS ANIMALES</t>
  </si>
  <si>
    <t xml:space="preserve">1401</t>
  </si>
  <si>
    <t xml:space="preserve">SERVICIOS DE APOYO A LA AGRICULTURA, LA GANADERÍA Y ACTIVIDADES POSTCOSECHA</t>
  </si>
  <si>
    <t xml:space="preserve">Servicios </t>
  </si>
  <si>
    <t xml:space="preserve">Bioeconomía avanzada</t>
  </si>
  <si>
    <t xml:space="preserve">Bioeconomía</t>
  </si>
  <si>
    <t xml:space="preserve">1501</t>
  </si>
  <si>
    <t xml:space="preserve">MADERA EN BRUTO</t>
  </si>
  <si>
    <t xml:space="preserve">Materias primas</t>
  </si>
  <si>
    <t xml:space="preserve">1502</t>
  </si>
  <si>
    <t xml:space="preserve">OTROS PRODUCTOS SILVÍCOLAS</t>
  </si>
  <si>
    <t xml:space="preserve">1601</t>
  </si>
  <si>
    <t xml:space="preserve">PESCADOS VIVOS, FRESCOS O REFRIGERADOS</t>
  </si>
  <si>
    <t xml:space="preserve">1602</t>
  </si>
  <si>
    <t xml:space="preserve">CAMARÓN Y OTROS CRUSTÁCEOS VIVOS, FRESCOS O REFRIGERADOS</t>
  </si>
  <si>
    <t xml:space="preserve">1603</t>
  </si>
  <si>
    <t xml:space="preserve">OTROS PRODUCTOS DE LA PESCA</t>
  </si>
  <si>
    <t xml:space="preserve">1701</t>
  </si>
  <si>
    <t xml:space="preserve">MINERALES DE COBRE Y SUS CONCENTRADOS</t>
  </si>
  <si>
    <t xml:space="preserve">1702</t>
  </si>
  <si>
    <t xml:space="preserve">OTROS MINERALES METÁLICOS</t>
  </si>
  <si>
    <t xml:space="preserve">1801</t>
  </si>
  <si>
    <t xml:space="preserve">MINERALES NO METÁLICOS</t>
  </si>
  <si>
    <t xml:space="preserve">1901</t>
  </si>
  <si>
    <t xml:space="preserve">SAL</t>
  </si>
  <si>
    <t xml:space="preserve">2001</t>
  </si>
  <si>
    <t xml:space="preserve">OTROS MINERALES Y SERVICIOS DE APOYO PARA LA EXPLOTACIÓN DE MINAS Y CANTERAS</t>
  </si>
  <si>
    <t xml:space="preserve">2101</t>
  </si>
  <si>
    <t xml:space="preserve">CARNE Y DESPOJOS COMESTIBLES DE GANADO BOVINO</t>
  </si>
  <si>
    <t xml:space="preserve">Productos alimentarios_Carne</t>
  </si>
  <si>
    <t xml:space="preserve">Bioeconomía de transformación de productos básicos</t>
  </si>
  <si>
    <t xml:space="preserve">Industria alimentaria</t>
  </si>
  <si>
    <t xml:space="preserve">2102</t>
  </si>
  <si>
    <t xml:space="preserve">CARNE Y DESPOJOS COMESTIBLES DE GANADO PORCINO</t>
  </si>
  <si>
    <t xml:space="preserve">2103</t>
  </si>
  <si>
    <t xml:space="preserve">CARNE Y DESPOJOS COMESTIBLES DE AVES DE CORRAL</t>
  </si>
  <si>
    <t xml:space="preserve">2104</t>
  </si>
  <si>
    <t xml:space="preserve">CARNES Y DESPOJOS COMESTIBLES DE OTROS ANIMALES Y CONSERVAS Y PREPARADOS DE CARNE</t>
  </si>
  <si>
    <t xml:space="preserve">2105</t>
  </si>
  <si>
    <t xml:space="preserve">PESCADO, CRUSTÁCEOS, MOLUSCOS Y DEMÁS INVERTEBRADOS ACUÁTICAS, PREPARADO O EN CONSERVAS Y SUS PRODUCTOS</t>
  </si>
  <si>
    <t xml:space="preserve">Productos alimentarios_Acuáticos</t>
  </si>
  <si>
    <t xml:space="preserve">2201</t>
  </si>
  <si>
    <t xml:space="preserve">VEGETALES, LEGUMBRES Y PAPAS PREPARADAS Y CONSERVADAS</t>
  </si>
  <si>
    <t xml:space="preserve">Productos alimentarios_Otros</t>
  </si>
  <si>
    <t xml:space="preserve">2202</t>
  </si>
  <si>
    <t xml:space="preserve">FRUTAS Y NUECES PREPARADAS Y CONSERVADAS</t>
  </si>
  <si>
    <t xml:space="preserve">2203</t>
  </si>
  <si>
    <t xml:space="preserve">ACEITES Y GRASAS DE ORIGEN VEGETAL Y ANIMAL</t>
  </si>
  <si>
    <t xml:space="preserve">Productos alimentarios_Oleaginosas</t>
  </si>
  <si>
    <t xml:space="preserve">2301</t>
  </si>
  <si>
    <t xml:space="preserve">LECHE LÍQUIDA PROCESADA</t>
  </si>
  <si>
    <t xml:space="preserve">Productos alimentarios_Lácteos</t>
  </si>
  <si>
    <t xml:space="preserve">2302</t>
  </si>
  <si>
    <t xml:space="preserve">LECHE ENTERA EN POLVO</t>
  </si>
  <si>
    <t xml:space="preserve">2303</t>
  </si>
  <si>
    <t xml:space="preserve">OTROS PRODUCTOS LÁCTEOS N.C.P.</t>
  </si>
  <si>
    <t xml:space="preserve">2401</t>
  </si>
  <si>
    <t xml:space="preserve">HARINA DE TRIGO</t>
  </si>
  <si>
    <t xml:space="preserve">Productos alimentarios_Cereales</t>
  </si>
  <si>
    <t xml:space="preserve">2402</t>
  </si>
  <si>
    <t xml:space="preserve">ARROZ SIN CÁSCARA</t>
  </si>
  <si>
    <t xml:space="preserve">2403</t>
  </si>
  <si>
    <t xml:space="preserve">OTROS PRODUCTOS DE MOLINERÍA N.C.P. Y ALMIDONES Y SUS PRODUCTOS, AZUCARES Y JARABES DE AZÚCAR N.C.P.</t>
  </si>
  <si>
    <t xml:space="preserve">2404</t>
  </si>
  <si>
    <t xml:space="preserve">PRODUCTOS DE PANADERÍA</t>
  </si>
  <si>
    <t xml:space="preserve">2405</t>
  </si>
  <si>
    <t xml:space="preserve">AZÚCAR</t>
  </si>
  <si>
    <t xml:space="preserve">Productos alimentarios_Azúcar</t>
  </si>
  <si>
    <t xml:space="preserve">2406</t>
  </si>
  <si>
    <t xml:space="preserve">CACAO, CHOCOLATE Y ARTÍCULOS DE CONFITERÍA PREPARADOS CON AZÚCAR</t>
  </si>
  <si>
    <t xml:space="preserve">2407</t>
  </si>
  <si>
    <t xml:space="preserve">MACARRONES, FIDEOS Y PRODUCTOS FARINÁCEOS ANÁLOGOS</t>
  </si>
  <si>
    <t xml:space="preserve">2408</t>
  </si>
  <si>
    <t xml:space="preserve">PRODUCTOS ALIMENTICIOS N.C.P</t>
  </si>
  <si>
    <t xml:space="preserve">2409</t>
  </si>
  <si>
    <t xml:space="preserve">PREPARADOS DEL TIPO UTILIZADOS PARA LA ALIMENTACIÓN DE ANIMALES</t>
  </si>
  <si>
    <t xml:space="preserve">Piensos</t>
  </si>
  <si>
    <t xml:space="preserve">2501</t>
  </si>
  <si>
    <t xml:space="preserve">ALCOHOL ETÍLICO, BEBIDAS ALCOHÓLICAS, LICORES Y OTRAS BEBIDAS ALCOHÓLICAS</t>
  </si>
  <si>
    <t xml:space="preserve">Productos alimentarios_Bebidas</t>
  </si>
  <si>
    <t xml:space="preserve">2502</t>
  </si>
  <si>
    <t xml:space="preserve">VINOS</t>
  </si>
  <si>
    <t xml:space="preserve">2503</t>
  </si>
  <si>
    <t xml:space="preserve">LICORES DE MALTA Y MALTA</t>
  </si>
  <si>
    <t xml:space="preserve">2504</t>
  </si>
  <si>
    <t xml:space="preserve">BEBIDAS NO ALCOHÓLICAS, AGUAS MINERALES EMBOTELLADAS</t>
  </si>
  <si>
    <t xml:space="preserve">2601</t>
  </si>
  <si>
    <t xml:space="preserve">PRODUCTOS DE TABACO</t>
  </si>
  <si>
    <t xml:space="preserve">Productos alimentarios_Tabaco</t>
  </si>
  <si>
    <t xml:space="preserve">2701</t>
  </si>
  <si>
    <t xml:space="preserve">HILADOS E HILOS, TEJIDOS Y TEJIDOS TEXTILES CON PELO INSERTADO</t>
  </si>
  <si>
    <t xml:space="preserve">Industria textil y de la confección</t>
  </si>
  <si>
    <t xml:space="preserve">2702</t>
  </si>
  <si>
    <t xml:space="preserve">ARTÍCULOS TEXTILES EXCEPTO PRENDAS DE VESTIR</t>
  </si>
  <si>
    <t xml:space="preserve">2703</t>
  </si>
  <si>
    <t xml:space="preserve">TEJIDOS DE PUNTO O GANCHILLO; PRENDAS DE VESTIR; PIELES FINAS Y ARTIFICIALES</t>
  </si>
  <si>
    <t xml:space="preserve">2801</t>
  </si>
  <si>
    <t xml:space="preserve">CUERO, CURTIDO O ADOBADO Y CUERO ARTIFICIAL O REGENERADO</t>
  </si>
  <si>
    <t xml:space="preserve">2802</t>
  </si>
  <si>
    <t xml:space="preserve">ARTÍCULOS DE CUERO</t>
  </si>
  <si>
    <t xml:space="preserve">2803</t>
  </si>
  <si>
    <t xml:space="preserve">CALZADO Y PARTES DE CALZADO</t>
  </si>
  <si>
    <t xml:space="preserve">2901</t>
  </si>
  <si>
    <t xml:space="preserve">MADERA ASERRADA Y ACEPILLADA</t>
  </si>
  <si>
    <t xml:space="preserve">Industria forestal</t>
  </si>
  <si>
    <t xml:space="preserve">2902</t>
  </si>
  <si>
    <t xml:space="preserve">PRODUCTOS DE MADERA, EXCEPTO MUEBLES; ARTÍCULOS DE CORCHO Y PAJA U OTROS MATERIALES TRENZABLES</t>
  </si>
  <si>
    <t xml:space="preserve">3001</t>
  </si>
  <si>
    <t xml:space="preserve">PASTA DE PAPEL, PAPEL Y CARTÓN</t>
  </si>
  <si>
    <t xml:space="preserve">Pulpa y papel</t>
  </si>
  <si>
    <t xml:space="preserve">3002</t>
  </si>
  <si>
    <t xml:space="preserve">PRODUCTOS DE PAPEL Y DE CARTÓN</t>
  </si>
  <si>
    <t xml:space="preserve">3101</t>
  </si>
  <si>
    <t xml:space="preserve">PRODUCTOS DE LA EDICIÓN E IMPRESIÓN</t>
  </si>
  <si>
    <t xml:space="preserve">3201</t>
  </si>
  <si>
    <t xml:space="preserve">GASOLINA PARA MOTORES</t>
  </si>
  <si>
    <t xml:space="preserve">3202</t>
  </si>
  <si>
    <t xml:space="preserve">GASOLINA DE AVIACIÓN</t>
  </si>
  <si>
    <t xml:space="preserve">3203</t>
  </si>
  <si>
    <t xml:space="preserve">GASÓLEOS (ACEITE DIÉSEL)</t>
  </si>
  <si>
    <t xml:space="preserve">3204</t>
  </si>
  <si>
    <t xml:space="preserve">FUEL OIL Y BUNKER (COMBUSTIBLES PARA CALDERAS)</t>
  </si>
  <si>
    <t xml:space="preserve">3205</t>
  </si>
  <si>
    <t xml:space="preserve">GASES DE PETRÓLEO Y OTROS HIDROCARBUROS GASEOSOS, EXC. GAS NATURAL</t>
  </si>
  <si>
    <t xml:space="preserve">3206</t>
  </si>
  <si>
    <t xml:space="preserve">ACEITES Y GRASAS LUBRICANTES</t>
  </si>
  <si>
    <t xml:space="preserve">3207</t>
  </si>
  <si>
    <t xml:space="preserve">OTROS PRODUCTOS DE LA REFINACIÓN DE PETRÓLEO N.C.P.</t>
  </si>
  <si>
    <t xml:space="preserve">3301</t>
  </si>
  <si>
    <t xml:space="preserve">PRODUCTOS QUÍMICOS BÁSICOS</t>
  </si>
  <si>
    <t xml:space="preserve">3302</t>
  </si>
  <si>
    <t xml:space="preserve">ABONOS, FERTILIZANTES Y PESTICIDAS</t>
  </si>
  <si>
    <t xml:space="preserve">Biofertizantes y pesticidas</t>
  </si>
  <si>
    <t xml:space="preserve">3303</t>
  </si>
  <si>
    <t xml:space="preserve">PLÁSTICOS EN FORMAS PRIMARIAS Y CAUCHO SINTÉTICO </t>
  </si>
  <si>
    <t xml:space="preserve">3304</t>
  </si>
  <si>
    <t xml:space="preserve">PINTURAS, BARNICES Y OTROS PRODUCTOS RELACIONADOS</t>
  </si>
  <si>
    <t xml:space="preserve">Químicos </t>
  </si>
  <si>
    <t xml:space="preserve">3305</t>
  </si>
  <si>
    <t xml:space="preserve">JABÓN, PREPARADOS PARA LIMPIAR, PERFUMES Y PREPARADOS DE TOCADOR</t>
  </si>
  <si>
    <t xml:space="preserve">Biocosméticos y cuidado personal</t>
  </si>
  <si>
    <t xml:space="preserve">3306</t>
  </si>
  <si>
    <t xml:space="preserve">PRODUCTOS QUÍMICOS N.C.P. Y FIBRAS TEXTILES MANUFACTURADAS</t>
  </si>
  <si>
    <t xml:space="preserve">3401</t>
  </si>
  <si>
    <t xml:space="preserve">PRODUCTOS FARMACÉUTICOS</t>
  </si>
  <si>
    <t xml:space="preserve">Biofarmacéuticos</t>
  </si>
  <si>
    <t xml:space="preserve">3501</t>
  </si>
  <si>
    <t xml:space="preserve">NEUMÁTICOS Y CÁMARAS DE AIRE </t>
  </si>
  <si>
    <t xml:space="preserve">3502</t>
  </si>
  <si>
    <t xml:space="preserve">OTROS PRODUCTOS DE CAUCHO</t>
  </si>
  <si>
    <t xml:space="preserve">3503</t>
  </si>
  <si>
    <t xml:space="preserve">PRODUCTOS DE PLÁSTICO</t>
  </si>
  <si>
    <t xml:space="preserve">3601</t>
  </si>
  <si>
    <t xml:space="preserve">CEMENTO, CAL Y YESO</t>
  </si>
  <si>
    <t xml:space="preserve">3701</t>
  </si>
  <si>
    <t xml:space="preserve">VIDRIOS Y PRODUCTOS DE VIDRIOS</t>
  </si>
  <si>
    <t xml:space="preserve">3702</t>
  </si>
  <si>
    <t xml:space="preserve">PRODUCTOS DE CERÁMICA REFRACTARIA NO ESTRUCTURALES</t>
  </si>
  <si>
    <t xml:space="preserve">3703</t>
  </si>
  <si>
    <t xml:space="preserve">PRODUCTOS REFRACTARIOS Y PRODUCTOS DE ARCILLA NO REFRACTARIOS ESTRUCTURALES</t>
  </si>
  <si>
    <t xml:space="preserve">3704</t>
  </si>
  <si>
    <t xml:space="preserve">ARTÍCULOS DE HORMIGÓN, CEMENTO Y YESO</t>
  </si>
  <si>
    <t xml:space="preserve">3705</t>
  </si>
  <si>
    <t xml:space="preserve">PIEDRAS TALLADAS PARA CONSTRUCCIÓN </t>
  </si>
  <si>
    <t xml:space="preserve">3706</t>
  </si>
  <si>
    <t xml:space="preserve">OTROS MINERALES NO METÁLICOS </t>
  </si>
  <si>
    <t xml:space="preserve">3801</t>
  </si>
  <si>
    <t xml:space="preserve">PRODUCTOS BÁSICOS DE HIERRO Y ACERO</t>
  </si>
  <si>
    <t xml:space="preserve">41-49</t>
  </si>
  <si>
    <t xml:space="preserve">3802</t>
  </si>
  <si>
    <t xml:space="preserve">PRODUCTOS PRIMARIOS DE METALES PRECIOSOS Y METALES NO FERROSOS</t>
  </si>
  <si>
    <t xml:space="preserve">3901</t>
  </si>
  <si>
    <t xml:space="preserve">PRODUCTOS METÁLICOS ESTRUCTURALES Y SUS PARTES</t>
  </si>
  <si>
    <t xml:space="preserve">3902</t>
  </si>
  <si>
    <t xml:space="preserve">OTROS PRODUCTOS METÁLICOS ELABORADOS </t>
  </si>
  <si>
    <t xml:space="preserve">4001</t>
  </si>
  <si>
    <t xml:space="preserve">MAQUINARIA PARA USOS GENERALES, SUS PARTES Y PIEZAS</t>
  </si>
  <si>
    <t xml:space="preserve">4002</t>
  </si>
  <si>
    <t xml:space="preserve">MAQUINARIA PARA USOS ESPECIALES, SUS PARTES Y PIEZAS; EXC. APARATOS DE USO DOMÉSTICO</t>
  </si>
  <si>
    <t xml:space="preserve">4003</t>
  </si>
  <si>
    <t xml:space="preserve">APARATOS DE USO DOMÉSTICO, SUS PARTES Y PIEZAS</t>
  </si>
  <si>
    <t xml:space="preserve">4004</t>
  </si>
  <si>
    <t xml:space="preserve">MAQUINARIA DE OFICINA Y DE CONTABILIDAD; SUS PARTES Y PIEZAS</t>
  </si>
  <si>
    <t xml:space="preserve">4005</t>
  </si>
  <si>
    <t xml:space="preserve">MAQUINARIA Y APARATOS ELÉCTRICOS, Y SUS PARTES Y PIEZAS</t>
  </si>
  <si>
    <t xml:space="preserve">4006</t>
  </si>
  <si>
    <t xml:space="preserve">EQUIPOS Y APARATOS PARA RADIO, TELEVISIÓN Y COMUNICACIONES</t>
  </si>
  <si>
    <t xml:space="preserve">4007</t>
  </si>
  <si>
    <t xml:space="preserve">APARATOS MÉDICOS, INSTRUMENTOS ÓPTICOS Y DE PRECISIÓN, RELOJES; SUS PARTES Y PIEZAS</t>
  </si>
  <si>
    <t xml:space="preserve">4008</t>
  </si>
  <si>
    <t xml:space="preserve">EQUIPOS DE TRANSPORTES, SUS PARTES Y PIEZAS</t>
  </si>
  <si>
    <t xml:space="preserve">4101</t>
  </si>
  <si>
    <t xml:space="preserve">MUEBLES</t>
  </si>
  <si>
    <t xml:space="preserve">4201</t>
  </si>
  <si>
    <t xml:space="preserve">JOYAS Y ARTÍCULOS CONEXOS</t>
  </si>
  <si>
    <t xml:space="preserve">4202</t>
  </si>
  <si>
    <t xml:space="preserve">INSTRUMENTOS MUSICALES</t>
  </si>
  <si>
    <t xml:space="preserve">4203</t>
  </si>
  <si>
    <t xml:space="preserve">ARTÍCULOS DE DEPORTE</t>
  </si>
  <si>
    <t xml:space="preserve">4204</t>
  </si>
  <si>
    <t xml:space="preserve">JUEGOS Y JUGUETES</t>
  </si>
  <si>
    <t xml:space="preserve">4205</t>
  </si>
  <si>
    <t xml:space="preserve">OTROS ARTÍCULOS MANUFACTURADOS N.C.P.</t>
  </si>
  <si>
    <t xml:space="preserve">4301</t>
  </si>
  <si>
    <t xml:space="preserve">DESPERDICIOS Y DESECHOS</t>
  </si>
  <si>
    <t xml:space="preserve">Productos agricolas_Residuos</t>
  </si>
  <si>
    <t xml:space="preserve">4401</t>
  </si>
  <si>
    <t xml:space="preserve">SERVICIOS DE MANTENIMIENTO, REPARACIÓN E INSTALACIÓN DE MAQUINARIA Y EQUIPOS COMERCIAL E INDUSTRIAL</t>
  </si>
  <si>
    <t xml:space="preserve">4402</t>
  </si>
  <si>
    <t xml:space="preserve">SERVICIOS DE MANUFACTURA</t>
  </si>
  <si>
    <t xml:space="preserve">4501</t>
  </si>
  <si>
    <t xml:space="preserve">ENERGÍA ELÉCTRICA, GAS, VAPOR Y AIRE ACONDICIONADO</t>
  </si>
  <si>
    <t xml:space="preserve">4502</t>
  </si>
  <si>
    <t xml:space="preserve">DISTRIBUCIÓN DE ENERGÍA ELÉCTRICA, GAS, VAPOR Y AIRE ACONDICIONADO</t>
  </si>
  <si>
    <t xml:space="preserve">4503</t>
  </si>
  <si>
    <t xml:space="preserve">TRANSMISIÓN DE ENERGÍA ELÉCTRICA</t>
  </si>
  <si>
    <t xml:space="preserve">4601</t>
  </si>
  <si>
    <t xml:space="preserve">AGUA NATURAL Y DISTRIBUCIÓN DE AGUA NATURAL</t>
  </si>
  <si>
    <t xml:space="preserve">4602</t>
  </si>
  <si>
    <t xml:space="preserve">EVACUACIÓN DE AGUAS RESIDUALES</t>
  </si>
  <si>
    <t xml:space="preserve">4603</t>
  </si>
  <si>
    <t xml:space="preserve">RECOGIDA, TRATAMIENTO Y ELIMINACIÓN DE DESECHOS</t>
  </si>
  <si>
    <t xml:space="preserve">4701</t>
  </si>
  <si>
    <t xml:space="preserve">EDIFICACIONES RESIDENCIALES</t>
  </si>
  <si>
    <t xml:space="preserve">4702</t>
  </si>
  <si>
    <t xml:space="preserve">EDIFICACIONES NO RESIDENCIALES</t>
  </si>
  <si>
    <t xml:space="preserve">4703</t>
  </si>
  <si>
    <t xml:space="preserve">OBRAS DE INGENIERÍA CIVIL</t>
  </si>
  <si>
    <t xml:space="preserve">4704</t>
  </si>
  <si>
    <t xml:space="preserve">SERVICIOS DE CONSTRUCCIÓN</t>
  </si>
  <si>
    <t xml:space="preserve">4801</t>
  </si>
  <si>
    <t xml:space="preserve">SERVICIOS DE COMERCIO</t>
  </si>
  <si>
    <t xml:space="preserve">4802</t>
  </si>
  <si>
    <t xml:space="preserve">SERVICIOS DE REPARACIÓN Y MANTENIMIENTO DE VEHÍCULOS AUTOMOTORES Y MOTOCICLETAS</t>
  </si>
  <si>
    <t xml:space="preserve">4901</t>
  </si>
  <si>
    <t xml:space="preserve">SERVICIOS DE TRANSPORTE DE PASAJEROS POR VÍA TERRESTRE</t>
  </si>
  <si>
    <t xml:space="preserve">4902</t>
  </si>
  <si>
    <t xml:space="preserve">SERVICIOS DE TRANSPORTE DE CARGA POR VÍA TERRESTRE</t>
  </si>
  <si>
    <t xml:space="preserve">4903</t>
  </si>
  <si>
    <t xml:space="preserve">SERVICIOS DE TRANSPORTE POR VÍA FÉRREA</t>
  </si>
  <si>
    <t xml:space="preserve">4904</t>
  </si>
  <si>
    <t xml:space="preserve">SERVICIOS DE TRANSPORTE POR TUBERÍAS</t>
  </si>
  <si>
    <t xml:space="preserve">4905</t>
  </si>
  <si>
    <t xml:space="preserve">SERVICIOS DE TRANSPORTE MARÍTIMO POR VÍA ACUÁTICA</t>
  </si>
  <si>
    <t xml:space="preserve">4906</t>
  </si>
  <si>
    <t xml:space="preserve">SERVICIOS DE TRANSPORTE DE PASAJEROS POR VÍA AÉREA</t>
  </si>
  <si>
    <t xml:space="preserve">4907</t>
  </si>
  <si>
    <t xml:space="preserve">SERVICIOS DE TRANSPORTE DE CARGA VÍA AÉREA</t>
  </si>
  <si>
    <t xml:space="preserve">4908</t>
  </si>
  <si>
    <t xml:space="preserve">SERVICIOS DE ALMACENAMIENTO Y DEPÓSITO</t>
  </si>
  <si>
    <t xml:space="preserve">4909</t>
  </si>
  <si>
    <t xml:space="preserve">SERVICIOS DE APOYO AL TRANSPORTE POR VÍA ACUÁTICA</t>
  </si>
  <si>
    <t xml:space="preserve">4910</t>
  </si>
  <si>
    <t xml:space="preserve">SERVICIOS DE AEROPUERTOS</t>
  </si>
  <si>
    <t xml:space="preserve">4911</t>
  </si>
  <si>
    <t xml:space="preserve">OTROS SERVICIOS DE APOYO AL TRANSPORTE</t>
  </si>
  <si>
    <t xml:space="preserve">5001</t>
  </si>
  <si>
    <t xml:space="preserve">SERVICIOS POSTALES Y DE MENSAJERÍA</t>
  </si>
  <si>
    <t xml:space="preserve">5101</t>
  </si>
  <si>
    <t xml:space="preserve">SERVICIOS DE ALOJAMIENTO</t>
  </si>
  <si>
    <t xml:space="preserve">5102</t>
  </si>
  <si>
    <t xml:space="preserve">SERVICIOS DE SUMINISTRO DE COMIDA Y BEBIDAS </t>
  </si>
  <si>
    <t xml:space="preserve">5201</t>
  </si>
  <si>
    <t xml:space="preserve">SERVICIOS DE RADIO, DE TELEVISIÓN, PELÍCULAS, VIDEOS Y OTROS AFINES </t>
  </si>
  <si>
    <t xml:space="preserve">5202</t>
  </si>
  <si>
    <t xml:space="preserve">SERVICIOS DE INFORMACIÓN, PROGRAMACIÓN Y CONSULTORÍA INFORMÁTICA, EDICIÓN DE PROGRAMAS INFORMÁTICOS Y AFINES</t>
  </si>
  <si>
    <t xml:space="preserve">5203</t>
  </si>
  <si>
    <t xml:space="preserve">SERVICIOS DE TELEFONÍA Y OTROS SERVICIOS DE TELECOMUNICACIONES</t>
  </si>
  <si>
    <t xml:space="preserve">5301</t>
  </si>
  <si>
    <t xml:space="preserve">SERVICIOS FINANCIEROS, EXCEPTO SEGUROS Y FONDOS DE PENSIONES</t>
  </si>
  <si>
    <t xml:space="preserve">5302</t>
  </si>
  <si>
    <t xml:space="preserve">SERVICIOS DE INTERMEDIACIÓN FINANCIERA MEDIDOS INDIRECTAMENTE (SIFMI)</t>
  </si>
  <si>
    <t xml:space="preserve">5303</t>
  </si>
  <si>
    <t xml:space="preserve">SERVICIOS DE SEGUROS, REASEGUROS Y FONDOS DE PENSIONES</t>
  </si>
  <si>
    <t xml:space="preserve">5304</t>
  </si>
  <si>
    <t xml:space="preserve">SERVICIOS AUXILIARES DE LA INTERMEDIACIÓN FINANCIERA DISTINTOS DE LOS SERVICIOS DE SEGUROS Y PENSIONES</t>
  </si>
  <si>
    <t xml:space="preserve">5305</t>
  </si>
  <si>
    <t xml:space="preserve">SERVICIOS AUXILIARES DE SEGURO Y FONDOS DE PENSIONES</t>
  </si>
  <si>
    <t xml:space="preserve">5401</t>
  </si>
  <si>
    <t xml:space="preserve">SERVICIOS DE ALQUILER DE VIVIENDA</t>
  </si>
  <si>
    <t xml:space="preserve">5402</t>
  </si>
  <si>
    <t xml:space="preserve">OTROS SERVICIOS INMOBILIARIOS</t>
  </si>
  <si>
    <t xml:space="preserve">5501</t>
  </si>
  <si>
    <t xml:space="preserve">SERVICIOS JURÍDICOS</t>
  </si>
  <si>
    <t xml:space="preserve">5502</t>
  </si>
  <si>
    <t xml:space="preserve">SERVICIOS DE CONTABILIDAD, AUDITORÍA, TENEDURÍA DE LIBROS Y CONSULTORÍA FISCAL</t>
  </si>
  <si>
    <t xml:space="preserve">5601</t>
  </si>
  <si>
    <t xml:space="preserve">SERVICIOS DE ARQUITECTURA E INGENIERÍA, ENSAYOS Y ANÁLISIS TÉCNICO</t>
  </si>
  <si>
    <t xml:space="preserve">5701</t>
  </si>
  <si>
    <t xml:space="preserve">SERVICIOS DE INVESTIGACIÓN CIENTÍFICAS Y DESARROLLO</t>
  </si>
  <si>
    <t xml:space="preserve">5801</t>
  </si>
  <si>
    <t xml:space="preserve">SERVICIOS DE PUBLICIDAD Y ESTUDIOS DE MERCADO</t>
  </si>
  <si>
    <t xml:space="preserve">5901</t>
  </si>
  <si>
    <t xml:space="preserve">SERVICIOS VETERINARIOS</t>
  </si>
  <si>
    <t xml:space="preserve">5902</t>
  </si>
  <si>
    <t xml:space="preserve">OTROS SERVICIOS PROFESIONALES, TÉCNICOS Y DE NEGOCIOS</t>
  </si>
  <si>
    <t xml:space="preserve">6001</t>
  </si>
  <si>
    <t xml:space="preserve">SERVICIOS DE ALQUILER O ARRENDAMIENTO DE VEHÍCULOS, MAQUINARIAS Y EQUIPO SIN OPERARIOS</t>
  </si>
  <si>
    <t xml:space="preserve">6002</t>
  </si>
  <si>
    <t xml:space="preserve">SERVICIOS DE ALQUILER O ARRENDAMIENTOS DE OTROS BIENES</t>
  </si>
  <si>
    <t xml:space="preserve">6003</t>
  </si>
  <si>
    <t xml:space="preserve">SERVICIOS DE AUTORIZACIÓN PARA EL DERECHO DE USO DE LA PROPIEDAD INTELECTUAL Y PRODUCTOS SIMILARES</t>
  </si>
  <si>
    <t xml:space="preserve">6004</t>
  </si>
  <si>
    <t xml:space="preserve">SERVICIOS DE AGENCIAS DE EMPLEO Y DE DOTACIÓN DE RECURSOS HUMANOS</t>
  </si>
  <si>
    <t xml:space="preserve">6005</t>
  </si>
  <si>
    <t xml:space="preserve">SERVICIOS AGENCIAS DE VIAJES, OPERADORES TURÍSTICOS Y ACTIVIDADES CONEXAS</t>
  </si>
  <si>
    <t xml:space="preserve">6006</t>
  </si>
  <si>
    <t xml:space="preserve">SERVICIOS DE SEGURIDAD, SISTEMA DE SEGURIDAD E INVESTIGACIÓN PRIVADA</t>
  </si>
  <si>
    <t xml:space="preserve">6007</t>
  </si>
  <si>
    <t xml:space="preserve">SERVICIOS DE LIMPIEZA</t>
  </si>
  <si>
    <t xml:space="preserve">6008</t>
  </si>
  <si>
    <t xml:space="preserve">SERVICIOS TELEFÓNICOS DE CENTROS DE LLAMADAS</t>
  </si>
  <si>
    <t xml:space="preserve">6009</t>
  </si>
  <si>
    <t xml:space="preserve">SERVICIOS ADMINISTRATIVO Y DE APOYO DE OFICINA Y OTROS SERVICIOS DE APOYO A LAS EMPRESAS</t>
  </si>
  <si>
    <t xml:space="preserve">6101</t>
  </si>
  <si>
    <t xml:space="preserve">SERVICIOS ADMINISTRATIVOS DEL GOBIERNO</t>
  </si>
  <si>
    <t xml:space="preserve">6102</t>
  </si>
  <si>
    <t xml:space="preserve">SERVICIOS PARA LA COMUNIDAD EN GENERAL</t>
  </si>
  <si>
    <t xml:space="preserve">6103</t>
  </si>
  <si>
    <t xml:space="preserve">SERVICIOS ADMINISTRATIVOS RELACIONADOS CON LOS SISTEMAS DE SEGURIDAD SOCIAL Y AFILIACIÓN OBLIGATORIAS</t>
  </si>
  <si>
    <t xml:space="preserve">6201</t>
  </si>
  <si>
    <t xml:space="preserve">SERVICIOS DE ENSEÑANZA</t>
  </si>
  <si>
    <t xml:space="preserve">6301</t>
  </si>
  <si>
    <t xml:space="preserve">SERVICIOS DE HOSPITAL, MÉDICOS Y DENTALES</t>
  </si>
  <si>
    <t xml:space="preserve">6302</t>
  </si>
  <si>
    <t xml:space="preserve">OTROS SERVICIOS DE LA SALUD HUMANA </t>
  </si>
  <si>
    <t xml:space="preserve">6303</t>
  </si>
  <si>
    <t xml:space="preserve">SERVICIOS DE ATENCIÓN EN INSTITUCIONES Y DE ASISTENCIA SOCIAL</t>
  </si>
  <si>
    <t xml:space="preserve">6401</t>
  </si>
  <si>
    <t xml:space="preserve">SERVICIOS ARTÍSTICOS, ENTRETENIMIENTO Y RECREATIVOS</t>
  </si>
  <si>
    <t xml:space="preserve">6501</t>
  </si>
  <si>
    <t xml:space="preserve">SERVICIOS DE ASOCIACIONES U ORGANIZACIONES </t>
  </si>
  <si>
    <t xml:space="preserve">6502</t>
  </si>
  <si>
    <t xml:space="preserve">REPARACIÓN Y MANTENIMIENTO DE COMPUTADORAS Y ENSERES DE USO PERSONAL Y DOMÉSTICO</t>
  </si>
  <si>
    <t xml:space="preserve">6503</t>
  </si>
  <si>
    <t xml:space="preserve">OTRAS ACTIVIDADES DE SERVICIO</t>
  </si>
  <si>
    <t xml:space="preserve">6601</t>
  </si>
  <si>
    <t xml:space="preserve">SERVICIOS DOMÉSTICOS</t>
  </si>
  <si>
    <t xml:space="preserve">Ajustes:</t>
  </si>
  <si>
    <t xml:space="preserve">CIF/FOB SOBRE IMPORTACIONES</t>
  </si>
  <si>
    <t xml:space="preserve">6701</t>
  </si>
  <si>
    <t xml:space="preserve">COMPRAS DIRECTAS EN EL EXTERIOR POR RESIDENTES (EMBAJADAS) </t>
  </si>
  <si>
    <t xml:space="preserve">6702</t>
  </si>
  <si>
    <t xml:space="preserve">COMPRAS DIRECTAS EN EL EXTERIOR POR RESIDENTES (VIAJES) </t>
  </si>
  <si>
    <t xml:space="preserve">6703</t>
  </si>
  <si>
    <t xml:space="preserve">COMPRAS DIRECTAS EN EL TERRITORIO NACIONAL POR NO RESIDENTES (EMBAJADAS) </t>
  </si>
  <si>
    <t xml:space="preserve">6704</t>
  </si>
  <si>
    <t xml:space="preserve">COMPRAS DIRECTAS EN EL TERRITORIO NACIONAL POR NO RESIDENTES (VIAJES) </t>
  </si>
  <si>
    <t xml:space="preserve">B.1b</t>
  </si>
  <si>
    <t xml:space="preserve">Productos de la agricultura, la horticultura y la jardinería comercial</t>
  </si>
  <si>
    <t xml:space="preserve">Biomasa que se cultiva para producir alimentos, forrajes, fibras y energía</t>
  </si>
  <si>
    <t xml:space="preserve">Productos de la agricultura, la silvicultura yla pesca</t>
  </si>
  <si>
    <t xml:space="preserve">Animales vivos y productos animales (excepto la carne)</t>
  </si>
  <si>
    <t xml:space="preserve">Productos forestales y de la tala</t>
  </si>
  <si>
    <t xml:space="preserve">Biomasa forestal, sobre todo la que se cultiva para su aprovechamiento en las industrias forestal y del papel, y aquella extraída legalmente de ecosistemas naturales</t>
  </si>
  <si>
    <t xml:space="preserve">Pescado y otros productos de la pesca</t>
  </si>
  <si>
    <t xml:space="preserve">Biomasa de los recursos marinos y la producida mediante la acuicultura</t>
  </si>
  <si>
    <t xml:space="preserve">Minerales, combustibles y derivados</t>
  </si>
  <si>
    <t xml:space="preserve">No Bioeconomía</t>
  </si>
  <si>
    <t xml:space="preserve">Minerales; electricidad, gas y agua</t>
  </si>
  <si>
    <t xml:space="preserve">Electricidad y agua</t>
  </si>
  <si>
    <t xml:space="preserve">17.5</t>
  </si>
  <si>
    <t xml:space="preserve">Conocimiento, procesos y servicios relacionados</t>
  </si>
  <si>
    <t xml:space="preserve">Bioeconomía extendida</t>
  </si>
  <si>
    <t xml:space="preserve">Agua natural</t>
  </si>
  <si>
    <t xml:space="preserve">Carne, pescado, frutas, vegetales, aceites y grasas</t>
  </si>
  <si>
    <t xml:space="preserve">Productos alimenticios, bebidas y tabaco; textiles, prendas de vestir y productos de cuero</t>
  </si>
  <si>
    <t xml:space="preserve">Productos lácteos y productos de huevo</t>
  </si>
  <si>
    <t xml:space="preserve">Productos de molienda, productos con almidón o maicena; otros productos de alimenticios</t>
  </si>
  <si>
    <t xml:space="preserve">Bebidas</t>
  </si>
  <si>
    <t xml:space="preserve">Productos del tabaco</t>
  </si>
  <si>
    <t xml:space="preserve">Hilados e hilos; tejidos y telas afelpadas</t>
  </si>
  <si>
    <t xml:space="preserve">Artículos textiles que no sean prendas de vestir</t>
  </si>
  <si>
    <t xml:space="preserve">Tejidos de punto o ganchillo; prendas de vestir</t>
  </si>
  <si>
    <t xml:space="preserve">Cuero y productos de cuero; calzado</t>
  </si>
  <si>
    <t xml:space="preserve">Productos de materiales de madera, corcho, cestería y espartería</t>
  </si>
  <si>
    <t xml:space="preserve">Otros bienes transportables, excepto productos metálicos, maquinaria y equipo</t>
  </si>
  <si>
    <t xml:space="preserve">Pulpa de papel, papel y productos de papel; impresos, y artículos similares</t>
  </si>
  <si>
    <t xml:space="preserve">Químicos orgánicos básicos</t>
  </si>
  <si>
    <t xml:space="preserve">Químicos básicos</t>
  </si>
  <si>
    <t xml:space="preserve">Otros químicos, plásticos, caucho y fibras sintéticas</t>
  </si>
  <si>
    <t xml:space="preserve">Extractos tintóreos o curtientes; taninos y sus derivados; materias colorantes n.c.p.</t>
  </si>
  <si>
    <t xml:space="preserve">Productos minerales naturales activados; negro animal; aceite de resina; aceites terpénicos producidos por tratamiento de madera de coníferas; dipenteno crudo; paracimeno crudo; aceite de pino; colofonia y ácidos resínicos, y sus derivados; esencias de colofonia y aceites de colofonia, alquitrán de madera; aceites de alquitrán de madera, creosota de madera, nafta de madera, resina vegetal</t>
  </si>
  <si>
    <t xml:space="preserve">Fertilizantes y pesticidas</t>
  </si>
  <si>
    <t xml:space="preserve">Pinturas y barnices y productos relacionados; colores para la pintura artística; tinta</t>
  </si>
  <si>
    <t xml:space="preserve">Otros productos químicos; Fibras textiles artificiales o sintéticas</t>
  </si>
  <si>
    <t xml:space="preserve">Productos farmacéuticos</t>
  </si>
  <si>
    <t xml:space="preserve">Jabón, preparados para la limpieza, perfumes y preparados de tocador</t>
  </si>
  <si>
    <t xml:space="preserve">Vidrios y productos de vidrio y otros productos no metálicos n.c.p.</t>
  </si>
  <si>
    <t xml:space="preserve">Muebles; otros bienes transportables n.c.p.</t>
  </si>
  <si>
    <t xml:space="preserve">Desperdicios o desechos</t>
  </si>
  <si>
    <t xml:space="preserve">Biomasa residual en los sectores agropecuario, pesca y acuacultura, forestal y agroindustrial</t>
  </si>
  <si>
    <t xml:space="preserve">Metales, Maquianria, equipos y transporte</t>
  </si>
  <si>
    <t xml:space="preserve">Productos metálicos, maquinaria y equipo</t>
  </si>
  <si>
    <t xml:space="preserve">Construcciones y servicios de construcción</t>
  </si>
  <si>
    <t xml:space="preserve">Servicios comerciales de distribución; alojamiento, servicios de suministro de comidas y bebidas; servicios de transporte; y servicios de distribución de electricidad, gas y agua</t>
  </si>
  <si>
    <t xml:space="preserve">Alojamiento, servicios de suministro de comidas y bebidas</t>
  </si>
  <si>
    <t xml:space="preserve">Distribución de electricidad, gas y agua (por cuenta propia)</t>
  </si>
  <si>
    <t xml:space="preserve">Servicios de investigación y desarrollo</t>
  </si>
  <si>
    <t xml:space="preserve">Servicios prestados a las empresas y servicios de producción</t>
  </si>
  <si>
    <t xml:space="preserve">Otros servicios profesionales, científicos y técnicos</t>
  </si>
  <si>
    <t xml:space="preserve">Servicios de apoyo a la agricultura,la caza, la silvicutura, la pesca, la minería y los servicios públicos</t>
  </si>
  <si>
    <t xml:space="preserve">Servicios de alcantarillado, recolección, tratamiento y disposición de desechos y otros servicios de saneamiento ambiental</t>
  </si>
  <si>
    <t xml:space="preserve">Servicios para la comunidad, sociales y personales</t>
  </si>
  <si>
    <t xml:space="preserve">Nom_Loc_Prod_PAN</t>
  </si>
  <si>
    <t xml:space="preserve">CEREALES</t>
  </si>
  <si>
    <t xml:space="preserve">LEGUMBRES, RAÍCES Y TUBÉRCULOS</t>
  </si>
  <si>
    <t xml:space="preserve">FRUTAS Y NUECES</t>
  </si>
  <si>
    <t xml:space="preserve">SEMILLAS Y FRUTOS OLEAGINOSOS</t>
  </si>
  <si>
    <t xml:space="preserve">PLANTAS VIVAS, FLORES Y CAPULLOS</t>
  </si>
  <si>
    <t xml:space="preserve">CULTIVOS DE PLANTAS BEBESTIBLES Y ESPECIES MOLIDAS O NO</t>
  </si>
  <si>
    <t xml:space="preserve">TABACO  SIN ELABORAR</t>
  </si>
  <si>
    <t xml:space="preserve">PLANTAS UTILIZADAS EN LA ELABORACIÓN DE AZUCAR</t>
  </si>
  <si>
    <t xml:space="preserve">MATERIAS VEGETALES EN BRUTO</t>
  </si>
  <si>
    <t xml:space="preserve">ANIMALES VIVOS</t>
  </si>
  <si>
    <t xml:space="preserve">PRODUCTOS DE ORIGEN ANIMAL</t>
  </si>
  <si>
    <t xml:space="preserve">PRODUCTOS DE LA SILVICULTURA Y LA EXTRACCIÓN DE MADERA</t>
  </si>
  <si>
    <t xml:space="preserve">PESCADO Y OTROS PRODUCTOS DE LA PESCA</t>
  </si>
  <si>
    <t xml:space="preserve">MINERALES METÁLICOS</t>
  </si>
  <si>
    <t xml:space="preserve">PIEDRA, ARENA Y ARCILLA</t>
  </si>
  <si>
    <t xml:space="preserve">SAL COMÚN Y CLORUDO DE SODIO</t>
  </si>
  <si>
    <t xml:space="preserve">OTROS MINERALES</t>
  </si>
  <si>
    <t xml:space="preserve">CARNE Y PRODUCTOS DE CARNE, Y PESCADO PREPARADO O EN CONSERVAS</t>
  </si>
  <si>
    <t xml:space="preserve">FRUTAS, LEGUMBRES, ACEITES Y GRASAS</t>
  </si>
  <si>
    <t xml:space="preserve">PRODUCTOS LÁCTEOS</t>
  </si>
  <si>
    <t xml:space="preserve">PRODUCTOS DE MOLINERIA Y ALMIDONES, OTROS PRODUCTOS ALIMENTICIOS</t>
  </si>
  <si>
    <t xml:space="preserve">BEBIDAS</t>
  </si>
  <si>
    <t xml:space="preserve">FIBRAS TEXTILES, PRODUCTOS TEXTILES Y PRENDAS DE VESTIR</t>
  </si>
  <si>
    <t xml:space="preserve">CUERO Y PRODUCTOS DE CUERO; CALZADO</t>
  </si>
  <si>
    <t xml:space="preserve">PRODUCTOS DE MADERA, CORCHO, PAJA Y MATERIALES TRENZABLES</t>
  </si>
  <si>
    <t xml:space="preserve">PASTA DE PAPEL, PAPEL Y PRODUCTOS DE PAPEL; IMPRESOS Y ARTÍCULOS ANÁLOGOS</t>
  </si>
  <si>
    <t xml:space="preserve">PRODUCTOS QUÍMICAS BÁSICOS Y OTROS; FIBRAS TEXTILES MANUFACTURADAS</t>
  </si>
  <si>
    <t xml:space="preserve">PRODUCTOS FARMACÉUTICOS, BOTÁNICOS Y SUST. QUIM. CONEXAS</t>
  </si>
  <si>
    <t xml:space="preserve">PRODUCTOS DE CAUCHO Y PRODUCTOS PLÁSTICOS</t>
  </si>
  <si>
    <t xml:space="preserve">VIDRIO Y PRODUCTOS DE VIDRIO Y OTROS PRODUCTOS NO METÁLICOS</t>
  </si>
  <si>
    <t xml:space="preserve">METALES COMUNES</t>
  </si>
  <si>
    <t xml:space="preserve">PRODUCTOS DE LA REFINACIÓN DE PETRÓLEO</t>
  </si>
  <si>
    <t xml:space="preserve">MUEBLES; OTROS BIENES TRANSPORTABLES, N.C.P.</t>
  </si>
  <si>
    <t xml:space="preserve">DESPERDICIOS O DESECHOS</t>
  </si>
  <si>
    <t xml:space="preserve">PRODUCTOS METÁLICOS ELABORADOS, EXCEPTO MAQUINARIA Y EQUIPO</t>
  </si>
  <si>
    <t xml:space="preserve">MAQUINARIA, EQUIPO Y APARATOS ELÉCTRICOS</t>
  </si>
  <si>
    <t xml:space="preserve">ELECTRICIDAD Y AGUA</t>
  </si>
  <si>
    <t xml:space="preserve">CONSTRUCCIÓN Y SERVICIOS DE CONSTRUCCIÓN</t>
  </si>
  <si>
    <t xml:space="preserve">SERVICOS DE COMERCIO, REPARACIÓN Y MANTENIMIENTO DE VEHÍCULOS Y ENSERES </t>
  </si>
  <si>
    <t xml:space="preserve">SERVICIOS DE HOTELES Y RESTAURANTES</t>
  </si>
  <si>
    <t xml:space="preserve">SERVICIO DE TRANSPORTE Y ALMACENAMIENTO </t>
  </si>
  <si>
    <t xml:space="preserve">SERVICIOS POSTALES Y TELECOMUNICACIONES</t>
  </si>
  <si>
    <t xml:space="preserve">SERVICIOS FINANCIEROS Y SERVICIOS RELACIONADOS</t>
  </si>
  <si>
    <t xml:space="preserve">SERVICIOS INMOBILIARIOS</t>
  </si>
  <si>
    <t xml:space="preserve">SERVICIOS DE ALQUILER Y ARRENDAMIENTO </t>
  </si>
  <si>
    <t xml:space="preserve">SERVICIOS DE INFORMÁTICA Y ACTIVIDADES CONEXAS</t>
  </si>
  <si>
    <t xml:space="preserve">SERVICIOS JURÍDICOS Y CONTABLES</t>
  </si>
  <si>
    <t xml:space="preserve">SERVICIOS INVESTIGACION Y DESARROLLO, ASESORAMIENTO A LAS EMPRESAS E INVESTIGACION DE MERCADOS</t>
  </si>
  <si>
    <t xml:space="preserve">SERVICIOS DE PUBLICIDAD </t>
  </si>
  <si>
    <t xml:space="preserve">SERVICIOS DE AGENCIAS DE SEGURIDAD Y OTROS SERVICIOS DE APOYO A LAS EMPRESAS</t>
  </si>
  <si>
    <t xml:space="preserve">SERVICIOS AGROPECUARIOS EXCEPTO SILVICULTURA Y PESCA, SERVICIOS DE EXPLOTACION MINERA, SERVICIOS DE DISTRIBUCION DE AGUA, GAS Y ENERGIA POR COMISION O POR CONTRATO</t>
  </si>
  <si>
    <t xml:space="preserve">SERVICIOS DE MANUFACTURA E INSUMOS FÍSICOS QUE SON PROPIEDAD DE OTROS </t>
  </si>
  <si>
    <t xml:space="preserve">SERVICIOS DE MANTENIMIENTO, REPARACIÓN E INSTALACION DE MAQUINARIA Y EQUIPO</t>
  </si>
  <si>
    <t xml:space="preserve">SERVICIOS DE APU Y OTROS SERVICIOS PARA LA COMUNIDAD EN GENERAL; SERVICIOS DE SEGURIDAD SOCIAL DE AFILIACIÓN OBLIGATORIA</t>
  </si>
  <si>
    <t xml:space="preserve">SERVICOS DE ENSEÑANZA</t>
  </si>
  <si>
    <t xml:space="preserve">SERVICIOS DE SALUD Y SERVICIOS SOCIALES DE ASISTENCIA</t>
  </si>
  <si>
    <t xml:space="preserve">OTROS SERVICIOS SOCIALES Y PERSONALES </t>
  </si>
  <si>
    <t xml:space="preserve">Correlativo Bioeconomía Productos</t>
  </si>
  <si>
    <t xml:space="preserve">Bioeconomía Productos</t>
  </si>
  <si>
    <t xml:space="preserve">(empty)</t>
  </si>
  <si>
    <t xml:space="preserve">Total Result</t>
  </si>
  <si>
    <t xml:space="preserve">id_ntg2</t>
  </si>
  <si>
    <t xml:space="preserve">ntg2</t>
  </si>
  <si>
    <t xml:space="preserve">corr_ntg</t>
  </si>
  <si>
    <t xml:space="preserve">id_ntg</t>
  </si>
  <si>
    <t xml:space="preserve">ntg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</si>
</sst>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444444"/>
      <name val="Calibri"/>
      <family val="2"/>
      <charset val="1"/>
    </font>
    <font>
      <sz val="11"/>
      <name val="Calibri"/>
      <family val="2"/>
      <charset val="1"/>
    </font>
    <font>
      <sz val="11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BF00"/>
        <bgColor rgb="FFFF9900"/>
      </patternFill>
    </fill>
    <fill>
      <patternFill patternType="solid">
        <fgColor rgb="FF81D41A"/>
        <bgColor rgb="FFA9D18E"/>
      </patternFill>
    </fill>
    <fill>
      <patternFill patternType="solid">
        <fgColor rgb="FF8E86AE"/>
        <bgColor rgb="FF808080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rgb="FF003300"/>
      </patternFill>
    </fill>
    <fill>
      <patternFill patternType="solid">
        <fgColor theme="9" tint="0.3999"/>
        <bgColor rgb="FF99CCFF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5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5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5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5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5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1" fillId="5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11" fillId="0" borderId="1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0" borderId="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5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3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8" xfId="2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27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20" xfId="27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2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3 2" xfId="22"/>
    <cellStyle name="Pivot Table Category" xfId="23"/>
    <cellStyle name="Pivot Table Corner" xfId="24"/>
    <cellStyle name="Pivot Table Field" xfId="25"/>
    <cellStyle name="Pivot Table Result" xfId="26"/>
    <cellStyle name="Pivot Table Title" xfId="27"/>
    <cellStyle name="Pivot Table Value" xfId="28"/>
  </cellStyles>
  <dxfs count="3"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9900"/>
      <rgbColor rgb="FFFF6600"/>
      <rgbColor rgb="FF666699"/>
      <rgbColor rgb="FF8E86AE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<Relationship Id="rId18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3" createdVersion="3">
  <cacheSource type="worksheet">
    <worksheetSource ref="A1:J64" sheet="columnas"/>
  </cacheSource>
  <cacheFields count="10">
    <cacheField name="Columnas" numFmtId="0">
      <sharedItems count="63">
        <s v="PANoc001"/>
        <s v="PANoc002"/>
        <s v="PANoc003"/>
        <s v="PANoc004"/>
        <s v="PANoc005"/>
        <s v="PANoc006"/>
        <s v="PANoc007"/>
        <s v="PANoc008"/>
        <s v="PANoc009"/>
        <s v="PANoc010"/>
        <s v="PANoc011"/>
        <s v="PANoc012"/>
        <s v="PANoc013"/>
        <s v="PANoc014"/>
        <s v="PANoc015"/>
        <s v="PANoc016"/>
        <s v="PANoc017"/>
        <s v="PANoc018"/>
        <s v="PANoc019"/>
        <s v="PANoc020"/>
        <s v="PANoc021"/>
        <s v="PANoc022"/>
        <s v="PANoc023"/>
        <s v="PANoc024"/>
        <s v="PANoc025"/>
        <s v="PANoc026"/>
        <s v="PANoc027"/>
        <s v="PANoc028"/>
        <s v="PANoc029"/>
        <s v="PANoc030"/>
        <s v="PANoc031"/>
        <s v="PANoc032"/>
        <s v="PANoc033"/>
        <s v="PANoc034"/>
        <s v="PANoc035"/>
        <s v="PANoc036"/>
        <s v="PANoc037"/>
        <s v="PANoc038"/>
        <s v="PANoc039"/>
        <s v="PANoc040"/>
        <s v="PANoc041"/>
        <s v="PANoc042"/>
        <s v="PANoc043"/>
        <s v="PANoc044"/>
        <s v="PANoc045"/>
        <s v="PANoc046"/>
        <s v="PANoc047"/>
        <s v="PANoc048"/>
        <s v="PANoc049"/>
        <s v="PANoc050"/>
        <s v="PANoc051"/>
        <s v="PANoc052"/>
        <s v="PANoc053"/>
        <s v="PANoc054"/>
        <s v="PANoc055"/>
        <s v="PANoc056"/>
        <s v="PANoc057"/>
        <s v="PANoc058"/>
        <s v="PANoc059"/>
        <s v="PANoc060"/>
        <s v="PANoc061"/>
        <s v="PANoc062"/>
        <s v="PANoc063"/>
      </sharedItems>
    </cacheField>
    <cacheField name="Código Transacciones" numFmtId="0">
      <sharedItems count="1">
        <s v="P11"/>
      </sharedItems>
    </cacheField>
    <cacheField name="Área transaccional columnas No." numFmtId="0">
      <sharedItems count="1">
        <s v="ATC01"/>
      </sharedItems>
    </cacheField>
    <cacheField name="Área transaccional" numFmtId="0">
      <sharedItems count="2">
        <s v="Producción / Consumo intermedio"/>
        <s v="Producción de mercado"/>
      </sharedItems>
    </cacheField>
    <cacheField name="Transacciones" numFmtId="0">
      <sharedItems count="1">
        <s v="Producción de mercado"/>
      </sharedItems>
    </cacheField>
    <cacheField name="Correlativo Transacciones Agregadas" numFmtId="0">
      <sharedItems containsSemiMixedTypes="0" containsString="0" containsNumber="1" containsInteger="1" minValue="1" maxValue="1" count="1">
        <n v="1"/>
      </sharedItems>
    </cacheField>
    <cacheField name="Código Transacciones Agregadas" numFmtId="0">
      <sharedItems count="1">
        <s v="P1"/>
      </sharedItems>
    </cacheField>
    <cacheField name="Transacciones Agregadas" numFmtId="0">
      <sharedItems count="1">
        <s v="Producción"/>
      </sharedItems>
    </cacheField>
    <cacheField name="Código Clasificación Actividades" numFmtId="0">
      <sharedItems containsMixedTypes="1" containsNumber="1" minValue="39.2" maxValue="39.2" count="63">
        <n v="39.2"/>
        <s v="01.1"/>
        <s v="02.1"/>
        <s v="03.1"/>
        <s v="04.1"/>
        <s v="05.1"/>
        <s v="06.1"/>
        <s v="07.1"/>
        <s v="08.1"/>
        <s v="08.2"/>
        <s v="08.3"/>
        <s v="08.4"/>
        <s v="09.1"/>
        <s v="10.1"/>
        <s v="11.1"/>
        <s v="12.1"/>
        <s v="13.1"/>
        <s v="14.1"/>
        <s v="15.1"/>
        <s v="16.1"/>
        <s v="17.1"/>
        <s v="18.1"/>
        <s v="19.1"/>
        <s v="19.2"/>
        <s v="20.1"/>
        <s v="21.1"/>
        <s v="22.1"/>
        <s v="23.1"/>
        <s v="24.1"/>
        <s v="25.1"/>
        <s v="26.1"/>
        <s v="27.1"/>
        <s v="28.1"/>
        <s v="29.1"/>
        <s v="30.1"/>
        <s v="31.1"/>
        <s v="31.2"/>
        <s v="32.1"/>
        <s v="33.1"/>
        <s v="34.1"/>
        <s v="35.1"/>
        <s v="35.2 M"/>
        <s v="36.1 M"/>
        <s v="37.1"/>
        <s v="38.1"/>
        <s v="38.2"/>
        <s v="38.3"/>
        <s v="39.1"/>
        <s v="39.3"/>
        <s v="39.4"/>
        <s v="39.5"/>
        <s v="39.6"/>
        <s v="39.7"/>
        <s v="39.8"/>
        <s v="39.9"/>
        <s v="40.1"/>
        <s v="40.2"/>
        <s v="41.1 M"/>
        <s v="41.2"/>
        <s v="42.1"/>
        <s v="42.2"/>
        <s v="42.3"/>
        <s v="43.1 M"/>
      </sharedItems>
    </cacheField>
    <cacheField name="Descripción Actividades" numFmtId="0">
      <sharedItems count="63">
        <s v="Actividades  de servicio vinculado al transporte por vía aérea: aeropuertos"/>
        <s v="Actividades auxiliares de las actividades de servicios financieros "/>
        <s v="Actividades de alojamientos"/>
        <s v="Actividades de apoyo agropecuario"/>
        <s v="Actividades de impresión y servicios conexos"/>
        <s v="Actividades de información y comunicación excluída telecomunicaciones"/>
        <s v="Actividades de seguros, reaseguros y fondos de pensiones, excepto los planes de seguridad social de afiliación obligatoria"/>
        <s v="Actividades de servicio vinculadas al transporte por vía acuática: Autoridad del Canal de Panamá  (ACP)"/>
        <s v="Actividades de servicios de comidas y bebidas"/>
        <s v="Actividades de servicios financieros, excepto seguros y fondos de pensiones"/>
        <s v="Actividades postales y de mensajería"/>
        <s v="Acuicultura"/>
        <s v="Alquiler de viviendas"/>
        <s v="Captación, tratamiento y distribuciòn de agua "/>
        <s v="Comercio al por mayor y menor en zona franca "/>
        <s v="Comercio al por mayor, en comisión y de vehículos automotores"/>
        <s v="Comercio al por menor"/>
        <s v="Construcción de edificios"/>
        <s v="Cría de aves de corral"/>
        <s v="Cría de ganado bovino (excluye búfalo)"/>
        <s v="Cría de ganado porcino"/>
        <s v="Cría de otros animales y obtención de subproductos"/>
        <s v="Cultivo  de  cereales, legumbres y semillas oleaginosas"/>
        <s v="Cultivo de arroz"/>
        <s v="Cultivo de Banano"/>
        <s v="Cultivo de maiz"/>
        <s v="Cultivo de otras frutas y nueces"/>
        <s v="Cultivo de vegetales, raíces y tubérculos"/>
        <s v="Elaboración de aceites y grasas de origen vegetal y animal"/>
        <s v="Elaboración de bebidas y tabaco"/>
        <s v="Elaboración de otros productos alimenticios"/>
        <s v="Elaboración de productos de molinería, almidones y productos derivados del almidón"/>
        <s v="Elaboración de productos lácteos"/>
        <s v="Explotación minas y canteras"/>
        <s v="Fabricación de cemento, cal y yeso"/>
        <s v="Fabricación de cuero, productos conexos y calzado"/>
        <s v="Fabricación de metales comunes"/>
        <s v="Fabricación de otros productos minerales no metálicos "/>
        <s v="Fabricacion de papel y productos de papel"/>
        <s v="Fabricación de productos de caucho y plástico"/>
        <s v="Fabricación de productos farmacéuticos, sustancias químicas medicinales y de productos botánicos"/>
        <s v="Fabricación de productos metalicos elaborados, excepto maquinaria y equipo"/>
        <s v="Fabricación de productos textiles y prendas de vestir"/>
        <s v="Fabricación de sustancias y productos químicos"/>
        <s v="Mantenimiento  y reparación de  vehículos automotores y bicicletas"/>
        <s v="Otras actividades agrícolas"/>
        <s v="Otras actividades de servicio vinculado al transporte por vía acuática"/>
        <s v="Otras industrias manufactureras"/>
        <s v="Otros actividades  de apoyo al transporte"/>
        <s v="Pesca"/>
        <s v="Procesamiento y conservación de carne"/>
        <s v="Procesamiento y conservación de frutas y vegetales"/>
        <s v="Procesamiento y conservación de pescado, crustáceos y moluscos"/>
        <s v="Producción de madera y fabricación de productos de madera y corcho, excepto muebles; fabricación de artículos de paja y de materiales trenzables"/>
        <s v="Recogida, tratamiento y eliminación de desechos, recuperación de materiales y actividades de descontaminación y otros servicios de eliminación de desechos"/>
        <s v="Reparación, mantenimiento e instalación de maquinaria y equipo comercial e industrial"/>
        <s v="Servicio de almacenamiento y depósito"/>
        <s v="Silvicultura, extracción de madera y actividades conexas"/>
        <s v="Suministro de electricidad, gas, vapor y aire acondicionado"/>
        <s v="Telecomunicaciones"/>
        <s v="Transporte por vía acuática"/>
        <s v="Transporte por vía aérea"/>
        <s v="Transporte por vía terrestre; transporte por tubería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3">
  <r>
    <x v="0"/>
    <x v="0"/>
    <x v="0"/>
    <x v="0"/>
    <x v="0"/>
    <x v="0"/>
    <x v="0"/>
    <x v="0"/>
    <x v="1"/>
    <x v="22"/>
  </r>
  <r>
    <x v="1"/>
    <x v="0"/>
    <x v="0"/>
    <x v="0"/>
    <x v="0"/>
    <x v="0"/>
    <x v="0"/>
    <x v="0"/>
    <x v="2"/>
    <x v="25"/>
  </r>
  <r>
    <x v="2"/>
    <x v="0"/>
    <x v="0"/>
    <x v="0"/>
    <x v="0"/>
    <x v="0"/>
    <x v="0"/>
    <x v="0"/>
    <x v="3"/>
    <x v="23"/>
  </r>
  <r>
    <x v="3"/>
    <x v="0"/>
    <x v="0"/>
    <x v="0"/>
    <x v="0"/>
    <x v="0"/>
    <x v="0"/>
    <x v="0"/>
    <x v="4"/>
    <x v="27"/>
  </r>
  <r>
    <x v="4"/>
    <x v="0"/>
    <x v="0"/>
    <x v="1"/>
    <x v="0"/>
    <x v="0"/>
    <x v="0"/>
    <x v="0"/>
    <x v="5"/>
    <x v="24"/>
  </r>
  <r>
    <x v="5"/>
    <x v="0"/>
    <x v="0"/>
    <x v="1"/>
    <x v="0"/>
    <x v="0"/>
    <x v="0"/>
    <x v="0"/>
    <x v="6"/>
    <x v="26"/>
  </r>
  <r>
    <x v="6"/>
    <x v="0"/>
    <x v="0"/>
    <x v="1"/>
    <x v="0"/>
    <x v="0"/>
    <x v="0"/>
    <x v="0"/>
    <x v="7"/>
    <x v="45"/>
  </r>
  <r>
    <x v="7"/>
    <x v="0"/>
    <x v="0"/>
    <x v="1"/>
    <x v="0"/>
    <x v="0"/>
    <x v="0"/>
    <x v="0"/>
    <x v="8"/>
    <x v="19"/>
  </r>
  <r>
    <x v="8"/>
    <x v="0"/>
    <x v="0"/>
    <x v="1"/>
    <x v="0"/>
    <x v="0"/>
    <x v="0"/>
    <x v="0"/>
    <x v="9"/>
    <x v="20"/>
  </r>
  <r>
    <x v="9"/>
    <x v="0"/>
    <x v="0"/>
    <x v="1"/>
    <x v="0"/>
    <x v="0"/>
    <x v="0"/>
    <x v="0"/>
    <x v="10"/>
    <x v="18"/>
  </r>
  <r>
    <x v="10"/>
    <x v="0"/>
    <x v="0"/>
    <x v="1"/>
    <x v="0"/>
    <x v="0"/>
    <x v="0"/>
    <x v="0"/>
    <x v="11"/>
    <x v="21"/>
  </r>
  <r>
    <x v="11"/>
    <x v="0"/>
    <x v="0"/>
    <x v="1"/>
    <x v="0"/>
    <x v="0"/>
    <x v="0"/>
    <x v="0"/>
    <x v="12"/>
    <x v="3"/>
  </r>
  <r>
    <x v="12"/>
    <x v="0"/>
    <x v="0"/>
    <x v="1"/>
    <x v="0"/>
    <x v="0"/>
    <x v="0"/>
    <x v="0"/>
    <x v="13"/>
    <x v="57"/>
  </r>
  <r>
    <x v="13"/>
    <x v="0"/>
    <x v="0"/>
    <x v="0"/>
    <x v="0"/>
    <x v="0"/>
    <x v="0"/>
    <x v="0"/>
    <x v="14"/>
    <x v="49"/>
  </r>
  <r>
    <x v="14"/>
    <x v="0"/>
    <x v="0"/>
    <x v="0"/>
    <x v="0"/>
    <x v="0"/>
    <x v="0"/>
    <x v="0"/>
    <x v="15"/>
    <x v="11"/>
  </r>
  <r>
    <x v="15"/>
    <x v="0"/>
    <x v="0"/>
    <x v="0"/>
    <x v="0"/>
    <x v="0"/>
    <x v="0"/>
    <x v="0"/>
    <x v="16"/>
    <x v="33"/>
  </r>
  <r>
    <x v="16"/>
    <x v="0"/>
    <x v="0"/>
    <x v="1"/>
    <x v="0"/>
    <x v="0"/>
    <x v="0"/>
    <x v="0"/>
    <x v="17"/>
    <x v="50"/>
  </r>
  <r>
    <x v="17"/>
    <x v="0"/>
    <x v="0"/>
    <x v="1"/>
    <x v="0"/>
    <x v="0"/>
    <x v="0"/>
    <x v="0"/>
    <x v="18"/>
    <x v="52"/>
  </r>
  <r>
    <x v="18"/>
    <x v="0"/>
    <x v="0"/>
    <x v="1"/>
    <x v="0"/>
    <x v="0"/>
    <x v="0"/>
    <x v="0"/>
    <x v="19"/>
    <x v="51"/>
  </r>
  <r>
    <x v="19"/>
    <x v="0"/>
    <x v="0"/>
    <x v="1"/>
    <x v="0"/>
    <x v="0"/>
    <x v="0"/>
    <x v="0"/>
    <x v="20"/>
    <x v="28"/>
  </r>
  <r>
    <x v="20"/>
    <x v="0"/>
    <x v="0"/>
    <x v="1"/>
    <x v="0"/>
    <x v="0"/>
    <x v="0"/>
    <x v="0"/>
    <x v="21"/>
    <x v="32"/>
  </r>
  <r>
    <x v="21"/>
    <x v="0"/>
    <x v="0"/>
    <x v="1"/>
    <x v="0"/>
    <x v="0"/>
    <x v="0"/>
    <x v="0"/>
    <x v="22"/>
    <x v="31"/>
  </r>
  <r>
    <x v="22"/>
    <x v="0"/>
    <x v="0"/>
    <x v="1"/>
    <x v="0"/>
    <x v="0"/>
    <x v="0"/>
    <x v="0"/>
    <x v="23"/>
    <x v="30"/>
  </r>
  <r>
    <x v="23"/>
    <x v="0"/>
    <x v="0"/>
    <x v="1"/>
    <x v="0"/>
    <x v="0"/>
    <x v="0"/>
    <x v="0"/>
    <x v="24"/>
    <x v="29"/>
  </r>
  <r>
    <x v="24"/>
    <x v="0"/>
    <x v="0"/>
    <x v="1"/>
    <x v="0"/>
    <x v="0"/>
    <x v="0"/>
    <x v="0"/>
    <x v="25"/>
    <x v="42"/>
  </r>
  <r>
    <x v="25"/>
    <x v="0"/>
    <x v="0"/>
    <x v="0"/>
    <x v="0"/>
    <x v="0"/>
    <x v="0"/>
    <x v="0"/>
    <x v="26"/>
    <x v="35"/>
  </r>
  <r>
    <x v="26"/>
    <x v="0"/>
    <x v="0"/>
    <x v="0"/>
    <x v="0"/>
    <x v="0"/>
    <x v="0"/>
    <x v="0"/>
    <x v="27"/>
    <x v="53"/>
  </r>
  <r>
    <x v="27"/>
    <x v="0"/>
    <x v="0"/>
    <x v="0"/>
    <x v="0"/>
    <x v="0"/>
    <x v="0"/>
    <x v="0"/>
    <x v="28"/>
    <x v="38"/>
  </r>
  <r>
    <x v="28"/>
    <x v="0"/>
    <x v="0"/>
    <x v="1"/>
    <x v="0"/>
    <x v="0"/>
    <x v="0"/>
    <x v="0"/>
    <x v="29"/>
    <x v="4"/>
  </r>
  <r>
    <x v="29"/>
    <x v="0"/>
    <x v="0"/>
    <x v="1"/>
    <x v="0"/>
    <x v="0"/>
    <x v="0"/>
    <x v="0"/>
    <x v="30"/>
    <x v="43"/>
  </r>
  <r>
    <x v="30"/>
    <x v="0"/>
    <x v="0"/>
    <x v="1"/>
    <x v="0"/>
    <x v="0"/>
    <x v="0"/>
    <x v="0"/>
    <x v="31"/>
    <x v="40"/>
  </r>
  <r>
    <x v="31"/>
    <x v="0"/>
    <x v="0"/>
    <x v="1"/>
    <x v="0"/>
    <x v="0"/>
    <x v="0"/>
    <x v="0"/>
    <x v="32"/>
    <x v="39"/>
  </r>
  <r>
    <x v="32"/>
    <x v="0"/>
    <x v="0"/>
    <x v="1"/>
    <x v="0"/>
    <x v="0"/>
    <x v="0"/>
    <x v="0"/>
    <x v="33"/>
    <x v="34"/>
  </r>
  <r>
    <x v="33"/>
    <x v="0"/>
    <x v="0"/>
    <x v="1"/>
    <x v="0"/>
    <x v="0"/>
    <x v="0"/>
    <x v="0"/>
    <x v="34"/>
    <x v="37"/>
  </r>
  <r>
    <x v="34"/>
    <x v="0"/>
    <x v="0"/>
    <x v="1"/>
    <x v="0"/>
    <x v="0"/>
    <x v="0"/>
    <x v="0"/>
    <x v="35"/>
    <x v="36"/>
  </r>
  <r>
    <x v="35"/>
    <x v="0"/>
    <x v="0"/>
    <x v="1"/>
    <x v="0"/>
    <x v="0"/>
    <x v="0"/>
    <x v="0"/>
    <x v="36"/>
    <x v="41"/>
  </r>
  <r>
    <x v="36"/>
    <x v="0"/>
    <x v="0"/>
    <x v="1"/>
    <x v="0"/>
    <x v="0"/>
    <x v="0"/>
    <x v="0"/>
    <x v="37"/>
    <x v="47"/>
  </r>
  <r>
    <x v="37"/>
    <x v="0"/>
    <x v="0"/>
    <x v="0"/>
    <x v="0"/>
    <x v="0"/>
    <x v="0"/>
    <x v="0"/>
    <x v="38"/>
    <x v="55"/>
  </r>
  <r>
    <x v="38"/>
    <x v="0"/>
    <x v="0"/>
    <x v="0"/>
    <x v="0"/>
    <x v="0"/>
    <x v="0"/>
    <x v="0"/>
    <x v="39"/>
    <x v="58"/>
  </r>
  <r>
    <x v="39"/>
    <x v="0"/>
    <x v="0"/>
    <x v="0"/>
    <x v="0"/>
    <x v="0"/>
    <x v="0"/>
    <x v="0"/>
    <x v="40"/>
    <x v="13"/>
  </r>
  <r>
    <x v="40"/>
    <x v="0"/>
    <x v="0"/>
    <x v="1"/>
    <x v="0"/>
    <x v="0"/>
    <x v="0"/>
    <x v="0"/>
    <x v="41"/>
    <x v="54"/>
  </r>
  <r>
    <x v="41"/>
    <x v="0"/>
    <x v="0"/>
    <x v="1"/>
    <x v="0"/>
    <x v="0"/>
    <x v="0"/>
    <x v="0"/>
    <x v="42"/>
    <x v="17"/>
  </r>
  <r>
    <x v="42"/>
    <x v="0"/>
    <x v="0"/>
    <x v="1"/>
    <x v="0"/>
    <x v="0"/>
    <x v="0"/>
    <x v="0"/>
    <x v="43"/>
    <x v="14"/>
  </r>
  <r>
    <x v="43"/>
    <x v="0"/>
    <x v="0"/>
    <x v="1"/>
    <x v="0"/>
    <x v="0"/>
    <x v="0"/>
    <x v="0"/>
    <x v="44"/>
    <x v="15"/>
  </r>
  <r>
    <x v="44"/>
    <x v="0"/>
    <x v="0"/>
    <x v="1"/>
    <x v="0"/>
    <x v="0"/>
    <x v="0"/>
    <x v="0"/>
    <x v="45"/>
    <x v="16"/>
  </r>
  <r>
    <x v="45"/>
    <x v="0"/>
    <x v="0"/>
    <x v="1"/>
    <x v="0"/>
    <x v="0"/>
    <x v="0"/>
    <x v="0"/>
    <x v="46"/>
    <x v="44"/>
  </r>
  <r>
    <x v="46"/>
    <x v="0"/>
    <x v="0"/>
    <x v="1"/>
    <x v="0"/>
    <x v="0"/>
    <x v="0"/>
    <x v="0"/>
    <x v="47"/>
    <x v="62"/>
  </r>
  <r>
    <x v="47"/>
    <x v="0"/>
    <x v="0"/>
    <x v="1"/>
    <x v="0"/>
    <x v="0"/>
    <x v="0"/>
    <x v="0"/>
    <x v="0"/>
    <x v="60"/>
  </r>
  <r>
    <x v="48"/>
    <x v="0"/>
    <x v="0"/>
    <x v="1"/>
    <x v="0"/>
    <x v="0"/>
    <x v="0"/>
    <x v="0"/>
    <x v="48"/>
    <x v="61"/>
  </r>
  <r>
    <x v="49"/>
    <x v="0"/>
    <x v="0"/>
    <x v="0"/>
    <x v="0"/>
    <x v="0"/>
    <x v="0"/>
    <x v="0"/>
    <x v="49"/>
    <x v="56"/>
  </r>
  <r>
    <x v="50"/>
    <x v="0"/>
    <x v="0"/>
    <x v="0"/>
    <x v="0"/>
    <x v="0"/>
    <x v="0"/>
    <x v="0"/>
    <x v="50"/>
    <x v="7"/>
  </r>
  <r>
    <x v="51"/>
    <x v="0"/>
    <x v="0"/>
    <x v="0"/>
    <x v="0"/>
    <x v="0"/>
    <x v="0"/>
    <x v="0"/>
    <x v="51"/>
    <x v="46"/>
  </r>
  <r>
    <x v="52"/>
    <x v="0"/>
    <x v="0"/>
    <x v="1"/>
    <x v="0"/>
    <x v="0"/>
    <x v="0"/>
    <x v="0"/>
    <x v="52"/>
    <x v="0"/>
  </r>
  <r>
    <x v="53"/>
    <x v="0"/>
    <x v="0"/>
    <x v="1"/>
    <x v="0"/>
    <x v="0"/>
    <x v="0"/>
    <x v="0"/>
    <x v="53"/>
    <x v="48"/>
  </r>
  <r>
    <x v="54"/>
    <x v="0"/>
    <x v="0"/>
    <x v="1"/>
    <x v="0"/>
    <x v="0"/>
    <x v="0"/>
    <x v="0"/>
    <x v="54"/>
    <x v="10"/>
  </r>
  <r>
    <x v="55"/>
    <x v="0"/>
    <x v="0"/>
    <x v="1"/>
    <x v="0"/>
    <x v="0"/>
    <x v="0"/>
    <x v="0"/>
    <x v="55"/>
    <x v="2"/>
  </r>
  <r>
    <x v="56"/>
    <x v="0"/>
    <x v="0"/>
    <x v="1"/>
    <x v="0"/>
    <x v="0"/>
    <x v="0"/>
    <x v="0"/>
    <x v="56"/>
    <x v="8"/>
  </r>
  <r>
    <x v="57"/>
    <x v="0"/>
    <x v="0"/>
    <x v="1"/>
    <x v="0"/>
    <x v="0"/>
    <x v="0"/>
    <x v="0"/>
    <x v="57"/>
    <x v="5"/>
  </r>
  <r>
    <x v="58"/>
    <x v="0"/>
    <x v="0"/>
    <x v="1"/>
    <x v="0"/>
    <x v="0"/>
    <x v="0"/>
    <x v="0"/>
    <x v="58"/>
    <x v="59"/>
  </r>
  <r>
    <x v="59"/>
    <x v="0"/>
    <x v="0"/>
    <x v="1"/>
    <x v="0"/>
    <x v="0"/>
    <x v="0"/>
    <x v="0"/>
    <x v="59"/>
    <x v="9"/>
  </r>
  <r>
    <x v="60"/>
    <x v="0"/>
    <x v="0"/>
    <x v="0"/>
    <x v="0"/>
    <x v="0"/>
    <x v="0"/>
    <x v="0"/>
    <x v="60"/>
    <x v="6"/>
  </r>
  <r>
    <x v="61"/>
    <x v="0"/>
    <x v="0"/>
    <x v="0"/>
    <x v="0"/>
    <x v="0"/>
    <x v="0"/>
    <x v="0"/>
    <x v="61"/>
    <x v="1"/>
  </r>
  <r>
    <x v="62"/>
    <x v="0"/>
    <x v="0"/>
    <x v="0"/>
    <x v="0"/>
    <x v="0"/>
    <x v="0"/>
    <x v="0"/>
    <x v="62"/>
    <x v="1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C67" firstHeaderRow="1" firstDataRow="1" firstDataCol="2"/>
  <pivotFields count="10">
    <pivotField compact="0" showAll="0" outline="0"/>
    <pivotField compact="0" showAll="0" outline="0"/>
    <pivotField compact="0" showAll="0" outline="0"/>
    <pivotField compact="0" showAll="0" outline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</items>
    </pivotField>
    <pivotField axis="axisRow" compact="0" showAll="0" defaultSubtotal="0" outline="0">
      <items count="63">
        <item x="28"/>
        <item x="32"/>
        <item x="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</items>
    </pivotField>
  </pivotFields>
  <rowFields count="2">
    <field x="8"/>
    <field x="9"/>
  </rowFields>
  <rowItems count="64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 t="grand">
      <x v="63"/>
    </i>
  </rowItems>
  <colItems count="1">
    <i t="grand">
      <x v="0"/>
    </i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92" activeCellId="0" sqref="C392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22.48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1" t="s">
        <v>3</v>
      </c>
    </row>
    <row r="3" customFormat="false" ht="13.8" hidden="false" customHeight="false" outlineLevel="0" collapsed="false">
      <c r="A3" s="2" t="s">
        <v>4</v>
      </c>
      <c r="B3" s="1" t="s">
        <v>5</v>
      </c>
    </row>
    <row r="4" customFormat="false" ht="13.8" hidden="false" customHeight="false" outlineLevel="0" collapsed="false">
      <c r="A4" s="2" t="s">
        <v>6</v>
      </c>
      <c r="B4" s="1" t="s">
        <v>7</v>
      </c>
    </row>
    <row r="5" customFormat="false" ht="13.8" hidden="false" customHeight="false" outlineLevel="0" collapsed="false">
      <c r="A5" s="2" t="s">
        <v>8</v>
      </c>
      <c r="B5" s="1" t="s">
        <v>9</v>
      </c>
    </row>
    <row r="6" customFormat="false" ht="13.8" hidden="false" customHeight="false" outlineLevel="0" collapsed="false">
      <c r="A6" s="2" t="s">
        <v>10</v>
      </c>
      <c r="B6" s="1" t="s">
        <v>11</v>
      </c>
    </row>
    <row r="7" customFormat="false" ht="13.8" hidden="false" customHeight="false" outlineLevel="0" collapsed="false">
      <c r="A7" s="2" t="s">
        <v>12</v>
      </c>
      <c r="B7" s="1" t="s">
        <v>13</v>
      </c>
    </row>
    <row r="8" customFormat="false" ht="13.8" hidden="false" customHeight="false" outlineLevel="0" collapsed="false">
      <c r="A8" s="2" t="s">
        <v>14</v>
      </c>
      <c r="B8" s="1" t="s">
        <v>15</v>
      </c>
    </row>
    <row r="9" customFormat="false" ht="13.8" hidden="false" customHeight="false" outlineLevel="0" collapsed="false">
      <c r="A9" s="2" t="s">
        <v>16</v>
      </c>
      <c r="B9" s="1" t="s">
        <v>17</v>
      </c>
    </row>
    <row r="10" customFormat="false" ht="13.8" hidden="false" customHeight="false" outlineLevel="0" collapsed="false">
      <c r="A10" s="2" t="s">
        <v>18</v>
      </c>
      <c r="B10" s="1" t="s">
        <v>19</v>
      </c>
    </row>
    <row r="11" customFormat="false" ht="13.8" hidden="false" customHeight="false" outlineLevel="0" collapsed="false">
      <c r="A11" s="2" t="s">
        <v>20</v>
      </c>
      <c r="B11" s="1" t="s">
        <v>21</v>
      </c>
    </row>
    <row r="12" customFormat="false" ht="13.8" hidden="false" customHeight="false" outlineLevel="0" collapsed="false">
      <c r="A12" s="2" t="s">
        <v>22</v>
      </c>
      <c r="B12" s="1" t="s">
        <v>23</v>
      </c>
    </row>
    <row r="13" customFormat="false" ht="13.8" hidden="false" customHeight="false" outlineLevel="0" collapsed="false">
      <c r="A13" s="2" t="s">
        <v>24</v>
      </c>
      <c r="B13" s="1" t="s">
        <v>25</v>
      </c>
    </row>
    <row r="14" customFormat="false" ht="13.8" hidden="false" customHeight="false" outlineLevel="0" collapsed="false">
      <c r="A14" s="2" t="s">
        <v>26</v>
      </c>
      <c r="B14" s="1" t="s">
        <v>27</v>
      </c>
    </row>
    <row r="15" customFormat="false" ht="13.8" hidden="false" customHeight="false" outlineLevel="0" collapsed="false">
      <c r="A15" s="2" t="s">
        <v>28</v>
      </c>
      <c r="B15" s="1" t="s">
        <v>29</v>
      </c>
    </row>
    <row r="16" customFormat="false" ht="13.8" hidden="false" customHeight="false" outlineLevel="0" collapsed="false">
      <c r="A16" s="2" t="s">
        <v>30</v>
      </c>
      <c r="B16" s="1" t="s">
        <v>31</v>
      </c>
    </row>
    <row r="17" customFormat="false" ht="13.8" hidden="false" customHeight="false" outlineLevel="0" collapsed="false">
      <c r="A17" s="2" t="s">
        <v>32</v>
      </c>
      <c r="B17" s="1" t="s">
        <v>33</v>
      </c>
    </row>
    <row r="18" customFormat="false" ht="13.8" hidden="false" customHeight="false" outlineLevel="0" collapsed="false">
      <c r="A18" s="2" t="s">
        <v>34</v>
      </c>
      <c r="B18" s="1" t="s">
        <v>35</v>
      </c>
    </row>
    <row r="19" customFormat="false" ht="13.8" hidden="false" customHeight="false" outlineLevel="0" collapsed="false">
      <c r="A19" s="2" t="s">
        <v>36</v>
      </c>
      <c r="B19" s="1" t="s">
        <v>37</v>
      </c>
    </row>
    <row r="20" customFormat="false" ht="13.8" hidden="false" customHeight="false" outlineLevel="0" collapsed="false">
      <c r="A20" s="2" t="s">
        <v>38</v>
      </c>
      <c r="B20" s="1" t="s">
        <v>39</v>
      </c>
    </row>
    <row r="21" customFormat="false" ht="13.8" hidden="false" customHeight="false" outlineLevel="0" collapsed="false">
      <c r="A21" s="2" t="s">
        <v>40</v>
      </c>
      <c r="B21" s="1" t="s">
        <v>41</v>
      </c>
    </row>
    <row r="22" customFormat="false" ht="13.8" hidden="false" customHeight="false" outlineLevel="0" collapsed="false">
      <c r="A22" s="2" t="s">
        <v>42</v>
      </c>
      <c r="B22" s="1" t="s">
        <v>43</v>
      </c>
    </row>
    <row r="23" customFormat="false" ht="13.8" hidden="false" customHeight="false" outlineLevel="0" collapsed="false">
      <c r="A23" s="2" t="s">
        <v>44</v>
      </c>
      <c r="B23" s="1" t="s">
        <v>45</v>
      </c>
    </row>
    <row r="24" customFormat="false" ht="13.8" hidden="false" customHeight="false" outlineLevel="0" collapsed="false">
      <c r="A24" s="2" t="s">
        <v>46</v>
      </c>
      <c r="B24" s="1" t="s">
        <v>47</v>
      </c>
    </row>
    <row r="25" customFormat="false" ht="13.8" hidden="false" customHeight="false" outlineLevel="0" collapsed="false">
      <c r="A25" s="2" t="s">
        <v>48</v>
      </c>
      <c r="B25" s="1" t="s">
        <v>49</v>
      </c>
    </row>
    <row r="26" customFormat="false" ht="13.8" hidden="false" customHeight="false" outlineLevel="0" collapsed="false">
      <c r="A26" s="2" t="s">
        <v>50</v>
      </c>
      <c r="B26" s="1" t="s">
        <v>51</v>
      </c>
    </row>
    <row r="27" customFormat="false" ht="13.8" hidden="false" customHeight="false" outlineLevel="0" collapsed="false">
      <c r="A27" s="2" t="s">
        <v>52</v>
      </c>
      <c r="B27" s="1" t="s">
        <v>53</v>
      </c>
    </row>
    <row r="28" customFormat="false" ht="13.8" hidden="false" customHeight="false" outlineLevel="0" collapsed="false">
      <c r="A28" s="2" t="s">
        <v>54</v>
      </c>
      <c r="B28" s="1" t="s">
        <v>55</v>
      </c>
    </row>
    <row r="29" customFormat="false" ht="13.8" hidden="false" customHeight="false" outlineLevel="0" collapsed="false">
      <c r="A29" s="2" t="s">
        <v>56</v>
      </c>
      <c r="B29" s="1" t="s">
        <v>57</v>
      </c>
    </row>
    <row r="30" customFormat="false" ht="13.8" hidden="false" customHeight="false" outlineLevel="0" collapsed="false">
      <c r="A30" s="2" t="s">
        <v>58</v>
      </c>
      <c r="B30" s="1" t="s">
        <v>59</v>
      </c>
    </row>
    <row r="31" customFormat="false" ht="13.8" hidden="false" customHeight="false" outlineLevel="0" collapsed="false">
      <c r="A31" s="2" t="s">
        <v>60</v>
      </c>
      <c r="B31" s="1" t="s">
        <v>61</v>
      </c>
    </row>
    <row r="32" customFormat="false" ht="13.8" hidden="false" customHeight="false" outlineLevel="0" collapsed="false">
      <c r="A32" s="2" t="s">
        <v>62</v>
      </c>
      <c r="B32" s="1" t="s">
        <v>63</v>
      </c>
    </row>
    <row r="33" customFormat="false" ht="13.8" hidden="false" customHeight="false" outlineLevel="0" collapsed="false">
      <c r="A33" s="2" t="s">
        <v>64</v>
      </c>
      <c r="B33" s="1" t="s">
        <v>65</v>
      </c>
    </row>
    <row r="34" customFormat="false" ht="13.8" hidden="false" customHeight="false" outlineLevel="0" collapsed="false">
      <c r="A34" s="2" t="s">
        <v>66</v>
      </c>
      <c r="B34" s="1" t="s">
        <v>67</v>
      </c>
    </row>
    <row r="35" customFormat="false" ht="13.8" hidden="false" customHeight="false" outlineLevel="0" collapsed="false">
      <c r="A35" s="2" t="s">
        <v>68</v>
      </c>
      <c r="B35" s="1" t="s">
        <v>69</v>
      </c>
    </row>
    <row r="36" customFormat="false" ht="13.8" hidden="false" customHeight="false" outlineLevel="0" collapsed="false">
      <c r="A36" s="2" t="s">
        <v>70</v>
      </c>
      <c r="B36" s="1" t="s">
        <v>71</v>
      </c>
    </row>
    <row r="37" customFormat="false" ht="13.8" hidden="false" customHeight="false" outlineLevel="0" collapsed="false">
      <c r="A37" s="2" t="s">
        <v>72</v>
      </c>
      <c r="B37" s="1" t="s">
        <v>73</v>
      </c>
    </row>
    <row r="38" customFormat="false" ht="13.8" hidden="false" customHeight="false" outlineLevel="0" collapsed="false">
      <c r="A38" s="2" t="s">
        <v>74</v>
      </c>
      <c r="B38" s="1" t="s">
        <v>75</v>
      </c>
    </row>
    <row r="39" customFormat="false" ht="13.8" hidden="false" customHeight="false" outlineLevel="0" collapsed="false">
      <c r="A39" s="2" t="s">
        <v>76</v>
      </c>
      <c r="B39" s="1" t="s">
        <v>77</v>
      </c>
    </row>
    <row r="40" customFormat="false" ht="13.8" hidden="false" customHeight="false" outlineLevel="0" collapsed="false">
      <c r="A40" s="2" t="s">
        <v>78</v>
      </c>
      <c r="B40" s="1" t="s">
        <v>79</v>
      </c>
    </row>
    <row r="41" customFormat="false" ht="13.8" hidden="false" customHeight="false" outlineLevel="0" collapsed="false">
      <c r="A41" s="2" t="s">
        <v>80</v>
      </c>
      <c r="B41" s="1" t="s">
        <v>81</v>
      </c>
    </row>
    <row r="42" customFormat="false" ht="13.8" hidden="false" customHeight="false" outlineLevel="0" collapsed="false">
      <c r="A42" s="2" t="s">
        <v>82</v>
      </c>
      <c r="B42" s="1" t="s">
        <v>83</v>
      </c>
    </row>
    <row r="43" customFormat="false" ht="13.8" hidden="false" customHeight="false" outlineLevel="0" collapsed="false">
      <c r="A43" s="2" t="s">
        <v>84</v>
      </c>
      <c r="B43" s="1" t="s">
        <v>85</v>
      </c>
    </row>
    <row r="44" customFormat="false" ht="13.8" hidden="false" customHeight="false" outlineLevel="0" collapsed="false">
      <c r="A44" s="2" t="s">
        <v>86</v>
      </c>
      <c r="B44" s="1" t="s">
        <v>87</v>
      </c>
    </row>
    <row r="45" customFormat="false" ht="13.8" hidden="false" customHeight="false" outlineLevel="0" collapsed="false">
      <c r="A45" s="2" t="s">
        <v>88</v>
      </c>
      <c r="B45" s="1" t="s">
        <v>89</v>
      </c>
    </row>
    <row r="46" customFormat="false" ht="13.8" hidden="false" customHeight="false" outlineLevel="0" collapsed="false">
      <c r="A46" s="2" t="s">
        <v>90</v>
      </c>
      <c r="B46" s="1" t="s">
        <v>91</v>
      </c>
    </row>
    <row r="47" customFormat="false" ht="13.8" hidden="false" customHeight="false" outlineLevel="0" collapsed="false">
      <c r="A47" s="2" t="s">
        <v>92</v>
      </c>
      <c r="B47" s="1" t="s">
        <v>93</v>
      </c>
    </row>
    <row r="48" customFormat="false" ht="13.8" hidden="false" customHeight="false" outlineLevel="0" collapsed="false">
      <c r="A48" s="2" t="s">
        <v>94</v>
      </c>
      <c r="B48" s="1" t="s">
        <v>95</v>
      </c>
    </row>
    <row r="49" customFormat="false" ht="13.8" hidden="false" customHeight="false" outlineLevel="0" collapsed="false">
      <c r="A49" s="2" t="s">
        <v>96</v>
      </c>
      <c r="B49" s="1" t="s">
        <v>97</v>
      </c>
    </row>
    <row r="50" customFormat="false" ht="13.8" hidden="false" customHeight="false" outlineLevel="0" collapsed="false">
      <c r="A50" s="2" t="s">
        <v>98</v>
      </c>
      <c r="B50" s="1" t="s">
        <v>99</v>
      </c>
    </row>
    <row r="51" customFormat="false" ht="13.8" hidden="false" customHeight="false" outlineLevel="0" collapsed="false">
      <c r="A51" s="2" t="s">
        <v>100</v>
      </c>
      <c r="B51" s="1" t="s">
        <v>101</v>
      </c>
    </row>
    <row r="52" customFormat="false" ht="13.8" hidden="false" customHeight="false" outlineLevel="0" collapsed="false">
      <c r="A52" s="2" t="s">
        <v>102</v>
      </c>
      <c r="B52" s="1" t="s">
        <v>103</v>
      </c>
    </row>
    <row r="53" customFormat="false" ht="13.8" hidden="false" customHeight="false" outlineLevel="0" collapsed="false">
      <c r="A53" s="2" t="s">
        <v>104</v>
      </c>
      <c r="B53" s="1" t="s">
        <v>105</v>
      </c>
    </row>
    <row r="54" customFormat="false" ht="13.8" hidden="false" customHeight="false" outlineLevel="0" collapsed="false">
      <c r="A54" s="2" t="s">
        <v>106</v>
      </c>
      <c r="B54" s="1" t="s">
        <v>107</v>
      </c>
    </row>
    <row r="55" customFormat="false" ht="13.8" hidden="false" customHeight="false" outlineLevel="0" collapsed="false">
      <c r="A55" s="2" t="s">
        <v>108</v>
      </c>
      <c r="B55" s="1" t="s">
        <v>109</v>
      </c>
    </row>
    <row r="56" customFormat="false" ht="13.8" hidden="false" customHeight="false" outlineLevel="0" collapsed="false">
      <c r="A56" s="2" t="s">
        <v>110</v>
      </c>
      <c r="B56" s="1" t="s">
        <v>111</v>
      </c>
    </row>
    <row r="57" customFormat="false" ht="13.8" hidden="false" customHeight="false" outlineLevel="0" collapsed="false">
      <c r="A57" s="2" t="s">
        <v>112</v>
      </c>
      <c r="B57" s="1" t="s">
        <v>113</v>
      </c>
    </row>
    <row r="58" customFormat="false" ht="13.8" hidden="false" customHeight="false" outlineLevel="0" collapsed="false">
      <c r="A58" s="2" t="s">
        <v>114</v>
      </c>
      <c r="B58" s="1" t="s">
        <v>115</v>
      </c>
    </row>
    <row r="59" customFormat="false" ht="13.8" hidden="false" customHeight="false" outlineLevel="0" collapsed="false">
      <c r="A59" s="2" t="s">
        <v>116</v>
      </c>
      <c r="B59" s="1" t="s">
        <v>117</v>
      </c>
    </row>
    <row r="60" customFormat="false" ht="13.8" hidden="false" customHeight="false" outlineLevel="0" collapsed="false">
      <c r="A60" s="2" t="s">
        <v>118</v>
      </c>
      <c r="B60" s="1" t="s">
        <v>119</v>
      </c>
    </row>
    <row r="61" customFormat="false" ht="13.8" hidden="false" customHeight="false" outlineLevel="0" collapsed="false">
      <c r="A61" s="2" t="s">
        <v>120</v>
      </c>
      <c r="B61" s="1" t="s">
        <v>121</v>
      </c>
    </row>
    <row r="62" customFormat="false" ht="13.8" hidden="false" customHeight="false" outlineLevel="0" collapsed="false">
      <c r="A62" s="2" t="s">
        <v>122</v>
      </c>
      <c r="B62" s="1" t="s">
        <v>123</v>
      </c>
    </row>
    <row r="63" customFormat="false" ht="13.8" hidden="false" customHeight="false" outlineLevel="0" collapsed="false">
      <c r="A63" s="2" t="s">
        <v>124</v>
      </c>
      <c r="B63" s="1" t="s">
        <v>125</v>
      </c>
    </row>
    <row r="64" customFormat="false" ht="13.8" hidden="false" customHeight="false" outlineLevel="0" collapsed="false">
      <c r="A64" s="2" t="s">
        <v>126</v>
      </c>
      <c r="B64" s="1" t="s">
        <v>127</v>
      </c>
    </row>
    <row r="65" customFormat="false" ht="13.8" hidden="false" customHeight="false" outlineLevel="0" collapsed="false">
      <c r="A65" s="2" t="s">
        <v>128</v>
      </c>
      <c r="B65" s="1" t="s">
        <v>129</v>
      </c>
    </row>
    <row r="66" customFormat="false" ht="13.8" hidden="false" customHeight="false" outlineLevel="0" collapsed="false">
      <c r="A66" s="2" t="s">
        <v>130</v>
      </c>
      <c r="B66" s="1" t="s">
        <v>131</v>
      </c>
    </row>
    <row r="67" customFormat="false" ht="13.8" hidden="false" customHeight="false" outlineLevel="0" collapsed="false">
      <c r="A67" s="2" t="s">
        <v>132</v>
      </c>
      <c r="B67" s="1" t="s">
        <v>133</v>
      </c>
    </row>
    <row r="68" customFormat="false" ht="13.8" hidden="false" customHeight="false" outlineLevel="0" collapsed="false">
      <c r="A68" s="2" t="s">
        <v>134</v>
      </c>
      <c r="B68" s="1" t="s">
        <v>135</v>
      </c>
    </row>
    <row r="69" customFormat="false" ht="13.8" hidden="false" customHeight="false" outlineLevel="0" collapsed="false">
      <c r="A69" s="2" t="s">
        <v>136</v>
      </c>
      <c r="B69" s="1" t="s">
        <v>137</v>
      </c>
    </row>
    <row r="70" customFormat="false" ht="13.8" hidden="false" customHeight="false" outlineLevel="0" collapsed="false">
      <c r="A70" s="2" t="s">
        <v>138</v>
      </c>
      <c r="B70" s="1" t="s">
        <v>139</v>
      </c>
    </row>
    <row r="71" customFormat="false" ht="13.8" hidden="false" customHeight="false" outlineLevel="0" collapsed="false">
      <c r="A71" s="2" t="s">
        <v>140</v>
      </c>
      <c r="B71" s="1" t="s">
        <v>141</v>
      </c>
    </row>
    <row r="72" customFormat="false" ht="13.8" hidden="false" customHeight="false" outlineLevel="0" collapsed="false">
      <c r="A72" s="2" t="s">
        <v>142</v>
      </c>
      <c r="B72" s="1" t="s">
        <v>143</v>
      </c>
    </row>
    <row r="73" customFormat="false" ht="13.8" hidden="false" customHeight="false" outlineLevel="0" collapsed="false">
      <c r="A73" s="2" t="s">
        <v>144</v>
      </c>
      <c r="B73" s="1" t="s">
        <v>145</v>
      </c>
    </row>
    <row r="74" customFormat="false" ht="13.8" hidden="false" customHeight="false" outlineLevel="0" collapsed="false">
      <c r="A74" s="2" t="s">
        <v>146</v>
      </c>
      <c r="B74" s="1" t="s">
        <v>147</v>
      </c>
    </row>
    <row r="75" customFormat="false" ht="13.8" hidden="false" customHeight="false" outlineLevel="0" collapsed="false">
      <c r="A75" s="2" t="s">
        <v>148</v>
      </c>
      <c r="B75" s="1" t="s">
        <v>149</v>
      </c>
    </row>
    <row r="76" customFormat="false" ht="13.8" hidden="false" customHeight="false" outlineLevel="0" collapsed="false">
      <c r="A76" s="2" t="s">
        <v>150</v>
      </c>
      <c r="B76" s="1" t="s">
        <v>151</v>
      </c>
    </row>
    <row r="77" customFormat="false" ht="13.8" hidden="false" customHeight="false" outlineLevel="0" collapsed="false">
      <c r="A77" s="2" t="s">
        <v>152</v>
      </c>
      <c r="B77" s="1" t="s">
        <v>153</v>
      </c>
    </row>
    <row r="78" customFormat="false" ht="13.8" hidden="false" customHeight="false" outlineLevel="0" collapsed="false">
      <c r="A78" s="2" t="s">
        <v>154</v>
      </c>
      <c r="B78" s="1" t="s">
        <v>155</v>
      </c>
    </row>
    <row r="79" customFormat="false" ht="13.8" hidden="false" customHeight="false" outlineLevel="0" collapsed="false">
      <c r="A79" s="2" t="s">
        <v>156</v>
      </c>
      <c r="B79" s="1" t="s">
        <v>157</v>
      </c>
    </row>
    <row r="80" customFormat="false" ht="13.8" hidden="false" customHeight="false" outlineLevel="0" collapsed="false">
      <c r="A80" s="2" t="s">
        <v>158</v>
      </c>
      <c r="B80" s="1" t="s">
        <v>159</v>
      </c>
    </row>
    <row r="81" customFormat="false" ht="13.8" hidden="false" customHeight="false" outlineLevel="0" collapsed="false">
      <c r="A81" s="2" t="s">
        <v>160</v>
      </c>
      <c r="B81" s="1" t="s">
        <v>161</v>
      </c>
    </row>
    <row r="82" customFormat="false" ht="13.8" hidden="false" customHeight="false" outlineLevel="0" collapsed="false">
      <c r="A82" s="2" t="s">
        <v>162</v>
      </c>
      <c r="B82" s="1" t="s">
        <v>163</v>
      </c>
    </row>
    <row r="83" customFormat="false" ht="13.8" hidden="false" customHeight="false" outlineLevel="0" collapsed="false">
      <c r="A83" s="2" t="s">
        <v>164</v>
      </c>
      <c r="B83" s="1" t="s">
        <v>165</v>
      </c>
    </row>
    <row r="84" customFormat="false" ht="13.8" hidden="false" customHeight="false" outlineLevel="0" collapsed="false">
      <c r="A84" s="2" t="s">
        <v>166</v>
      </c>
      <c r="B84" s="1" t="s">
        <v>167</v>
      </c>
    </row>
    <row r="85" customFormat="false" ht="13.8" hidden="false" customHeight="false" outlineLevel="0" collapsed="false">
      <c r="A85" s="2" t="s">
        <v>168</v>
      </c>
      <c r="B85" s="1" t="s">
        <v>169</v>
      </c>
    </row>
    <row r="86" customFormat="false" ht="13.8" hidden="false" customHeight="false" outlineLevel="0" collapsed="false">
      <c r="A86" s="2" t="s">
        <v>170</v>
      </c>
      <c r="B86" s="1" t="s">
        <v>171</v>
      </c>
    </row>
    <row r="87" customFormat="false" ht="13.8" hidden="false" customHeight="false" outlineLevel="0" collapsed="false">
      <c r="A87" s="2" t="s">
        <v>172</v>
      </c>
      <c r="B87" s="1" t="s">
        <v>173</v>
      </c>
    </row>
    <row r="88" customFormat="false" ht="13.8" hidden="false" customHeight="false" outlineLevel="0" collapsed="false">
      <c r="A88" s="2" t="s">
        <v>174</v>
      </c>
      <c r="B88" s="1" t="s">
        <v>175</v>
      </c>
    </row>
    <row r="89" customFormat="false" ht="13.8" hidden="false" customHeight="false" outlineLevel="0" collapsed="false">
      <c r="A89" s="2" t="s">
        <v>176</v>
      </c>
      <c r="B89" s="1" t="s">
        <v>177</v>
      </c>
    </row>
    <row r="90" customFormat="false" ht="13.8" hidden="false" customHeight="false" outlineLevel="0" collapsed="false">
      <c r="A90" s="2" t="s">
        <v>178</v>
      </c>
      <c r="B90" s="1" t="s">
        <v>179</v>
      </c>
    </row>
    <row r="91" customFormat="false" ht="13.8" hidden="false" customHeight="false" outlineLevel="0" collapsed="false">
      <c r="A91" s="2" t="s">
        <v>180</v>
      </c>
      <c r="B91" s="1" t="s">
        <v>181</v>
      </c>
    </row>
    <row r="92" customFormat="false" ht="13.8" hidden="false" customHeight="false" outlineLevel="0" collapsed="false">
      <c r="A92" s="2" t="s">
        <v>182</v>
      </c>
      <c r="B92" s="1" t="s">
        <v>183</v>
      </c>
    </row>
    <row r="93" customFormat="false" ht="13.8" hidden="false" customHeight="false" outlineLevel="0" collapsed="false">
      <c r="A93" s="2" t="s">
        <v>184</v>
      </c>
      <c r="B93" s="1" t="s">
        <v>185</v>
      </c>
    </row>
    <row r="94" customFormat="false" ht="13.8" hidden="false" customHeight="false" outlineLevel="0" collapsed="false">
      <c r="A94" s="2" t="s">
        <v>186</v>
      </c>
      <c r="B94" s="1" t="s">
        <v>187</v>
      </c>
    </row>
    <row r="95" customFormat="false" ht="13.8" hidden="false" customHeight="false" outlineLevel="0" collapsed="false">
      <c r="A95" s="2" t="s">
        <v>188</v>
      </c>
      <c r="B95" s="1" t="s">
        <v>189</v>
      </c>
    </row>
    <row r="96" customFormat="false" ht="13.8" hidden="false" customHeight="false" outlineLevel="0" collapsed="false">
      <c r="A96" s="2" t="s">
        <v>190</v>
      </c>
      <c r="B96" s="1" t="s">
        <v>191</v>
      </c>
    </row>
    <row r="97" customFormat="false" ht="13.8" hidden="false" customHeight="false" outlineLevel="0" collapsed="false">
      <c r="A97" s="2" t="s">
        <v>192</v>
      </c>
      <c r="B97" s="1" t="s">
        <v>193</v>
      </c>
    </row>
    <row r="98" customFormat="false" ht="13.8" hidden="false" customHeight="false" outlineLevel="0" collapsed="false">
      <c r="A98" s="2" t="s">
        <v>194</v>
      </c>
      <c r="B98" s="1" t="s">
        <v>195</v>
      </c>
    </row>
    <row r="99" customFormat="false" ht="13.8" hidden="false" customHeight="false" outlineLevel="0" collapsed="false">
      <c r="A99" s="2" t="s">
        <v>196</v>
      </c>
      <c r="B99" s="1" t="s">
        <v>197</v>
      </c>
    </row>
    <row r="100" customFormat="false" ht="13.8" hidden="false" customHeight="false" outlineLevel="0" collapsed="false">
      <c r="A100" s="2" t="s">
        <v>198</v>
      </c>
      <c r="B100" s="1" t="s">
        <v>199</v>
      </c>
    </row>
    <row r="101" customFormat="false" ht="13.8" hidden="false" customHeight="false" outlineLevel="0" collapsed="false">
      <c r="A101" s="2" t="s">
        <v>200</v>
      </c>
      <c r="B101" s="1" t="s">
        <v>201</v>
      </c>
    </row>
    <row r="102" customFormat="false" ht="13.8" hidden="false" customHeight="false" outlineLevel="0" collapsed="false">
      <c r="A102" s="2" t="s">
        <v>202</v>
      </c>
      <c r="B102" s="1" t="s">
        <v>203</v>
      </c>
    </row>
    <row r="103" customFormat="false" ht="13.8" hidden="false" customHeight="false" outlineLevel="0" collapsed="false">
      <c r="A103" s="2" t="s">
        <v>204</v>
      </c>
      <c r="B103" s="1" t="s">
        <v>205</v>
      </c>
    </row>
    <row r="104" customFormat="false" ht="13.8" hidden="false" customHeight="false" outlineLevel="0" collapsed="false">
      <c r="A104" s="2" t="s">
        <v>206</v>
      </c>
      <c r="B104" s="1" t="s">
        <v>207</v>
      </c>
    </row>
    <row r="105" customFormat="false" ht="13.8" hidden="false" customHeight="false" outlineLevel="0" collapsed="false">
      <c r="A105" s="2" t="s">
        <v>208</v>
      </c>
      <c r="B105" s="1" t="s">
        <v>209</v>
      </c>
    </row>
    <row r="106" customFormat="false" ht="13.8" hidden="false" customHeight="false" outlineLevel="0" collapsed="false">
      <c r="A106" s="2" t="s">
        <v>210</v>
      </c>
      <c r="B106" s="1" t="s">
        <v>211</v>
      </c>
    </row>
    <row r="107" customFormat="false" ht="13.8" hidden="false" customHeight="false" outlineLevel="0" collapsed="false">
      <c r="A107" s="2" t="s">
        <v>212</v>
      </c>
      <c r="B107" s="1" t="s">
        <v>213</v>
      </c>
    </row>
    <row r="108" customFormat="false" ht="13.8" hidden="false" customHeight="false" outlineLevel="0" collapsed="false">
      <c r="A108" s="2" t="s">
        <v>214</v>
      </c>
      <c r="B108" s="1" t="s">
        <v>215</v>
      </c>
    </row>
    <row r="109" customFormat="false" ht="13.8" hidden="false" customHeight="false" outlineLevel="0" collapsed="false">
      <c r="A109" s="2" t="s">
        <v>216</v>
      </c>
      <c r="B109" s="1" t="s">
        <v>217</v>
      </c>
    </row>
    <row r="110" customFormat="false" ht="13.8" hidden="false" customHeight="false" outlineLevel="0" collapsed="false">
      <c r="A110" s="2" t="s">
        <v>218</v>
      </c>
      <c r="B110" s="1" t="s">
        <v>219</v>
      </c>
    </row>
    <row r="111" customFormat="false" ht="13.8" hidden="false" customHeight="false" outlineLevel="0" collapsed="false">
      <c r="A111" s="2" t="s">
        <v>220</v>
      </c>
      <c r="B111" s="1" t="s">
        <v>221</v>
      </c>
    </row>
    <row r="112" customFormat="false" ht="13.8" hidden="false" customHeight="false" outlineLevel="0" collapsed="false">
      <c r="A112" s="2" t="s">
        <v>222</v>
      </c>
      <c r="B112" s="1" t="s">
        <v>223</v>
      </c>
    </row>
    <row r="113" customFormat="false" ht="13.8" hidden="false" customHeight="false" outlineLevel="0" collapsed="false">
      <c r="A113" s="2" t="s">
        <v>224</v>
      </c>
      <c r="B113" s="1" t="s">
        <v>225</v>
      </c>
    </row>
    <row r="114" customFormat="false" ht="13.8" hidden="false" customHeight="false" outlineLevel="0" collapsed="false">
      <c r="A114" s="2" t="s">
        <v>226</v>
      </c>
      <c r="B114" s="1" t="s">
        <v>227</v>
      </c>
    </row>
    <row r="115" customFormat="false" ht="13.8" hidden="false" customHeight="false" outlineLevel="0" collapsed="false">
      <c r="A115" s="2" t="s">
        <v>228</v>
      </c>
      <c r="B115" s="1" t="s">
        <v>229</v>
      </c>
    </row>
    <row r="116" customFormat="false" ht="13.8" hidden="false" customHeight="false" outlineLevel="0" collapsed="false">
      <c r="A116" s="2" t="s">
        <v>230</v>
      </c>
      <c r="B116" s="1" t="s">
        <v>231</v>
      </c>
    </row>
    <row r="117" customFormat="false" ht="13.8" hidden="false" customHeight="false" outlineLevel="0" collapsed="false">
      <c r="A117" s="2" t="s">
        <v>232</v>
      </c>
      <c r="B117" s="1" t="s">
        <v>233</v>
      </c>
    </row>
    <row r="118" customFormat="false" ht="13.8" hidden="false" customHeight="false" outlineLevel="0" collapsed="false">
      <c r="A118" s="2" t="s">
        <v>234</v>
      </c>
      <c r="B118" s="1" t="s">
        <v>235</v>
      </c>
    </row>
    <row r="119" customFormat="false" ht="13.8" hidden="false" customHeight="false" outlineLevel="0" collapsed="false">
      <c r="A119" s="2" t="s">
        <v>236</v>
      </c>
      <c r="B119" s="1" t="s">
        <v>237</v>
      </c>
    </row>
    <row r="120" customFormat="false" ht="13.8" hidden="false" customHeight="false" outlineLevel="0" collapsed="false">
      <c r="A120" s="2" t="s">
        <v>238</v>
      </c>
      <c r="B120" s="1" t="s">
        <v>239</v>
      </c>
    </row>
    <row r="121" customFormat="false" ht="13.8" hidden="false" customHeight="false" outlineLevel="0" collapsed="false">
      <c r="A121" s="2" t="s">
        <v>240</v>
      </c>
      <c r="B121" s="1" t="s">
        <v>241</v>
      </c>
    </row>
    <row r="122" customFormat="false" ht="13.8" hidden="false" customHeight="false" outlineLevel="0" collapsed="false">
      <c r="A122" s="2" t="s">
        <v>242</v>
      </c>
      <c r="B122" s="1" t="s">
        <v>243</v>
      </c>
    </row>
    <row r="123" customFormat="false" ht="13.8" hidden="false" customHeight="false" outlineLevel="0" collapsed="false">
      <c r="A123" s="2" t="s">
        <v>244</v>
      </c>
      <c r="B123" s="1" t="s">
        <v>245</v>
      </c>
    </row>
    <row r="124" customFormat="false" ht="13.8" hidden="false" customHeight="false" outlineLevel="0" collapsed="false">
      <c r="A124" s="2" t="s">
        <v>246</v>
      </c>
      <c r="B124" s="1" t="s">
        <v>247</v>
      </c>
    </row>
    <row r="125" customFormat="false" ht="13.8" hidden="false" customHeight="false" outlineLevel="0" collapsed="false">
      <c r="A125" s="2" t="s">
        <v>248</v>
      </c>
      <c r="B125" s="1" t="s">
        <v>249</v>
      </c>
    </row>
    <row r="126" customFormat="false" ht="13.8" hidden="false" customHeight="false" outlineLevel="0" collapsed="false">
      <c r="A126" s="2" t="s">
        <v>250</v>
      </c>
      <c r="B126" s="1" t="s">
        <v>251</v>
      </c>
    </row>
    <row r="127" customFormat="false" ht="13.8" hidden="false" customHeight="false" outlineLevel="0" collapsed="false">
      <c r="A127" s="2" t="s">
        <v>252</v>
      </c>
      <c r="B127" s="1" t="s">
        <v>253</v>
      </c>
    </row>
    <row r="128" customFormat="false" ht="13.8" hidden="false" customHeight="false" outlineLevel="0" collapsed="false">
      <c r="A128" s="2" t="s">
        <v>254</v>
      </c>
      <c r="B128" s="1" t="s">
        <v>255</v>
      </c>
    </row>
    <row r="129" customFormat="false" ht="13.8" hidden="false" customHeight="false" outlineLevel="0" collapsed="false">
      <c r="A129" s="2" t="s">
        <v>256</v>
      </c>
      <c r="B129" s="1" t="s">
        <v>257</v>
      </c>
    </row>
    <row r="130" customFormat="false" ht="13.8" hidden="false" customHeight="false" outlineLevel="0" collapsed="false">
      <c r="A130" s="2" t="s">
        <v>258</v>
      </c>
      <c r="B130" s="1" t="s">
        <v>259</v>
      </c>
    </row>
    <row r="131" customFormat="false" ht="13.8" hidden="false" customHeight="false" outlineLevel="0" collapsed="false">
      <c r="A131" s="2" t="s">
        <v>260</v>
      </c>
      <c r="B131" s="1" t="s">
        <v>261</v>
      </c>
    </row>
    <row r="132" customFormat="false" ht="13.8" hidden="false" customHeight="false" outlineLevel="0" collapsed="false">
      <c r="A132" s="2" t="s">
        <v>262</v>
      </c>
      <c r="B132" s="1" t="s">
        <v>263</v>
      </c>
    </row>
    <row r="133" customFormat="false" ht="13.8" hidden="false" customHeight="false" outlineLevel="0" collapsed="false">
      <c r="A133" s="2" t="s">
        <v>264</v>
      </c>
      <c r="B133" s="1" t="s">
        <v>265</v>
      </c>
    </row>
    <row r="134" customFormat="false" ht="13.8" hidden="false" customHeight="false" outlineLevel="0" collapsed="false">
      <c r="A134" s="2" t="s">
        <v>266</v>
      </c>
      <c r="B134" s="1" t="s">
        <v>267</v>
      </c>
    </row>
    <row r="135" customFormat="false" ht="13.8" hidden="false" customHeight="false" outlineLevel="0" collapsed="false">
      <c r="A135" s="2" t="s">
        <v>268</v>
      </c>
      <c r="B135" s="1" t="s">
        <v>269</v>
      </c>
    </row>
    <row r="136" customFormat="false" ht="13.8" hidden="false" customHeight="false" outlineLevel="0" collapsed="false">
      <c r="A136" s="2" t="s">
        <v>270</v>
      </c>
      <c r="B136" s="1" t="s">
        <v>271</v>
      </c>
    </row>
    <row r="137" customFormat="false" ht="13.8" hidden="false" customHeight="false" outlineLevel="0" collapsed="false">
      <c r="A137" s="2" t="s">
        <v>272</v>
      </c>
      <c r="B137" s="1" t="s">
        <v>273</v>
      </c>
    </row>
    <row r="138" customFormat="false" ht="13.8" hidden="false" customHeight="false" outlineLevel="0" collapsed="false">
      <c r="A138" s="2" t="s">
        <v>274</v>
      </c>
      <c r="B138" s="1" t="s">
        <v>275</v>
      </c>
    </row>
    <row r="139" customFormat="false" ht="13.8" hidden="false" customHeight="false" outlineLevel="0" collapsed="false">
      <c r="A139" s="2" t="s">
        <v>276</v>
      </c>
      <c r="B139" s="1" t="s">
        <v>277</v>
      </c>
    </row>
    <row r="140" customFormat="false" ht="13.8" hidden="false" customHeight="false" outlineLevel="0" collapsed="false">
      <c r="A140" s="2" t="s">
        <v>278</v>
      </c>
      <c r="B140" s="1" t="s">
        <v>279</v>
      </c>
    </row>
    <row r="141" customFormat="false" ht="13.8" hidden="false" customHeight="false" outlineLevel="0" collapsed="false">
      <c r="A141" s="2" t="s">
        <v>280</v>
      </c>
      <c r="B141" s="1" t="s">
        <v>281</v>
      </c>
    </row>
    <row r="142" customFormat="false" ht="13.8" hidden="false" customHeight="false" outlineLevel="0" collapsed="false">
      <c r="A142" s="2" t="s">
        <v>282</v>
      </c>
      <c r="B142" s="1" t="s">
        <v>283</v>
      </c>
    </row>
    <row r="143" customFormat="false" ht="13.8" hidden="false" customHeight="false" outlineLevel="0" collapsed="false">
      <c r="A143" s="2" t="s">
        <v>284</v>
      </c>
      <c r="B143" s="1" t="s">
        <v>285</v>
      </c>
    </row>
    <row r="144" customFormat="false" ht="13.8" hidden="false" customHeight="false" outlineLevel="0" collapsed="false">
      <c r="A144" s="2" t="s">
        <v>286</v>
      </c>
      <c r="B144" s="1" t="s">
        <v>287</v>
      </c>
    </row>
    <row r="145" customFormat="false" ht="13.8" hidden="false" customHeight="false" outlineLevel="0" collapsed="false">
      <c r="A145" s="2" t="s">
        <v>288</v>
      </c>
      <c r="B145" s="1" t="s">
        <v>289</v>
      </c>
    </row>
    <row r="146" customFormat="false" ht="13.8" hidden="false" customHeight="false" outlineLevel="0" collapsed="false">
      <c r="A146" s="2" t="s">
        <v>290</v>
      </c>
      <c r="B146" s="1" t="s">
        <v>291</v>
      </c>
    </row>
    <row r="147" customFormat="false" ht="13.8" hidden="false" customHeight="false" outlineLevel="0" collapsed="false">
      <c r="A147" s="2" t="s">
        <v>292</v>
      </c>
      <c r="B147" s="1" t="s">
        <v>293</v>
      </c>
    </row>
    <row r="148" customFormat="false" ht="13.8" hidden="false" customHeight="false" outlineLevel="0" collapsed="false">
      <c r="A148" s="2" t="s">
        <v>294</v>
      </c>
      <c r="B148" s="1" t="s">
        <v>295</v>
      </c>
    </row>
    <row r="149" customFormat="false" ht="13.8" hidden="false" customHeight="false" outlineLevel="0" collapsed="false">
      <c r="A149" s="2" t="s">
        <v>296</v>
      </c>
      <c r="B149" s="1" t="s">
        <v>297</v>
      </c>
    </row>
    <row r="150" customFormat="false" ht="13.8" hidden="false" customHeight="false" outlineLevel="0" collapsed="false">
      <c r="A150" s="2" t="s">
        <v>298</v>
      </c>
      <c r="B150" s="1" t="s">
        <v>299</v>
      </c>
    </row>
    <row r="151" customFormat="false" ht="13.8" hidden="false" customHeight="false" outlineLevel="0" collapsed="false">
      <c r="A151" s="2" t="s">
        <v>300</v>
      </c>
      <c r="B151" s="1" t="s">
        <v>301</v>
      </c>
    </row>
    <row r="152" customFormat="false" ht="13.8" hidden="false" customHeight="false" outlineLevel="0" collapsed="false">
      <c r="A152" s="2" t="s">
        <v>302</v>
      </c>
      <c r="B152" s="1" t="s">
        <v>303</v>
      </c>
    </row>
    <row r="153" customFormat="false" ht="13.8" hidden="false" customHeight="false" outlineLevel="0" collapsed="false">
      <c r="A153" s="2" t="s">
        <v>304</v>
      </c>
      <c r="B153" s="1" t="s">
        <v>305</v>
      </c>
    </row>
    <row r="154" customFormat="false" ht="13.8" hidden="false" customHeight="false" outlineLevel="0" collapsed="false">
      <c r="A154" s="2" t="s">
        <v>306</v>
      </c>
      <c r="B154" s="1" t="s">
        <v>307</v>
      </c>
    </row>
    <row r="155" customFormat="false" ht="13.8" hidden="false" customHeight="false" outlineLevel="0" collapsed="false">
      <c r="A155" s="2" t="s">
        <v>308</v>
      </c>
      <c r="B155" s="1" t="s">
        <v>309</v>
      </c>
    </row>
    <row r="156" customFormat="false" ht="13.8" hidden="false" customHeight="false" outlineLevel="0" collapsed="false">
      <c r="A156" s="2" t="s">
        <v>310</v>
      </c>
      <c r="B156" s="1" t="s">
        <v>311</v>
      </c>
    </row>
    <row r="157" customFormat="false" ht="13.8" hidden="false" customHeight="false" outlineLevel="0" collapsed="false">
      <c r="A157" s="2" t="s">
        <v>312</v>
      </c>
      <c r="B157" s="1" t="s">
        <v>313</v>
      </c>
    </row>
    <row r="158" customFormat="false" ht="13.8" hidden="false" customHeight="false" outlineLevel="0" collapsed="false">
      <c r="A158" s="2" t="s">
        <v>314</v>
      </c>
      <c r="B158" s="1" t="s">
        <v>315</v>
      </c>
    </row>
    <row r="159" customFormat="false" ht="13.8" hidden="false" customHeight="false" outlineLevel="0" collapsed="false">
      <c r="A159" s="2" t="s">
        <v>316</v>
      </c>
      <c r="B159" s="1" t="s">
        <v>317</v>
      </c>
    </row>
    <row r="160" customFormat="false" ht="13.8" hidden="false" customHeight="false" outlineLevel="0" collapsed="false">
      <c r="A160" s="2" t="s">
        <v>318</v>
      </c>
      <c r="B160" s="1" t="s">
        <v>319</v>
      </c>
    </row>
    <row r="161" customFormat="false" ht="13.8" hidden="false" customHeight="false" outlineLevel="0" collapsed="false">
      <c r="A161" s="2" t="s">
        <v>320</v>
      </c>
      <c r="B161" s="1" t="s">
        <v>321</v>
      </c>
    </row>
    <row r="162" customFormat="false" ht="13.8" hidden="false" customHeight="false" outlineLevel="0" collapsed="false">
      <c r="A162" s="2" t="s">
        <v>322</v>
      </c>
      <c r="B162" s="1" t="s">
        <v>323</v>
      </c>
    </row>
    <row r="163" customFormat="false" ht="13.8" hidden="false" customHeight="false" outlineLevel="0" collapsed="false">
      <c r="A163" s="2" t="s">
        <v>324</v>
      </c>
      <c r="B163" s="1" t="s">
        <v>325</v>
      </c>
    </row>
    <row r="164" customFormat="false" ht="13.8" hidden="false" customHeight="false" outlineLevel="0" collapsed="false">
      <c r="A164" s="2" t="s">
        <v>326</v>
      </c>
      <c r="B164" s="1" t="s">
        <v>327</v>
      </c>
    </row>
    <row r="165" customFormat="false" ht="13.8" hidden="false" customHeight="false" outlineLevel="0" collapsed="false">
      <c r="A165" s="2" t="s">
        <v>328</v>
      </c>
      <c r="B165" s="1" t="s">
        <v>329</v>
      </c>
    </row>
    <row r="166" customFormat="false" ht="13.8" hidden="false" customHeight="false" outlineLevel="0" collapsed="false">
      <c r="A166" s="2" t="s">
        <v>330</v>
      </c>
      <c r="B166" s="1" t="s">
        <v>331</v>
      </c>
    </row>
    <row r="167" customFormat="false" ht="13.8" hidden="false" customHeight="false" outlineLevel="0" collapsed="false">
      <c r="A167" s="2" t="s">
        <v>332</v>
      </c>
      <c r="B167" s="1" t="s">
        <v>333</v>
      </c>
    </row>
    <row r="168" customFormat="false" ht="13.8" hidden="false" customHeight="false" outlineLevel="0" collapsed="false">
      <c r="A168" s="2" t="s">
        <v>334</v>
      </c>
      <c r="B168" s="1" t="s">
        <v>335</v>
      </c>
    </row>
    <row r="169" customFormat="false" ht="13.8" hidden="false" customHeight="false" outlineLevel="0" collapsed="false">
      <c r="A169" s="2" t="s">
        <v>336</v>
      </c>
      <c r="B169" s="1" t="s">
        <v>337</v>
      </c>
    </row>
    <row r="170" customFormat="false" ht="13.8" hidden="false" customHeight="false" outlineLevel="0" collapsed="false">
      <c r="A170" s="2" t="s">
        <v>338</v>
      </c>
      <c r="B170" s="1" t="s">
        <v>339</v>
      </c>
    </row>
    <row r="171" customFormat="false" ht="13.8" hidden="false" customHeight="false" outlineLevel="0" collapsed="false">
      <c r="A171" s="2" t="s">
        <v>340</v>
      </c>
      <c r="B171" s="1" t="s">
        <v>341</v>
      </c>
    </row>
    <row r="172" customFormat="false" ht="13.8" hidden="false" customHeight="false" outlineLevel="0" collapsed="false">
      <c r="A172" s="2" t="s">
        <v>342</v>
      </c>
      <c r="B172" s="1" t="s">
        <v>343</v>
      </c>
    </row>
    <row r="173" customFormat="false" ht="13.8" hidden="false" customHeight="false" outlineLevel="0" collapsed="false">
      <c r="A173" s="2" t="s">
        <v>344</v>
      </c>
      <c r="B173" s="1" t="s">
        <v>345</v>
      </c>
    </row>
    <row r="174" customFormat="false" ht="13.8" hidden="false" customHeight="false" outlineLevel="0" collapsed="false">
      <c r="A174" s="2" t="s">
        <v>346</v>
      </c>
      <c r="B174" s="1" t="s">
        <v>347</v>
      </c>
    </row>
    <row r="175" customFormat="false" ht="13.8" hidden="false" customHeight="false" outlineLevel="0" collapsed="false">
      <c r="A175" s="2" t="s">
        <v>348</v>
      </c>
      <c r="B175" s="1" t="s">
        <v>349</v>
      </c>
    </row>
    <row r="176" customFormat="false" ht="13.8" hidden="false" customHeight="false" outlineLevel="0" collapsed="false">
      <c r="A176" s="2" t="s">
        <v>350</v>
      </c>
      <c r="B176" s="1" t="s">
        <v>351</v>
      </c>
    </row>
    <row r="177" customFormat="false" ht="13.8" hidden="false" customHeight="false" outlineLevel="0" collapsed="false">
      <c r="A177" s="2" t="s">
        <v>352</v>
      </c>
      <c r="B177" s="1" t="s">
        <v>353</v>
      </c>
    </row>
    <row r="178" customFormat="false" ht="13.8" hidden="false" customHeight="false" outlineLevel="0" collapsed="false">
      <c r="A178" s="2" t="s">
        <v>354</v>
      </c>
      <c r="B178" s="1" t="s">
        <v>355</v>
      </c>
    </row>
    <row r="179" customFormat="false" ht="13.8" hidden="false" customHeight="false" outlineLevel="0" collapsed="false">
      <c r="A179" s="2" t="s">
        <v>356</v>
      </c>
      <c r="B179" s="1" t="s">
        <v>357</v>
      </c>
    </row>
    <row r="180" customFormat="false" ht="13.8" hidden="false" customHeight="false" outlineLevel="0" collapsed="false">
      <c r="A180" s="2" t="s">
        <v>358</v>
      </c>
      <c r="B180" s="1" t="s">
        <v>359</v>
      </c>
    </row>
    <row r="181" customFormat="false" ht="13.8" hidden="false" customHeight="false" outlineLevel="0" collapsed="false">
      <c r="A181" s="2" t="s">
        <v>360</v>
      </c>
      <c r="B181" s="1" t="s">
        <v>361</v>
      </c>
    </row>
    <row r="182" customFormat="false" ht="13.8" hidden="false" customHeight="false" outlineLevel="0" collapsed="false">
      <c r="A182" s="2" t="s">
        <v>362</v>
      </c>
      <c r="B182" s="1" t="s">
        <v>363</v>
      </c>
    </row>
    <row r="183" customFormat="false" ht="13.8" hidden="false" customHeight="false" outlineLevel="0" collapsed="false">
      <c r="A183" s="2" t="s">
        <v>364</v>
      </c>
      <c r="B183" s="1" t="s">
        <v>365</v>
      </c>
    </row>
    <row r="184" customFormat="false" ht="13.8" hidden="false" customHeight="false" outlineLevel="0" collapsed="false">
      <c r="A184" s="2" t="s">
        <v>366</v>
      </c>
      <c r="B184" s="1" t="s">
        <v>367</v>
      </c>
    </row>
    <row r="185" customFormat="false" ht="13.8" hidden="false" customHeight="false" outlineLevel="0" collapsed="false">
      <c r="A185" s="2" t="s">
        <v>368</v>
      </c>
      <c r="B185" s="1" t="s">
        <v>369</v>
      </c>
    </row>
    <row r="186" customFormat="false" ht="13.8" hidden="false" customHeight="false" outlineLevel="0" collapsed="false">
      <c r="A186" s="2" t="s">
        <v>370</v>
      </c>
      <c r="B186" s="1" t="s">
        <v>371</v>
      </c>
    </row>
    <row r="187" customFormat="false" ht="13.8" hidden="false" customHeight="false" outlineLevel="0" collapsed="false">
      <c r="A187" s="2" t="s">
        <v>372</v>
      </c>
      <c r="B187" s="1" t="s">
        <v>373</v>
      </c>
    </row>
    <row r="188" customFormat="false" ht="13.8" hidden="false" customHeight="false" outlineLevel="0" collapsed="false">
      <c r="A188" s="2" t="s">
        <v>374</v>
      </c>
      <c r="B188" s="1" t="s">
        <v>375</v>
      </c>
    </row>
    <row r="189" customFormat="false" ht="13.8" hidden="false" customHeight="false" outlineLevel="0" collapsed="false">
      <c r="A189" s="2" t="s">
        <v>376</v>
      </c>
      <c r="B189" s="1" t="s">
        <v>377</v>
      </c>
    </row>
    <row r="190" customFormat="false" ht="13.8" hidden="false" customHeight="false" outlineLevel="0" collapsed="false">
      <c r="A190" s="2" t="s">
        <v>378</v>
      </c>
    </row>
    <row r="191" customFormat="false" ht="13.8" hidden="false" customHeight="false" outlineLevel="0" collapsed="false">
      <c r="A191" s="2" t="s">
        <v>379</v>
      </c>
      <c r="B191" s="1" t="s">
        <v>380</v>
      </c>
    </row>
    <row r="192" customFormat="false" ht="13.8" hidden="false" customHeight="false" outlineLevel="0" collapsed="false">
      <c r="A192" s="2" t="s">
        <v>381</v>
      </c>
    </row>
    <row r="193" customFormat="false" ht="13.8" hidden="false" customHeight="false" outlineLevel="0" collapsed="false">
      <c r="A193" s="2" t="s">
        <v>382</v>
      </c>
      <c r="B193" s="1" t="s">
        <v>383</v>
      </c>
    </row>
    <row r="194" customFormat="false" ht="13.8" hidden="false" customHeight="false" outlineLevel="0" collapsed="false">
      <c r="A194" s="2" t="s">
        <v>384</v>
      </c>
      <c r="B194" s="1" t="s">
        <v>385</v>
      </c>
    </row>
    <row r="195" customFormat="false" ht="13.8" hidden="false" customHeight="false" outlineLevel="0" collapsed="false">
      <c r="A195" s="2" t="s">
        <v>386</v>
      </c>
      <c r="B195" s="1" t="s">
        <v>387</v>
      </c>
    </row>
    <row r="196" customFormat="false" ht="13.8" hidden="false" customHeight="false" outlineLevel="0" collapsed="false">
      <c r="A196" s="2" t="s">
        <v>388</v>
      </c>
      <c r="B196" s="1" t="s">
        <v>389</v>
      </c>
    </row>
    <row r="197" customFormat="false" ht="13.8" hidden="false" customHeight="false" outlineLevel="0" collapsed="false">
      <c r="A197" s="2" t="s">
        <v>390</v>
      </c>
      <c r="B197" s="1"/>
    </row>
    <row r="198" customFormat="false" ht="13.8" hidden="false" customHeight="false" outlineLevel="0" collapsed="false">
      <c r="A198" s="2" t="s">
        <v>391</v>
      </c>
      <c r="B198" s="1"/>
    </row>
    <row r="199" customFormat="false" ht="13.8" hidden="false" customHeight="false" outlineLevel="0" collapsed="false">
      <c r="A199" s="3" t="s">
        <v>392</v>
      </c>
      <c r="B199" s="1" t="s">
        <v>393</v>
      </c>
    </row>
    <row r="200" customFormat="false" ht="13.8" hidden="false" customHeight="false" outlineLevel="0" collapsed="false">
      <c r="A200" s="3" t="s">
        <v>394</v>
      </c>
      <c r="B200" s="1" t="s">
        <v>395</v>
      </c>
    </row>
    <row r="201" customFormat="false" ht="13.8" hidden="false" customHeight="false" outlineLevel="0" collapsed="false">
      <c r="A201" s="3" t="s">
        <v>396</v>
      </c>
      <c r="B201" s="1" t="s">
        <v>397</v>
      </c>
    </row>
    <row r="202" customFormat="false" ht="13.8" hidden="false" customHeight="false" outlineLevel="0" collapsed="false">
      <c r="A202" s="3" t="s">
        <v>398</v>
      </c>
      <c r="B202" s="1" t="s">
        <v>399</v>
      </c>
    </row>
    <row r="203" customFormat="false" ht="13.8" hidden="false" customHeight="false" outlineLevel="0" collapsed="false">
      <c r="A203" s="3" t="s">
        <v>400</v>
      </c>
      <c r="B203" s="1" t="s">
        <v>401</v>
      </c>
    </row>
    <row r="204" customFormat="false" ht="13.8" hidden="false" customHeight="false" outlineLevel="0" collapsed="false">
      <c r="A204" s="3" t="s">
        <v>402</v>
      </c>
      <c r="B204" s="1" t="s">
        <v>403</v>
      </c>
    </row>
    <row r="205" customFormat="false" ht="13.8" hidden="false" customHeight="false" outlineLevel="0" collapsed="false">
      <c r="A205" s="3" t="s">
        <v>404</v>
      </c>
      <c r="B205" s="1" t="s">
        <v>405</v>
      </c>
    </row>
    <row r="206" customFormat="false" ht="13.8" hidden="false" customHeight="false" outlineLevel="0" collapsed="false">
      <c r="A206" s="3" t="s">
        <v>406</v>
      </c>
      <c r="B206" s="1" t="s">
        <v>407</v>
      </c>
    </row>
    <row r="207" customFormat="false" ht="13.8" hidden="false" customHeight="false" outlineLevel="0" collapsed="false">
      <c r="A207" s="3" t="s">
        <v>408</v>
      </c>
      <c r="B207" s="1" t="s">
        <v>409</v>
      </c>
    </row>
    <row r="208" customFormat="false" ht="13.8" hidden="false" customHeight="false" outlineLevel="0" collapsed="false">
      <c r="A208" s="3" t="s">
        <v>410</v>
      </c>
      <c r="B208" s="1" t="s">
        <v>411</v>
      </c>
    </row>
    <row r="209" customFormat="false" ht="13.8" hidden="false" customHeight="false" outlineLevel="0" collapsed="false">
      <c r="A209" s="3" t="s">
        <v>412</v>
      </c>
      <c r="B209" s="1" t="s">
        <v>413</v>
      </c>
    </row>
    <row r="210" customFormat="false" ht="13.8" hidden="false" customHeight="false" outlineLevel="0" collapsed="false">
      <c r="A210" s="3" t="s">
        <v>414</v>
      </c>
      <c r="B210" s="1" t="s">
        <v>415</v>
      </c>
    </row>
    <row r="211" customFormat="false" ht="13.8" hidden="false" customHeight="false" outlineLevel="0" collapsed="false">
      <c r="A211" s="3" t="s">
        <v>416</v>
      </c>
      <c r="B211" s="1" t="s">
        <v>417</v>
      </c>
    </row>
    <row r="212" customFormat="false" ht="13.8" hidden="false" customHeight="false" outlineLevel="0" collapsed="false">
      <c r="A212" s="3" t="s">
        <v>418</v>
      </c>
      <c r="B212" s="1" t="s">
        <v>419</v>
      </c>
    </row>
    <row r="213" customFormat="false" ht="13.8" hidden="false" customHeight="false" outlineLevel="0" collapsed="false">
      <c r="A213" s="3" t="s">
        <v>420</v>
      </c>
      <c r="B213" s="1" t="s">
        <v>421</v>
      </c>
    </row>
    <row r="214" customFormat="false" ht="13.8" hidden="false" customHeight="false" outlineLevel="0" collapsed="false">
      <c r="A214" s="3" t="s">
        <v>422</v>
      </c>
      <c r="B214" s="1" t="s">
        <v>423</v>
      </c>
    </row>
    <row r="215" customFormat="false" ht="13.8" hidden="false" customHeight="false" outlineLevel="0" collapsed="false">
      <c r="A215" s="3" t="s">
        <v>424</v>
      </c>
      <c r="B215" s="1" t="s">
        <v>425</v>
      </c>
    </row>
    <row r="216" customFormat="false" ht="13.8" hidden="false" customHeight="false" outlineLevel="0" collapsed="false">
      <c r="A216" s="3" t="s">
        <v>426</v>
      </c>
      <c r="B216" s="1" t="s">
        <v>427</v>
      </c>
    </row>
    <row r="217" customFormat="false" ht="13.8" hidden="false" customHeight="false" outlineLevel="0" collapsed="false">
      <c r="A217" s="3" t="s">
        <v>428</v>
      </c>
      <c r="B217" s="1" t="s">
        <v>429</v>
      </c>
    </row>
    <row r="218" customFormat="false" ht="13.8" hidden="false" customHeight="false" outlineLevel="0" collapsed="false">
      <c r="A218" s="3" t="s">
        <v>430</v>
      </c>
      <c r="B218" s="1" t="s">
        <v>431</v>
      </c>
    </row>
    <row r="219" customFormat="false" ht="13.8" hidden="false" customHeight="false" outlineLevel="0" collapsed="false">
      <c r="A219" s="3" t="s">
        <v>432</v>
      </c>
      <c r="B219" s="1" t="s">
        <v>433</v>
      </c>
    </row>
    <row r="220" customFormat="false" ht="13.8" hidden="false" customHeight="false" outlineLevel="0" collapsed="false">
      <c r="A220" s="3" t="s">
        <v>434</v>
      </c>
      <c r="B220" s="1" t="s">
        <v>435</v>
      </c>
    </row>
    <row r="221" customFormat="false" ht="13.8" hidden="false" customHeight="false" outlineLevel="0" collapsed="false">
      <c r="A221" s="3" t="s">
        <v>436</v>
      </c>
      <c r="B221" s="1" t="s">
        <v>437</v>
      </c>
    </row>
    <row r="222" customFormat="false" ht="13.8" hidden="false" customHeight="false" outlineLevel="0" collapsed="false">
      <c r="A222" s="3" t="s">
        <v>438</v>
      </c>
      <c r="B222" s="1" t="s">
        <v>439</v>
      </c>
    </row>
    <row r="223" customFormat="false" ht="13.8" hidden="false" customHeight="false" outlineLevel="0" collapsed="false">
      <c r="A223" s="3" t="s">
        <v>440</v>
      </c>
      <c r="B223" s="1" t="s">
        <v>441</v>
      </c>
    </row>
    <row r="224" customFormat="false" ht="13.8" hidden="false" customHeight="false" outlineLevel="0" collapsed="false">
      <c r="A224" s="3" t="s">
        <v>442</v>
      </c>
      <c r="B224" s="1" t="s">
        <v>443</v>
      </c>
    </row>
    <row r="225" customFormat="false" ht="13.8" hidden="false" customHeight="false" outlineLevel="0" collapsed="false">
      <c r="A225" s="3" t="s">
        <v>444</v>
      </c>
      <c r="B225" s="1" t="s">
        <v>445</v>
      </c>
    </row>
    <row r="226" customFormat="false" ht="13.8" hidden="false" customHeight="false" outlineLevel="0" collapsed="false">
      <c r="A226" s="3" t="s">
        <v>446</v>
      </c>
      <c r="B226" s="1" t="s">
        <v>447</v>
      </c>
    </row>
    <row r="227" customFormat="false" ht="13.8" hidden="false" customHeight="false" outlineLevel="0" collapsed="false">
      <c r="A227" s="3" t="s">
        <v>448</v>
      </c>
      <c r="B227" s="1" t="s">
        <v>449</v>
      </c>
    </row>
    <row r="228" customFormat="false" ht="13.8" hidden="false" customHeight="false" outlineLevel="0" collapsed="false">
      <c r="A228" s="3" t="s">
        <v>450</v>
      </c>
      <c r="B228" s="1" t="s">
        <v>451</v>
      </c>
    </row>
    <row r="229" customFormat="false" ht="13.8" hidden="false" customHeight="false" outlineLevel="0" collapsed="false">
      <c r="A229" s="3" t="s">
        <v>452</v>
      </c>
      <c r="B229" s="1" t="s">
        <v>453</v>
      </c>
    </row>
    <row r="230" customFormat="false" ht="13.8" hidden="false" customHeight="false" outlineLevel="0" collapsed="false">
      <c r="A230" s="3" t="s">
        <v>454</v>
      </c>
      <c r="B230" s="1" t="s">
        <v>455</v>
      </c>
    </row>
    <row r="231" customFormat="false" ht="13.8" hidden="false" customHeight="false" outlineLevel="0" collapsed="false">
      <c r="A231" s="3" t="s">
        <v>456</v>
      </c>
      <c r="B231" s="1" t="s">
        <v>457</v>
      </c>
    </row>
    <row r="232" customFormat="false" ht="13.8" hidden="false" customHeight="false" outlineLevel="0" collapsed="false">
      <c r="A232" s="3" t="s">
        <v>458</v>
      </c>
      <c r="B232" s="1" t="s">
        <v>459</v>
      </c>
    </row>
    <row r="233" customFormat="false" ht="13.8" hidden="false" customHeight="false" outlineLevel="0" collapsed="false">
      <c r="A233" s="3" t="s">
        <v>460</v>
      </c>
      <c r="B233" s="1" t="s">
        <v>461</v>
      </c>
    </row>
    <row r="234" customFormat="false" ht="13.8" hidden="false" customHeight="false" outlineLevel="0" collapsed="false">
      <c r="A234" s="3" t="s">
        <v>462</v>
      </c>
      <c r="B234" s="1" t="s">
        <v>463</v>
      </c>
    </row>
    <row r="235" customFormat="false" ht="13.8" hidden="false" customHeight="false" outlineLevel="0" collapsed="false">
      <c r="A235" s="3" t="s">
        <v>464</v>
      </c>
      <c r="B235" s="1" t="s">
        <v>465</v>
      </c>
    </row>
    <row r="236" customFormat="false" ht="13.8" hidden="false" customHeight="false" outlineLevel="0" collapsed="false">
      <c r="A236" s="3" t="s">
        <v>466</v>
      </c>
      <c r="B236" s="1" t="s">
        <v>467</v>
      </c>
    </row>
    <row r="237" customFormat="false" ht="13.8" hidden="false" customHeight="false" outlineLevel="0" collapsed="false">
      <c r="A237" s="3" t="s">
        <v>468</v>
      </c>
      <c r="B237" s="1" t="s">
        <v>469</v>
      </c>
    </row>
    <row r="238" customFormat="false" ht="13.8" hidden="false" customHeight="false" outlineLevel="0" collapsed="false">
      <c r="A238" s="3" t="s">
        <v>470</v>
      </c>
      <c r="B238" s="1" t="s">
        <v>471</v>
      </c>
    </row>
    <row r="239" customFormat="false" ht="13.8" hidden="false" customHeight="false" outlineLevel="0" collapsed="false">
      <c r="A239" s="3" t="s">
        <v>472</v>
      </c>
      <c r="B239" s="1" t="s">
        <v>473</v>
      </c>
    </row>
    <row r="240" customFormat="false" ht="13.8" hidden="false" customHeight="false" outlineLevel="0" collapsed="false">
      <c r="A240" s="3" t="s">
        <v>474</v>
      </c>
      <c r="B240" s="1" t="s">
        <v>475</v>
      </c>
    </row>
    <row r="241" customFormat="false" ht="13.8" hidden="false" customHeight="false" outlineLevel="0" collapsed="false">
      <c r="A241" s="3" t="s">
        <v>476</v>
      </c>
      <c r="B241" s="1" t="s">
        <v>477</v>
      </c>
    </row>
    <row r="242" customFormat="false" ht="13.8" hidden="false" customHeight="false" outlineLevel="0" collapsed="false">
      <c r="A242" s="3" t="s">
        <v>478</v>
      </c>
      <c r="B242" s="1" t="s">
        <v>479</v>
      </c>
    </row>
    <row r="243" customFormat="false" ht="13.8" hidden="false" customHeight="false" outlineLevel="0" collapsed="false">
      <c r="A243" s="3" t="s">
        <v>480</v>
      </c>
      <c r="B243" s="1" t="s">
        <v>481</v>
      </c>
    </row>
    <row r="244" customFormat="false" ht="13.8" hidden="false" customHeight="false" outlineLevel="0" collapsed="false">
      <c r="A244" s="3" t="s">
        <v>482</v>
      </c>
      <c r="B244" s="1" t="s">
        <v>483</v>
      </c>
    </row>
    <row r="245" customFormat="false" ht="13.8" hidden="false" customHeight="false" outlineLevel="0" collapsed="false">
      <c r="A245" s="3" t="s">
        <v>484</v>
      </c>
      <c r="B245" s="1" t="s">
        <v>485</v>
      </c>
    </row>
    <row r="246" customFormat="false" ht="13.8" hidden="false" customHeight="false" outlineLevel="0" collapsed="false">
      <c r="A246" s="3" t="s">
        <v>486</v>
      </c>
      <c r="B246" s="1" t="s">
        <v>487</v>
      </c>
    </row>
    <row r="247" customFormat="false" ht="13.8" hidden="false" customHeight="false" outlineLevel="0" collapsed="false">
      <c r="A247" s="3" t="s">
        <v>488</v>
      </c>
      <c r="B247" s="1" t="s">
        <v>489</v>
      </c>
    </row>
    <row r="248" customFormat="false" ht="13.8" hidden="false" customHeight="false" outlineLevel="0" collapsed="false">
      <c r="A248" s="3" t="s">
        <v>490</v>
      </c>
      <c r="B248" s="1" t="s">
        <v>491</v>
      </c>
    </row>
    <row r="249" customFormat="false" ht="13.8" hidden="false" customHeight="false" outlineLevel="0" collapsed="false">
      <c r="A249" s="3" t="s">
        <v>492</v>
      </c>
      <c r="B249" s="1" t="s">
        <v>493</v>
      </c>
    </row>
    <row r="250" customFormat="false" ht="13.8" hidden="false" customHeight="false" outlineLevel="0" collapsed="false">
      <c r="A250" s="3" t="s">
        <v>494</v>
      </c>
      <c r="B250" s="1" t="s">
        <v>495</v>
      </c>
    </row>
    <row r="251" customFormat="false" ht="13.8" hidden="false" customHeight="false" outlineLevel="0" collapsed="false">
      <c r="A251" s="3" t="s">
        <v>496</v>
      </c>
      <c r="B251" s="1" t="s">
        <v>497</v>
      </c>
    </row>
    <row r="252" customFormat="false" ht="13.8" hidden="false" customHeight="false" outlineLevel="0" collapsed="false">
      <c r="A252" s="3" t="s">
        <v>498</v>
      </c>
      <c r="B252" s="1" t="s">
        <v>499</v>
      </c>
    </row>
    <row r="253" customFormat="false" ht="13.8" hidden="false" customHeight="false" outlineLevel="0" collapsed="false">
      <c r="A253" s="3" t="s">
        <v>500</v>
      </c>
      <c r="B253" s="1" t="s">
        <v>501</v>
      </c>
    </row>
    <row r="254" customFormat="false" ht="13.8" hidden="false" customHeight="false" outlineLevel="0" collapsed="false">
      <c r="A254" s="3" t="s">
        <v>502</v>
      </c>
      <c r="B254" s="1" t="s">
        <v>503</v>
      </c>
    </row>
    <row r="255" customFormat="false" ht="13.8" hidden="false" customHeight="false" outlineLevel="0" collapsed="false">
      <c r="A255" s="3" t="s">
        <v>504</v>
      </c>
      <c r="B255" s="1" t="s">
        <v>505</v>
      </c>
    </row>
    <row r="256" customFormat="false" ht="13.8" hidden="false" customHeight="false" outlineLevel="0" collapsed="false">
      <c r="A256" s="3" t="s">
        <v>506</v>
      </c>
      <c r="B256" s="1" t="s">
        <v>507</v>
      </c>
    </row>
    <row r="257" customFormat="false" ht="13.8" hidden="false" customHeight="false" outlineLevel="0" collapsed="false">
      <c r="A257" s="3" t="s">
        <v>508</v>
      </c>
      <c r="B257" s="1" t="s">
        <v>509</v>
      </c>
    </row>
    <row r="258" customFormat="false" ht="13.8" hidden="false" customHeight="false" outlineLevel="0" collapsed="false">
      <c r="A258" s="3" t="s">
        <v>510</v>
      </c>
      <c r="B258" s="1" t="s">
        <v>511</v>
      </c>
    </row>
    <row r="259" customFormat="false" ht="13.8" hidden="false" customHeight="false" outlineLevel="0" collapsed="false">
      <c r="A259" s="3" t="s">
        <v>512</v>
      </c>
      <c r="B259" s="1" t="s">
        <v>513</v>
      </c>
    </row>
    <row r="260" customFormat="false" ht="13.8" hidden="false" customHeight="false" outlineLevel="0" collapsed="false">
      <c r="A260" s="3" t="s">
        <v>514</v>
      </c>
      <c r="B260" s="1" t="s">
        <v>515</v>
      </c>
    </row>
    <row r="261" customFormat="false" ht="13.8" hidden="false" customHeight="false" outlineLevel="0" collapsed="false">
      <c r="A261" s="3" t="s">
        <v>516</v>
      </c>
      <c r="B261" s="1" t="s">
        <v>517</v>
      </c>
    </row>
    <row r="262" customFormat="false" ht="13.8" hidden="false" customHeight="false" outlineLevel="0" collapsed="false">
      <c r="A262" s="3" t="s">
        <v>518</v>
      </c>
      <c r="B262" s="1" t="s">
        <v>519</v>
      </c>
    </row>
    <row r="263" customFormat="false" ht="13.8" hidden="false" customHeight="false" outlineLevel="0" collapsed="false">
      <c r="A263" s="3" t="s">
        <v>520</v>
      </c>
      <c r="B263" s="1" t="s">
        <v>521</v>
      </c>
    </row>
    <row r="264" customFormat="false" ht="13.8" hidden="false" customHeight="false" outlineLevel="0" collapsed="false">
      <c r="A264" s="3" t="s">
        <v>522</v>
      </c>
      <c r="B264" s="1" t="s">
        <v>523</v>
      </c>
    </row>
    <row r="265" customFormat="false" ht="13.8" hidden="false" customHeight="false" outlineLevel="0" collapsed="false">
      <c r="A265" s="3" t="s">
        <v>524</v>
      </c>
      <c r="B265" s="1" t="s">
        <v>525</v>
      </c>
    </row>
    <row r="266" customFormat="false" ht="13.8" hidden="false" customHeight="false" outlineLevel="0" collapsed="false">
      <c r="A266" s="3" t="s">
        <v>526</v>
      </c>
      <c r="B266" s="1" t="s">
        <v>527</v>
      </c>
    </row>
    <row r="267" customFormat="false" ht="13.8" hidden="false" customHeight="false" outlineLevel="0" collapsed="false">
      <c r="A267" s="3" t="s">
        <v>528</v>
      </c>
      <c r="B267" s="1" t="s">
        <v>529</v>
      </c>
    </row>
    <row r="268" customFormat="false" ht="13.8" hidden="false" customHeight="false" outlineLevel="0" collapsed="false">
      <c r="A268" s="3" t="s">
        <v>530</v>
      </c>
      <c r="B268" s="1" t="s">
        <v>531</v>
      </c>
    </row>
    <row r="269" customFormat="false" ht="13.8" hidden="false" customHeight="false" outlineLevel="0" collapsed="false">
      <c r="A269" s="3" t="s">
        <v>532</v>
      </c>
      <c r="B269" s="1" t="s">
        <v>533</v>
      </c>
    </row>
    <row r="270" customFormat="false" ht="13.8" hidden="false" customHeight="false" outlineLevel="0" collapsed="false">
      <c r="A270" s="3" t="s">
        <v>534</v>
      </c>
      <c r="B270" s="1" t="s">
        <v>535</v>
      </c>
    </row>
    <row r="271" customFormat="false" ht="13.8" hidden="false" customHeight="false" outlineLevel="0" collapsed="false">
      <c r="A271" s="3" t="s">
        <v>536</v>
      </c>
      <c r="B271" s="1" t="s">
        <v>537</v>
      </c>
    </row>
    <row r="272" customFormat="false" ht="13.8" hidden="false" customHeight="false" outlineLevel="0" collapsed="false">
      <c r="A272" s="3" t="s">
        <v>538</v>
      </c>
      <c r="B272" s="1" t="s">
        <v>539</v>
      </c>
    </row>
    <row r="273" customFormat="false" ht="13.8" hidden="false" customHeight="false" outlineLevel="0" collapsed="false">
      <c r="A273" s="3" t="s">
        <v>540</v>
      </c>
      <c r="B273" s="1" t="s">
        <v>541</v>
      </c>
    </row>
    <row r="274" customFormat="false" ht="13.8" hidden="false" customHeight="false" outlineLevel="0" collapsed="false">
      <c r="A274" s="3" t="s">
        <v>542</v>
      </c>
      <c r="B274" s="1" t="s">
        <v>543</v>
      </c>
    </row>
    <row r="275" customFormat="false" ht="13.8" hidden="false" customHeight="false" outlineLevel="0" collapsed="false">
      <c r="A275" s="3" t="s">
        <v>544</v>
      </c>
      <c r="B275" s="1" t="s">
        <v>545</v>
      </c>
    </row>
    <row r="276" customFormat="false" ht="13.8" hidden="false" customHeight="false" outlineLevel="0" collapsed="false">
      <c r="A276" s="3" t="s">
        <v>546</v>
      </c>
      <c r="B276" s="1" t="s">
        <v>547</v>
      </c>
    </row>
    <row r="277" customFormat="false" ht="13.8" hidden="false" customHeight="false" outlineLevel="0" collapsed="false">
      <c r="A277" s="3" t="s">
        <v>548</v>
      </c>
      <c r="B277" s="1" t="s">
        <v>549</v>
      </c>
    </row>
    <row r="278" customFormat="false" ht="13.8" hidden="false" customHeight="false" outlineLevel="0" collapsed="false">
      <c r="A278" s="3" t="s">
        <v>550</v>
      </c>
      <c r="B278" s="1" t="s">
        <v>551</v>
      </c>
    </row>
    <row r="279" customFormat="false" ht="13.8" hidden="false" customHeight="false" outlineLevel="0" collapsed="false">
      <c r="A279" s="3" t="s">
        <v>552</v>
      </c>
      <c r="B279" s="1" t="s">
        <v>553</v>
      </c>
    </row>
    <row r="280" customFormat="false" ht="13.8" hidden="false" customHeight="false" outlineLevel="0" collapsed="false">
      <c r="A280" s="3" t="s">
        <v>554</v>
      </c>
      <c r="B280" s="1" t="s">
        <v>555</v>
      </c>
    </row>
    <row r="281" customFormat="false" ht="13.8" hidden="false" customHeight="false" outlineLevel="0" collapsed="false">
      <c r="A281" s="3" t="s">
        <v>556</v>
      </c>
      <c r="B281" s="1" t="s">
        <v>557</v>
      </c>
    </row>
    <row r="282" customFormat="false" ht="13.8" hidden="false" customHeight="false" outlineLevel="0" collapsed="false">
      <c r="A282" s="3" t="s">
        <v>558</v>
      </c>
      <c r="B282" s="1" t="s">
        <v>559</v>
      </c>
    </row>
    <row r="283" customFormat="false" ht="13.8" hidden="false" customHeight="false" outlineLevel="0" collapsed="false">
      <c r="A283" s="3" t="s">
        <v>560</v>
      </c>
      <c r="B283" s="1" t="s">
        <v>561</v>
      </c>
    </row>
    <row r="284" customFormat="false" ht="13.8" hidden="false" customHeight="false" outlineLevel="0" collapsed="false">
      <c r="A284" s="3" t="s">
        <v>562</v>
      </c>
      <c r="B284" s="1" t="s">
        <v>563</v>
      </c>
    </row>
    <row r="285" customFormat="false" ht="13.8" hidden="false" customHeight="false" outlineLevel="0" collapsed="false">
      <c r="A285" s="3" t="s">
        <v>564</v>
      </c>
      <c r="B285" s="1" t="s">
        <v>565</v>
      </c>
    </row>
    <row r="286" customFormat="false" ht="13.8" hidden="false" customHeight="false" outlineLevel="0" collapsed="false">
      <c r="A286" s="3" t="s">
        <v>566</v>
      </c>
      <c r="B286" s="1" t="s">
        <v>567</v>
      </c>
    </row>
    <row r="287" customFormat="false" ht="13.8" hidden="false" customHeight="false" outlineLevel="0" collapsed="false">
      <c r="A287" s="3" t="s">
        <v>568</v>
      </c>
      <c r="B287" s="1" t="s">
        <v>569</v>
      </c>
    </row>
    <row r="288" customFormat="false" ht="13.8" hidden="false" customHeight="false" outlineLevel="0" collapsed="false">
      <c r="A288" s="3" t="s">
        <v>570</v>
      </c>
      <c r="B288" s="1" t="s">
        <v>571</v>
      </c>
    </row>
    <row r="289" customFormat="false" ht="13.8" hidden="false" customHeight="false" outlineLevel="0" collapsed="false">
      <c r="A289" s="3" t="s">
        <v>572</v>
      </c>
      <c r="B289" s="1" t="s">
        <v>573</v>
      </c>
    </row>
    <row r="290" customFormat="false" ht="13.8" hidden="false" customHeight="false" outlineLevel="0" collapsed="false">
      <c r="A290" s="3" t="s">
        <v>574</v>
      </c>
      <c r="B290" s="1" t="s">
        <v>575</v>
      </c>
    </row>
    <row r="291" customFormat="false" ht="13.8" hidden="false" customHeight="false" outlineLevel="0" collapsed="false">
      <c r="A291" s="3" t="s">
        <v>576</v>
      </c>
      <c r="B291" s="1" t="s">
        <v>577</v>
      </c>
    </row>
    <row r="292" customFormat="false" ht="13.8" hidden="false" customHeight="false" outlineLevel="0" collapsed="false">
      <c r="A292" s="3" t="s">
        <v>578</v>
      </c>
      <c r="B292" s="1" t="s">
        <v>579</v>
      </c>
    </row>
    <row r="293" customFormat="false" ht="13.8" hidden="false" customHeight="false" outlineLevel="0" collapsed="false">
      <c r="A293" s="3" t="s">
        <v>580</v>
      </c>
      <c r="B293" s="1" t="s">
        <v>581</v>
      </c>
    </row>
    <row r="294" customFormat="false" ht="13.8" hidden="false" customHeight="false" outlineLevel="0" collapsed="false">
      <c r="A294" s="3" t="s">
        <v>582</v>
      </c>
      <c r="B294" s="1" t="s">
        <v>583</v>
      </c>
    </row>
    <row r="295" customFormat="false" ht="13.8" hidden="false" customHeight="false" outlineLevel="0" collapsed="false">
      <c r="A295" s="3" t="s">
        <v>584</v>
      </c>
      <c r="B295" s="1" t="s">
        <v>585</v>
      </c>
    </row>
    <row r="296" customFormat="false" ht="13.8" hidden="false" customHeight="false" outlineLevel="0" collapsed="false">
      <c r="A296" s="3" t="s">
        <v>586</v>
      </c>
      <c r="B296" s="1" t="s">
        <v>587</v>
      </c>
    </row>
    <row r="297" customFormat="false" ht="13.8" hidden="false" customHeight="false" outlineLevel="0" collapsed="false">
      <c r="A297" s="3" t="s">
        <v>588</v>
      </c>
      <c r="B297" s="1" t="s">
        <v>589</v>
      </c>
    </row>
    <row r="298" customFormat="false" ht="13.8" hidden="false" customHeight="false" outlineLevel="0" collapsed="false">
      <c r="A298" s="3" t="s">
        <v>590</v>
      </c>
      <c r="B298" s="1" t="s">
        <v>591</v>
      </c>
    </row>
    <row r="299" customFormat="false" ht="13.8" hidden="false" customHeight="false" outlineLevel="0" collapsed="false">
      <c r="A299" s="3" t="s">
        <v>592</v>
      </c>
      <c r="B299" s="1" t="s">
        <v>593</v>
      </c>
    </row>
    <row r="300" customFormat="false" ht="13.8" hidden="false" customHeight="false" outlineLevel="0" collapsed="false">
      <c r="A300" s="3" t="s">
        <v>594</v>
      </c>
      <c r="B300" s="1" t="s">
        <v>595</v>
      </c>
    </row>
    <row r="301" customFormat="false" ht="13.8" hidden="false" customHeight="false" outlineLevel="0" collapsed="false">
      <c r="A301" s="3" t="s">
        <v>596</v>
      </c>
      <c r="B301" s="1" t="s">
        <v>597</v>
      </c>
    </row>
    <row r="302" customFormat="false" ht="13.8" hidden="false" customHeight="false" outlineLevel="0" collapsed="false">
      <c r="A302" s="3" t="s">
        <v>598</v>
      </c>
      <c r="B302" s="1" t="s">
        <v>599</v>
      </c>
    </row>
    <row r="303" customFormat="false" ht="13.8" hidden="false" customHeight="false" outlineLevel="0" collapsed="false">
      <c r="A303" s="3" t="s">
        <v>600</v>
      </c>
      <c r="B303" s="1" t="s">
        <v>601</v>
      </c>
    </row>
    <row r="304" customFormat="false" ht="13.8" hidden="false" customHeight="false" outlineLevel="0" collapsed="false">
      <c r="A304" s="3" t="s">
        <v>602</v>
      </c>
      <c r="B304" s="1" t="s">
        <v>603</v>
      </c>
    </row>
    <row r="305" customFormat="false" ht="13.8" hidden="false" customHeight="false" outlineLevel="0" collapsed="false">
      <c r="A305" s="3" t="s">
        <v>604</v>
      </c>
      <c r="B305" s="1" t="s">
        <v>605</v>
      </c>
    </row>
    <row r="306" customFormat="false" ht="13.8" hidden="false" customHeight="false" outlineLevel="0" collapsed="false">
      <c r="A306" s="3" t="s">
        <v>606</v>
      </c>
      <c r="B306" s="1" t="s">
        <v>607</v>
      </c>
    </row>
    <row r="307" customFormat="false" ht="13.8" hidden="false" customHeight="false" outlineLevel="0" collapsed="false">
      <c r="A307" s="3" t="s">
        <v>608</v>
      </c>
      <c r="B307" s="1" t="s">
        <v>609</v>
      </c>
    </row>
    <row r="308" customFormat="false" ht="13.8" hidden="false" customHeight="false" outlineLevel="0" collapsed="false">
      <c r="A308" s="3" t="s">
        <v>610</v>
      </c>
      <c r="B308" s="1" t="s">
        <v>611</v>
      </c>
    </row>
    <row r="309" customFormat="false" ht="13.8" hidden="false" customHeight="false" outlineLevel="0" collapsed="false">
      <c r="A309" s="3" t="s">
        <v>612</v>
      </c>
      <c r="B309" s="1" t="s">
        <v>613</v>
      </c>
    </row>
    <row r="310" customFormat="false" ht="13.8" hidden="false" customHeight="false" outlineLevel="0" collapsed="false">
      <c r="A310" s="3" t="s">
        <v>614</v>
      </c>
      <c r="B310" s="1" t="s">
        <v>615</v>
      </c>
    </row>
    <row r="311" customFormat="false" ht="13.8" hidden="false" customHeight="false" outlineLevel="0" collapsed="false">
      <c r="A311" s="3" t="s">
        <v>616</v>
      </c>
      <c r="B311" s="1" t="s">
        <v>617</v>
      </c>
    </row>
    <row r="312" customFormat="false" ht="13.8" hidden="false" customHeight="false" outlineLevel="0" collapsed="false">
      <c r="A312" s="3" t="s">
        <v>618</v>
      </c>
      <c r="B312" s="1" t="s">
        <v>619</v>
      </c>
    </row>
    <row r="313" customFormat="false" ht="13.8" hidden="false" customHeight="false" outlineLevel="0" collapsed="false">
      <c r="A313" s="3" t="s">
        <v>620</v>
      </c>
      <c r="B313" s="1" t="s">
        <v>621</v>
      </c>
    </row>
    <row r="314" customFormat="false" ht="13.8" hidden="false" customHeight="false" outlineLevel="0" collapsed="false">
      <c r="A314" s="3" t="s">
        <v>622</v>
      </c>
      <c r="B314" s="1" t="s">
        <v>623</v>
      </c>
    </row>
    <row r="315" customFormat="false" ht="13.8" hidden="false" customHeight="false" outlineLevel="0" collapsed="false">
      <c r="A315" s="3" t="s">
        <v>624</v>
      </c>
      <c r="B315" s="1" t="s">
        <v>625</v>
      </c>
    </row>
    <row r="316" customFormat="false" ht="13.8" hidden="false" customHeight="false" outlineLevel="0" collapsed="false">
      <c r="A316" s="3" t="s">
        <v>626</v>
      </c>
      <c r="B316" s="1" t="s">
        <v>627</v>
      </c>
    </row>
    <row r="317" customFormat="false" ht="13.8" hidden="false" customHeight="false" outlineLevel="0" collapsed="false">
      <c r="A317" s="3" t="s">
        <v>628</v>
      </c>
      <c r="B317" s="1" t="s">
        <v>629</v>
      </c>
    </row>
    <row r="318" customFormat="false" ht="13.8" hidden="false" customHeight="false" outlineLevel="0" collapsed="false">
      <c r="A318" s="3" t="s">
        <v>630</v>
      </c>
      <c r="B318" s="1" t="s">
        <v>631</v>
      </c>
    </row>
    <row r="319" customFormat="false" ht="13.8" hidden="false" customHeight="false" outlineLevel="0" collapsed="false">
      <c r="A319" s="3" t="s">
        <v>632</v>
      </c>
      <c r="B319" s="1" t="s">
        <v>633</v>
      </c>
    </row>
    <row r="320" customFormat="false" ht="13.8" hidden="false" customHeight="false" outlineLevel="0" collapsed="false">
      <c r="A320" s="3" t="s">
        <v>634</v>
      </c>
      <c r="B320" s="1" t="s">
        <v>635</v>
      </c>
    </row>
    <row r="321" customFormat="false" ht="13.8" hidden="false" customHeight="false" outlineLevel="0" collapsed="false">
      <c r="A321" s="3" t="s">
        <v>636</v>
      </c>
      <c r="B321" s="1" t="s">
        <v>637</v>
      </c>
    </row>
    <row r="322" customFormat="false" ht="13.8" hidden="false" customHeight="false" outlineLevel="0" collapsed="false">
      <c r="A322" s="3" t="s">
        <v>638</v>
      </c>
      <c r="B322" s="1" t="s">
        <v>639</v>
      </c>
    </row>
    <row r="323" customFormat="false" ht="13.8" hidden="false" customHeight="false" outlineLevel="0" collapsed="false">
      <c r="A323" s="3" t="s">
        <v>640</v>
      </c>
      <c r="B323" s="1" t="s">
        <v>641</v>
      </c>
    </row>
    <row r="324" customFormat="false" ht="13.8" hidden="false" customHeight="false" outlineLevel="0" collapsed="false">
      <c r="A324" s="3" t="s">
        <v>642</v>
      </c>
      <c r="B324" s="1" t="s">
        <v>643</v>
      </c>
    </row>
    <row r="325" customFormat="false" ht="13.8" hidden="false" customHeight="false" outlineLevel="0" collapsed="false">
      <c r="A325" s="3" t="s">
        <v>644</v>
      </c>
      <c r="B325" s="1" t="s">
        <v>645</v>
      </c>
    </row>
    <row r="326" customFormat="false" ht="13.8" hidden="false" customHeight="false" outlineLevel="0" collapsed="false">
      <c r="A326" s="3" t="s">
        <v>646</v>
      </c>
      <c r="B326" s="1" t="s">
        <v>647</v>
      </c>
    </row>
    <row r="327" customFormat="false" ht="13.8" hidden="false" customHeight="false" outlineLevel="0" collapsed="false">
      <c r="A327" s="3" t="s">
        <v>648</v>
      </c>
      <c r="B327" s="1" t="s">
        <v>649</v>
      </c>
    </row>
    <row r="328" customFormat="false" ht="13.8" hidden="false" customHeight="false" outlineLevel="0" collapsed="false">
      <c r="A328" s="3" t="s">
        <v>650</v>
      </c>
      <c r="B328" s="1" t="s">
        <v>651</v>
      </c>
    </row>
    <row r="329" customFormat="false" ht="13.8" hidden="false" customHeight="false" outlineLevel="0" collapsed="false">
      <c r="A329" s="3" t="s">
        <v>652</v>
      </c>
      <c r="B329" s="1" t="s">
        <v>653</v>
      </c>
    </row>
    <row r="330" customFormat="false" ht="13.8" hidden="false" customHeight="false" outlineLevel="0" collapsed="false">
      <c r="A330" s="3" t="s">
        <v>654</v>
      </c>
      <c r="B330" s="1" t="s">
        <v>655</v>
      </c>
    </row>
    <row r="331" customFormat="false" ht="13.8" hidden="false" customHeight="false" outlineLevel="0" collapsed="false">
      <c r="A331" s="3" t="s">
        <v>656</v>
      </c>
      <c r="B331" s="1" t="s">
        <v>657</v>
      </c>
    </row>
    <row r="332" customFormat="false" ht="13.8" hidden="false" customHeight="false" outlineLevel="0" collapsed="false">
      <c r="A332" s="3" t="s">
        <v>658</v>
      </c>
      <c r="B332" s="1" t="s">
        <v>659</v>
      </c>
    </row>
    <row r="333" customFormat="false" ht="13.8" hidden="false" customHeight="false" outlineLevel="0" collapsed="false">
      <c r="A333" s="3" t="s">
        <v>660</v>
      </c>
      <c r="B333" s="1" t="s">
        <v>661</v>
      </c>
    </row>
    <row r="334" customFormat="false" ht="13.8" hidden="false" customHeight="false" outlineLevel="0" collapsed="false">
      <c r="A334" s="3" t="s">
        <v>662</v>
      </c>
      <c r="B334" s="1" t="s">
        <v>663</v>
      </c>
    </row>
    <row r="335" customFormat="false" ht="13.8" hidden="false" customHeight="false" outlineLevel="0" collapsed="false">
      <c r="A335" s="3" t="s">
        <v>664</v>
      </c>
      <c r="B335" s="1" t="s">
        <v>665</v>
      </c>
    </row>
    <row r="336" customFormat="false" ht="13.8" hidden="false" customHeight="false" outlineLevel="0" collapsed="false">
      <c r="A336" s="3" t="s">
        <v>666</v>
      </c>
      <c r="B336" s="1" t="s">
        <v>667</v>
      </c>
    </row>
    <row r="337" customFormat="false" ht="13.8" hidden="false" customHeight="false" outlineLevel="0" collapsed="false">
      <c r="A337" s="3" t="s">
        <v>668</v>
      </c>
      <c r="B337" s="1" t="s">
        <v>669</v>
      </c>
    </row>
    <row r="338" customFormat="false" ht="13.8" hidden="false" customHeight="false" outlineLevel="0" collapsed="false">
      <c r="A338" s="3" t="s">
        <v>670</v>
      </c>
      <c r="B338" s="1" t="s">
        <v>671</v>
      </c>
    </row>
    <row r="339" customFormat="false" ht="13.8" hidden="false" customHeight="false" outlineLevel="0" collapsed="false">
      <c r="A339" s="3" t="s">
        <v>672</v>
      </c>
      <c r="B339" s="1" t="s">
        <v>673</v>
      </c>
    </row>
    <row r="340" customFormat="false" ht="13.8" hidden="false" customHeight="false" outlineLevel="0" collapsed="false">
      <c r="A340" s="3" t="s">
        <v>674</v>
      </c>
      <c r="B340" s="1" t="s">
        <v>675</v>
      </c>
    </row>
    <row r="341" customFormat="false" ht="13.8" hidden="false" customHeight="false" outlineLevel="0" collapsed="false">
      <c r="A341" s="3" t="s">
        <v>676</v>
      </c>
      <c r="B341" s="1" t="s">
        <v>677</v>
      </c>
    </row>
    <row r="342" customFormat="false" ht="13.8" hidden="false" customHeight="false" outlineLevel="0" collapsed="false">
      <c r="A342" s="3" t="s">
        <v>678</v>
      </c>
      <c r="B342" s="1" t="s">
        <v>679</v>
      </c>
    </row>
    <row r="343" customFormat="false" ht="13.8" hidden="false" customHeight="false" outlineLevel="0" collapsed="false">
      <c r="A343" s="3" t="s">
        <v>680</v>
      </c>
      <c r="B343" s="1" t="s">
        <v>681</v>
      </c>
    </row>
    <row r="344" customFormat="false" ht="13.8" hidden="false" customHeight="false" outlineLevel="0" collapsed="false">
      <c r="A344" s="3" t="s">
        <v>682</v>
      </c>
      <c r="B344" s="1" t="s">
        <v>683</v>
      </c>
    </row>
    <row r="345" customFormat="false" ht="13.8" hidden="false" customHeight="false" outlineLevel="0" collapsed="false">
      <c r="A345" s="3" t="s">
        <v>684</v>
      </c>
      <c r="B345" s="1" t="s">
        <v>685</v>
      </c>
    </row>
    <row r="346" customFormat="false" ht="13.8" hidden="false" customHeight="false" outlineLevel="0" collapsed="false">
      <c r="A346" s="3" t="s">
        <v>686</v>
      </c>
      <c r="B346" s="1" t="s">
        <v>687</v>
      </c>
    </row>
    <row r="347" customFormat="false" ht="13.8" hidden="false" customHeight="false" outlineLevel="0" collapsed="false">
      <c r="A347" s="3" t="s">
        <v>688</v>
      </c>
      <c r="B347" s="1" t="s">
        <v>689</v>
      </c>
    </row>
    <row r="348" customFormat="false" ht="13.8" hidden="false" customHeight="false" outlineLevel="0" collapsed="false">
      <c r="A348" s="3" t="s">
        <v>690</v>
      </c>
      <c r="B348" s="1" t="s">
        <v>691</v>
      </c>
    </row>
    <row r="349" customFormat="false" ht="13.8" hidden="false" customHeight="false" outlineLevel="0" collapsed="false">
      <c r="A349" s="3" t="s">
        <v>692</v>
      </c>
      <c r="B349" s="1" t="s">
        <v>693</v>
      </c>
    </row>
    <row r="350" customFormat="false" ht="13.8" hidden="false" customHeight="false" outlineLevel="0" collapsed="false">
      <c r="A350" s="3" t="s">
        <v>694</v>
      </c>
      <c r="B350" s="1" t="s">
        <v>695</v>
      </c>
    </row>
    <row r="351" customFormat="false" ht="13.8" hidden="false" customHeight="false" outlineLevel="0" collapsed="false">
      <c r="A351" s="3" t="s">
        <v>696</v>
      </c>
      <c r="B351" s="1" t="s">
        <v>697</v>
      </c>
    </row>
    <row r="352" customFormat="false" ht="13.8" hidden="false" customHeight="false" outlineLevel="0" collapsed="false">
      <c r="A352" s="3" t="s">
        <v>698</v>
      </c>
      <c r="B352" s="1" t="s">
        <v>699</v>
      </c>
    </row>
    <row r="353" customFormat="false" ht="13.8" hidden="false" customHeight="false" outlineLevel="0" collapsed="false">
      <c r="A353" s="3" t="s">
        <v>700</v>
      </c>
      <c r="B353" s="1" t="s">
        <v>701</v>
      </c>
    </row>
    <row r="354" customFormat="false" ht="13.8" hidden="false" customHeight="false" outlineLevel="0" collapsed="false">
      <c r="A354" s="3" t="s">
        <v>702</v>
      </c>
      <c r="B354" s="1" t="s">
        <v>703</v>
      </c>
    </row>
    <row r="355" customFormat="false" ht="13.8" hidden="false" customHeight="false" outlineLevel="0" collapsed="false">
      <c r="A355" s="3" t="s">
        <v>704</v>
      </c>
      <c r="B355" s="1" t="s">
        <v>705</v>
      </c>
    </row>
    <row r="356" customFormat="false" ht="13.8" hidden="false" customHeight="false" outlineLevel="0" collapsed="false">
      <c r="A356" s="3" t="s">
        <v>706</v>
      </c>
      <c r="B356" s="1" t="s">
        <v>707</v>
      </c>
    </row>
    <row r="357" customFormat="false" ht="13.8" hidden="false" customHeight="false" outlineLevel="0" collapsed="false">
      <c r="A357" s="3" t="s">
        <v>708</v>
      </c>
      <c r="B357" s="1" t="s">
        <v>709</v>
      </c>
    </row>
    <row r="358" customFormat="false" ht="13.8" hidden="false" customHeight="false" outlineLevel="0" collapsed="false">
      <c r="A358" s="3" t="s">
        <v>710</v>
      </c>
      <c r="B358" s="1" t="s">
        <v>711</v>
      </c>
    </row>
    <row r="359" customFormat="false" ht="13.8" hidden="false" customHeight="false" outlineLevel="0" collapsed="false">
      <c r="A359" s="3" t="s">
        <v>712</v>
      </c>
      <c r="B359" s="1" t="s">
        <v>713</v>
      </c>
    </row>
    <row r="360" customFormat="false" ht="13.8" hidden="false" customHeight="false" outlineLevel="0" collapsed="false">
      <c r="A360" s="3" t="s">
        <v>714</v>
      </c>
      <c r="B360" s="1" t="s">
        <v>715</v>
      </c>
    </row>
    <row r="361" customFormat="false" ht="13.8" hidden="false" customHeight="false" outlineLevel="0" collapsed="false">
      <c r="A361" s="3" t="s">
        <v>716</v>
      </c>
      <c r="B361" s="1" t="s">
        <v>717</v>
      </c>
    </row>
    <row r="362" customFormat="false" ht="13.8" hidden="false" customHeight="false" outlineLevel="0" collapsed="false">
      <c r="A362" s="3" t="s">
        <v>718</v>
      </c>
      <c r="B362" s="1" t="s">
        <v>719</v>
      </c>
    </row>
    <row r="363" customFormat="false" ht="13.8" hidden="false" customHeight="false" outlineLevel="0" collapsed="false">
      <c r="A363" s="3" t="s">
        <v>720</v>
      </c>
      <c r="B363" s="1" t="s">
        <v>721</v>
      </c>
    </row>
    <row r="364" customFormat="false" ht="13.8" hidden="false" customHeight="false" outlineLevel="0" collapsed="false">
      <c r="A364" s="3" t="s">
        <v>722</v>
      </c>
      <c r="B364" s="1" t="s">
        <v>723</v>
      </c>
    </row>
    <row r="365" customFormat="false" ht="13.8" hidden="false" customHeight="false" outlineLevel="0" collapsed="false">
      <c r="A365" s="3" t="s">
        <v>724</v>
      </c>
      <c r="B365" s="1" t="s">
        <v>725</v>
      </c>
    </row>
    <row r="366" customFormat="false" ht="13.8" hidden="false" customHeight="false" outlineLevel="0" collapsed="false">
      <c r="A366" s="3" t="s">
        <v>726</v>
      </c>
      <c r="B366" s="1" t="s">
        <v>727</v>
      </c>
    </row>
    <row r="367" customFormat="false" ht="13.8" hidden="false" customHeight="false" outlineLevel="0" collapsed="false">
      <c r="A367" s="3" t="s">
        <v>728</v>
      </c>
      <c r="B367" s="1" t="s">
        <v>729</v>
      </c>
    </row>
    <row r="368" customFormat="false" ht="13.8" hidden="false" customHeight="false" outlineLevel="0" collapsed="false">
      <c r="A368" s="3" t="s">
        <v>730</v>
      </c>
      <c r="B368" s="1" t="s">
        <v>731</v>
      </c>
    </row>
    <row r="369" customFormat="false" ht="13.8" hidden="false" customHeight="false" outlineLevel="0" collapsed="false">
      <c r="A369" s="3" t="s">
        <v>732</v>
      </c>
      <c r="B369" s="1" t="s">
        <v>733</v>
      </c>
    </row>
    <row r="370" customFormat="false" ht="13.8" hidden="false" customHeight="false" outlineLevel="0" collapsed="false">
      <c r="A370" s="3" t="s">
        <v>734</v>
      </c>
      <c r="B370" s="1" t="s">
        <v>735</v>
      </c>
    </row>
    <row r="371" customFormat="false" ht="13.8" hidden="false" customHeight="false" outlineLevel="0" collapsed="false">
      <c r="A371" s="3" t="s">
        <v>736</v>
      </c>
      <c r="B371" s="1" t="s">
        <v>737</v>
      </c>
    </row>
    <row r="372" customFormat="false" ht="13.8" hidden="false" customHeight="false" outlineLevel="0" collapsed="false">
      <c r="A372" s="3" t="s">
        <v>738</v>
      </c>
      <c r="B372" s="1" t="s">
        <v>739</v>
      </c>
    </row>
    <row r="373" customFormat="false" ht="13.8" hidden="false" customHeight="false" outlineLevel="0" collapsed="false">
      <c r="A373" s="3" t="s">
        <v>740</v>
      </c>
      <c r="B373" s="1" t="s">
        <v>741</v>
      </c>
    </row>
    <row r="374" customFormat="false" ht="13.8" hidden="false" customHeight="false" outlineLevel="0" collapsed="false">
      <c r="A374" s="3" t="s">
        <v>742</v>
      </c>
      <c r="B374" s="1" t="s">
        <v>743</v>
      </c>
    </row>
    <row r="375" customFormat="false" ht="13.8" hidden="false" customHeight="false" outlineLevel="0" collapsed="false">
      <c r="A375" s="3" t="s">
        <v>744</v>
      </c>
      <c r="B375" s="1" t="s">
        <v>745</v>
      </c>
    </row>
    <row r="376" customFormat="false" ht="13.8" hidden="false" customHeight="false" outlineLevel="0" collapsed="false">
      <c r="A376" s="3" t="s">
        <v>746</v>
      </c>
      <c r="B376" s="1" t="s">
        <v>747</v>
      </c>
    </row>
    <row r="377" customFormat="false" ht="13.8" hidden="false" customHeight="false" outlineLevel="0" collapsed="false">
      <c r="A377" s="3" t="s">
        <v>748</v>
      </c>
      <c r="B377" s="1" t="s">
        <v>749</v>
      </c>
    </row>
    <row r="378" customFormat="false" ht="13.8" hidden="false" customHeight="false" outlineLevel="0" collapsed="false">
      <c r="A378" s="3" t="s">
        <v>750</v>
      </c>
      <c r="B378" s="1" t="s">
        <v>751</v>
      </c>
    </row>
    <row r="379" customFormat="false" ht="13.8" hidden="false" customHeight="false" outlineLevel="0" collapsed="false">
      <c r="A379" s="3" t="s">
        <v>752</v>
      </c>
      <c r="B379" s="1" t="s">
        <v>753</v>
      </c>
    </row>
    <row r="380" customFormat="false" ht="13.8" hidden="false" customHeight="false" outlineLevel="0" collapsed="false">
      <c r="A380" s="3" t="s">
        <v>754</v>
      </c>
      <c r="B380" s="1" t="s">
        <v>755</v>
      </c>
    </row>
    <row r="381" customFormat="false" ht="13.8" hidden="false" customHeight="false" outlineLevel="0" collapsed="false">
      <c r="A381" s="3" t="s">
        <v>756</v>
      </c>
      <c r="B381" s="1" t="s">
        <v>757</v>
      </c>
    </row>
    <row r="382" customFormat="false" ht="13.8" hidden="false" customHeight="false" outlineLevel="0" collapsed="false">
      <c r="A382" s="3" t="s">
        <v>758</v>
      </c>
      <c r="B382" s="1" t="s">
        <v>759</v>
      </c>
    </row>
    <row r="383" customFormat="false" ht="13.8" hidden="false" customHeight="false" outlineLevel="0" collapsed="false">
      <c r="A383" s="3" t="s">
        <v>760</v>
      </c>
      <c r="B383" s="1" t="s">
        <v>761</v>
      </c>
    </row>
    <row r="384" customFormat="false" ht="13.8" hidden="false" customHeight="false" outlineLevel="0" collapsed="false">
      <c r="A384" s="3" t="s">
        <v>762</v>
      </c>
      <c r="B384" s="1" t="s">
        <v>763</v>
      </c>
    </row>
    <row r="385" customFormat="false" ht="13.8" hidden="false" customHeight="false" outlineLevel="0" collapsed="false">
      <c r="A385" s="3" t="s">
        <v>764</v>
      </c>
      <c r="B385" s="1" t="s">
        <v>765</v>
      </c>
    </row>
    <row r="386" customFormat="false" ht="13.8" hidden="false" customHeight="false" outlineLevel="0" collapsed="false">
      <c r="A386" s="3" t="s">
        <v>766</v>
      </c>
      <c r="B386" s="1" t="s">
        <v>767</v>
      </c>
    </row>
    <row r="387" customFormat="false" ht="13.8" hidden="false" customHeight="false" outlineLevel="0" collapsed="false">
      <c r="A387" s="3" t="s">
        <v>768</v>
      </c>
    </row>
    <row r="388" customFormat="false" ht="13.8" hidden="false" customHeight="false" outlineLevel="0" collapsed="false">
      <c r="A388" s="3" t="s">
        <v>769</v>
      </c>
      <c r="B388" s="1" t="s">
        <v>770</v>
      </c>
    </row>
    <row r="389" customFormat="false" ht="13.8" hidden="false" customHeight="false" outlineLevel="0" collapsed="false">
      <c r="A389" s="3" t="s">
        <v>771</v>
      </c>
    </row>
    <row r="390" customFormat="false" ht="13.8" hidden="false" customHeight="false" outlineLevel="0" collapsed="false">
      <c r="A390" s="3" t="s">
        <v>772</v>
      </c>
      <c r="B390" s="1" t="s">
        <v>773</v>
      </c>
    </row>
    <row r="391" customFormat="false" ht="13.8" hidden="false" customHeight="false" outlineLevel="0" collapsed="false">
      <c r="A391" s="3" t="s">
        <v>774</v>
      </c>
      <c r="B391" s="1" t="s">
        <v>775</v>
      </c>
    </row>
    <row r="392" customFormat="false" ht="13.8" hidden="false" customHeight="false" outlineLevel="0" collapsed="false">
      <c r="A392" s="3" t="s">
        <v>776</v>
      </c>
      <c r="B392" s="1" t="s">
        <v>777</v>
      </c>
    </row>
    <row r="393" customFormat="false" ht="13.8" hidden="false" customHeight="false" outlineLevel="0" collapsed="false">
      <c r="A393" s="3" t="s">
        <v>778</v>
      </c>
      <c r="B393" s="1" t="s">
        <v>779</v>
      </c>
    </row>
    <row r="394" customFormat="false" ht="13.8" hidden="false" customHeight="false" outlineLevel="0" collapsed="false">
      <c r="A394" s="3" t="s">
        <v>780</v>
      </c>
    </row>
    <row r="395" customFormat="false" ht="13.8" hidden="false" customHeight="false" outlineLevel="0" collapsed="false">
      <c r="A395" s="3" t="s">
        <v>781</v>
      </c>
    </row>
    <row r="396" customFormat="false" ht="13.8" hidden="false" customHeight="false" outlineLevel="0" collapsed="false">
      <c r="A396" s="4" t="s">
        <v>782</v>
      </c>
      <c r="B396" s="1" t="s">
        <v>783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09" activeCellId="0" sqref="B30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2.3"/>
  </cols>
  <sheetData>
    <row r="1" customFormat="false" ht="13.8" hidden="false" customHeight="false" outlineLevel="0" collapsed="false">
      <c r="A1" s="1" t="s">
        <v>784</v>
      </c>
      <c r="B1" s="1" t="s">
        <v>785</v>
      </c>
    </row>
    <row r="2" customFormat="false" ht="13.8" hidden="false" customHeight="false" outlineLevel="0" collapsed="false">
      <c r="A2" s="2" t="s">
        <v>786</v>
      </c>
      <c r="B2" s="1" t="s">
        <v>787</v>
      </c>
    </row>
    <row r="3" customFormat="false" ht="13.8" hidden="false" customHeight="false" outlineLevel="0" collapsed="false">
      <c r="A3" s="2" t="s">
        <v>788</v>
      </c>
      <c r="B3" s="1" t="s">
        <v>789</v>
      </c>
    </row>
    <row r="4" customFormat="false" ht="13.8" hidden="false" customHeight="false" outlineLevel="0" collapsed="false">
      <c r="A4" s="2" t="s">
        <v>790</v>
      </c>
      <c r="B4" s="1" t="s">
        <v>791</v>
      </c>
    </row>
    <row r="5" customFormat="false" ht="13.8" hidden="false" customHeight="false" outlineLevel="0" collapsed="false">
      <c r="A5" s="2" t="s">
        <v>792</v>
      </c>
      <c r="B5" s="1" t="s">
        <v>793</v>
      </c>
    </row>
    <row r="6" customFormat="false" ht="13.8" hidden="false" customHeight="false" outlineLevel="0" collapsed="false">
      <c r="A6" s="2" t="s">
        <v>794</v>
      </c>
      <c r="B6" s="1" t="s">
        <v>795</v>
      </c>
    </row>
    <row r="7" customFormat="false" ht="13.8" hidden="false" customHeight="false" outlineLevel="0" collapsed="false">
      <c r="A7" s="2" t="s">
        <v>796</v>
      </c>
      <c r="B7" s="1" t="s">
        <v>797</v>
      </c>
    </row>
    <row r="8" customFormat="false" ht="13.8" hidden="false" customHeight="false" outlineLevel="0" collapsed="false">
      <c r="A8" s="2" t="s">
        <v>798</v>
      </c>
      <c r="B8" s="1" t="s">
        <v>799</v>
      </c>
    </row>
    <row r="9" customFormat="false" ht="13.8" hidden="false" customHeight="false" outlineLevel="0" collapsed="false">
      <c r="A9" s="2" t="s">
        <v>800</v>
      </c>
      <c r="B9" s="1" t="s">
        <v>801</v>
      </c>
    </row>
    <row r="10" customFormat="false" ht="13.8" hidden="false" customHeight="false" outlineLevel="0" collapsed="false">
      <c r="A10" s="2" t="s">
        <v>802</v>
      </c>
      <c r="B10" s="1" t="s">
        <v>803</v>
      </c>
    </row>
    <row r="11" customFormat="false" ht="13.8" hidden="false" customHeight="false" outlineLevel="0" collapsed="false">
      <c r="A11" s="2" t="s">
        <v>804</v>
      </c>
      <c r="B11" s="1" t="s">
        <v>805</v>
      </c>
    </row>
    <row r="12" customFormat="false" ht="13.8" hidden="false" customHeight="false" outlineLevel="0" collapsed="false">
      <c r="A12" s="2" t="s">
        <v>806</v>
      </c>
      <c r="B12" s="1" t="s">
        <v>807</v>
      </c>
    </row>
    <row r="13" customFormat="false" ht="13.8" hidden="false" customHeight="false" outlineLevel="0" collapsed="false">
      <c r="A13" s="2" t="s">
        <v>808</v>
      </c>
      <c r="B13" s="1" t="s">
        <v>809</v>
      </c>
    </row>
    <row r="14" customFormat="false" ht="13.8" hidden="false" customHeight="false" outlineLevel="0" collapsed="false">
      <c r="A14" s="2" t="s">
        <v>810</v>
      </c>
      <c r="B14" s="1" t="s">
        <v>811</v>
      </c>
    </row>
    <row r="15" customFormat="false" ht="13.8" hidden="false" customHeight="false" outlineLevel="0" collapsed="false">
      <c r="A15" s="2" t="s">
        <v>812</v>
      </c>
      <c r="B15" s="1" t="s">
        <v>813</v>
      </c>
    </row>
    <row r="16" customFormat="false" ht="13.8" hidden="false" customHeight="false" outlineLevel="0" collapsed="false">
      <c r="A16" s="2" t="s">
        <v>814</v>
      </c>
      <c r="B16" s="1" t="s">
        <v>815</v>
      </c>
    </row>
    <row r="17" customFormat="false" ht="13.8" hidden="false" customHeight="false" outlineLevel="0" collapsed="false">
      <c r="A17" s="2" t="s">
        <v>816</v>
      </c>
      <c r="B17" s="1" t="s">
        <v>817</v>
      </c>
    </row>
    <row r="18" customFormat="false" ht="13.8" hidden="false" customHeight="false" outlineLevel="0" collapsed="false">
      <c r="A18" s="2" t="s">
        <v>818</v>
      </c>
      <c r="B18" s="1" t="s">
        <v>819</v>
      </c>
    </row>
    <row r="19" customFormat="false" ht="13.8" hidden="false" customHeight="false" outlineLevel="0" collapsed="false">
      <c r="A19" s="2" t="s">
        <v>820</v>
      </c>
      <c r="B19" s="1" t="s">
        <v>821</v>
      </c>
    </row>
    <row r="20" customFormat="false" ht="13.8" hidden="false" customHeight="false" outlineLevel="0" collapsed="false">
      <c r="A20" s="2" t="s">
        <v>822</v>
      </c>
      <c r="B20" s="1" t="s">
        <v>823</v>
      </c>
    </row>
    <row r="21" customFormat="false" ht="13.8" hidden="false" customHeight="false" outlineLevel="0" collapsed="false">
      <c r="A21" s="2" t="s">
        <v>824</v>
      </c>
      <c r="B21" s="1" t="s">
        <v>825</v>
      </c>
    </row>
    <row r="22" customFormat="false" ht="13.8" hidden="false" customHeight="false" outlineLevel="0" collapsed="false">
      <c r="A22" s="2" t="s">
        <v>826</v>
      </c>
      <c r="B22" s="1" t="s">
        <v>827</v>
      </c>
    </row>
    <row r="23" customFormat="false" ht="13.8" hidden="false" customHeight="false" outlineLevel="0" collapsed="false">
      <c r="A23" s="2" t="s">
        <v>828</v>
      </c>
      <c r="B23" s="1" t="s">
        <v>829</v>
      </c>
    </row>
    <row r="24" customFormat="false" ht="13.8" hidden="false" customHeight="false" outlineLevel="0" collapsed="false">
      <c r="A24" s="2" t="s">
        <v>830</v>
      </c>
      <c r="B24" s="1" t="s">
        <v>831</v>
      </c>
    </row>
    <row r="25" customFormat="false" ht="13.8" hidden="false" customHeight="false" outlineLevel="0" collapsed="false">
      <c r="A25" s="2" t="s">
        <v>832</v>
      </c>
      <c r="B25" s="1" t="s">
        <v>833</v>
      </c>
    </row>
    <row r="26" customFormat="false" ht="13.8" hidden="false" customHeight="false" outlineLevel="0" collapsed="false">
      <c r="A26" s="2" t="s">
        <v>834</v>
      </c>
      <c r="B26" s="1" t="s">
        <v>835</v>
      </c>
    </row>
    <row r="27" customFormat="false" ht="13.8" hidden="false" customHeight="false" outlineLevel="0" collapsed="false">
      <c r="A27" s="2" t="s">
        <v>836</v>
      </c>
      <c r="B27" s="1" t="s">
        <v>837</v>
      </c>
    </row>
    <row r="28" customFormat="false" ht="13.8" hidden="false" customHeight="false" outlineLevel="0" collapsed="false">
      <c r="A28" s="2" t="s">
        <v>838</v>
      </c>
      <c r="B28" s="1" t="s">
        <v>839</v>
      </c>
    </row>
    <row r="29" customFormat="false" ht="13.8" hidden="false" customHeight="false" outlineLevel="0" collapsed="false">
      <c r="A29" s="2" t="s">
        <v>840</v>
      </c>
      <c r="B29" s="1" t="s">
        <v>841</v>
      </c>
    </row>
    <row r="30" customFormat="false" ht="13.8" hidden="false" customHeight="false" outlineLevel="0" collapsed="false">
      <c r="A30" s="2" t="s">
        <v>842</v>
      </c>
      <c r="B30" s="1" t="s">
        <v>843</v>
      </c>
    </row>
    <row r="31" customFormat="false" ht="13.8" hidden="false" customHeight="false" outlineLevel="0" collapsed="false">
      <c r="A31" s="2" t="s">
        <v>844</v>
      </c>
      <c r="B31" s="1" t="s">
        <v>845</v>
      </c>
    </row>
    <row r="32" customFormat="false" ht="13.8" hidden="false" customHeight="false" outlineLevel="0" collapsed="false">
      <c r="A32" s="2" t="s">
        <v>846</v>
      </c>
      <c r="B32" s="1" t="s">
        <v>847</v>
      </c>
    </row>
    <row r="33" customFormat="false" ht="13.8" hidden="false" customHeight="false" outlineLevel="0" collapsed="false">
      <c r="A33" s="2" t="s">
        <v>848</v>
      </c>
      <c r="B33" s="1" t="s">
        <v>849</v>
      </c>
    </row>
    <row r="34" customFormat="false" ht="13.8" hidden="false" customHeight="false" outlineLevel="0" collapsed="false">
      <c r="A34" s="2" t="s">
        <v>850</v>
      </c>
      <c r="B34" s="1" t="s">
        <v>851</v>
      </c>
    </row>
    <row r="35" customFormat="false" ht="13.8" hidden="false" customHeight="false" outlineLevel="0" collapsed="false">
      <c r="A35" s="2" t="s">
        <v>852</v>
      </c>
      <c r="B35" s="1" t="s">
        <v>853</v>
      </c>
    </row>
    <row r="36" customFormat="false" ht="13.8" hidden="false" customHeight="false" outlineLevel="0" collapsed="false">
      <c r="A36" s="2" t="s">
        <v>854</v>
      </c>
      <c r="B36" s="1" t="s">
        <v>855</v>
      </c>
    </row>
    <row r="37" customFormat="false" ht="13.8" hidden="false" customHeight="false" outlineLevel="0" collapsed="false">
      <c r="A37" s="2" t="s">
        <v>856</v>
      </c>
      <c r="B37" s="1" t="s">
        <v>857</v>
      </c>
    </row>
    <row r="38" customFormat="false" ht="13.8" hidden="false" customHeight="false" outlineLevel="0" collapsed="false">
      <c r="A38" s="2" t="s">
        <v>858</v>
      </c>
      <c r="B38" s="1" t="s">
        <v>859</v>
      </c>
    </row>
    <row r="39" customFormat="false" ht="13.8" hidden="false" customHeight="false" outlineLevel="0" collapsed="false">
      <c r="A39" s="2" t="s">
        <v>860</v>
      </c>
      <c r="B39" s="1" t="s">
        <v>861</v>
      </c>
    </row>
    <row r="40" customFormat="false" ht="13.8" hidden="false" customHeight="false" outlineLevel="0" collapsed="false">
      <c r="A40" s="2" t="s">
        <v>862</v>
      </c>
      <c r="B40" s="1" t="s">
        <v>863</v>
      </c>
    </row>
    <row r="41" customFormat="false" ht="13.8" hidden="false" customHeight="false" outlineLevel="0" collapsed="false">
      <c r="A41" s="2" t="s">
        <v>864</v>
      </c>
      <c r="B41" s="1" t="s">
        <v>865</v>
      </c>
    </row>
    <row r="42" customFormat="false" ht="13.8" hidden="false" customHeight="false" outlineLevel="0" collapsed="false">
      <c r="A42" s="2" t="s">
        <v>866</v>
      </c>
      <c r="B42" s="1" t="s">
        <v>867</v>
      </c>
    </row>
    <row r="43" customFormat="false" ht="13.8" hidden="false" customHeight="false" outlineLevel="0" collapsed="false">
      <c r="A43" s="2" t="s">
        <v>868</v>
      </c>
      <c r="B43" s="1" t="s">
        <v>869</v>
      </c>
    </row>
    <row r="44" customFormat="false" ht="13.8" hidden="false" customHeight="false" outlineLevel="0" collapsed="false">
      <c r="A44" s="2" t="s">
        <v>870</v>
      </c>
      <c r="B44" s="1" t="s">
        <v>871</v>
      </c>
    </row>
    <row r="45" customFormat="false" ht="13.8" hidden="false" customHeight="false" outlineLevel="0" collapsed="false">
      <c r="A45" s="2" t="s">
        <v>872</v>
      </c>
      <c r="B45" s="1" t="s">
        <v>873</v>
      </c>
    </row>
    <row r="46" customFormat="false" ht="13.8" hidden="false" customHeight="false" outlineLevel="0" collapsed="false">
      <c r="A46" s="2" t="s">
        <v>874</v>
      </c>
      <c r="B46" s="1" t="s">
        <v>875</v>
      </c>
    </row>
    <row r="47" customFormat="false" ht="13.8" hidden="false" customHeight="false" outlineLevel="0" collapsed="false">
      <c r="A47" s="2" t="s">
        <v>876</v>
      </c>
      <c r="B47" s="1" t="s">
        <v>877</v>
      </c>
    </row>
    <row r="48" customFormat="false" ht="13.8" hidden="false" customHeight="false" outlineLevel="0" collapsed="false">
      <c r="A48" s="2" t="s">
        <v>878</v>
      </c>
      <c r="B48" s="1" t="s">
        <v>879</v>
      </c>
    </row>
    <row r="49" customFormat="false" ht="13.8" hidden="false" customHeight="false" outlineLevel="0" collapsed="false">
      <c r="A49" s="2" t="s">
        <v>880</v>
      </c>
      <c r="B49" s="1" t="s">
        <v>881</v>
      </c>
    </row>
    <row r="50" customFormat="false" ht="13.8" hidden="false" customHeight="false" outlineLevel="0" collapsed="false">
      <c r="A50" s="2" t="s">
        <v>882</v>
      </c>
      <c r="B50" s="1" t="s">
        <v>883</v>
      </c>
    </row>
    <row r="51" customFormat="false" ht="13.8" hidden="false" customHeight="false" outlineLevel="0" collapsed="false">
      <c r="A51" s="2" t="s">
        <v>884</v>
      </c>
      <c r="B51" s="1" t="s">
        <v>885</v>
      </c>
    </row>
    <row r="52" customFormat="false" ht="13.8" hidden="false" customHeight="false" outlineLevel="0" collapsed="false">
      <c r="A52" s="2" t="s">
        <v>886</v>
      </c>
      <c r="B52" s="1" t="s">
        <v>887</v>
      </c>
    </row>
    <row r="53" customFormat="false" ht="13.8" hidden="false" customHeight="false" outlineLevel="0" collapsed="false">
      <c r="A53" s="2" t="s">
        <v>888</v>
      </c>
      <c r="B53" s="1" t="s">
        <v>889</v>
      </c>
    </row>
    <row r="54" customFormat="false" ht="13.8" hidden="false" customHeight="false" outlineLevel="0" collapsed="false">
      <c r="A54" s="2" t="s">
        <v>890</v>
      </c>
      <c r="B54" s="1" t="s">
        <v>891</v>
      </c>
    </row>
    <row r="55" customFormat="false" ht="13.8" hidden="false" customHeight="false" outlineLevel="0" collapsed="false">
      <c r="A55" s="2" t="s">
        <v>892</v>
      </c>
      <c r="B55" s="1" t="s">
        <v>893</v>
      </c>
    </row>
    <row r="56" customFormat="false" ht="13.8" hidden="false" customHeight="false" outlineLevel="0" collapsed="false">
      <c r="A56" s="2" t="s">
        <v>894</v>
      </c>
      <c r="B56" s="1" t="s">
        <v>895</v>
      </c>
    </row>
    <row r="57" customFormat="false" ht="13.8" hidden="false" customHeight="false" outlineLevel="0" collapsed="false">
      <c r="A57" s="2" t="s">
        <v>896</v>
      </c>
      <c r="B57" s="1" t="s">
        <v>897</v>
      </c>
    </row>
    <row r="58" customFormat="false" ht="13.8" hidden="false" customHeight="false" outlineLevel="0" collapsed="false">
      <c r="A58" s="2" t="s">
        <v>898</v>
      </c>
      <c r="B58" s="1" t="s">
        <v>899</v>
      </c>
    </row>
    <row r="59" customFormat="false" ht="13.8" hidden="false" customHeight="false" outlineLevel="0" collapsed="false">
      <c r="A59" s="2" t="s">
        <v>900</v>
      </c>
      <c r="B59" s="1" t="s">
        <v>901</v>
      </c>
    </row>
    <row r="60" customFormat="false" ht="13.8" hidden="false" customHeight="false" outlineLevel="0" collapsed="false">
      <c r="A60" s="2" t="s">
        <v>902</v>
      </c>
      <c r="B60" s="1" t="s">
        <v>903</v>
      </c>
    </row>
    <row r="61" customFormat="false" ht="13.8" hidden="false" customHeight="false" outlineLevel="0" collapsed="false">
      <c r="A61" s="2" t="s">
        <v>904</v>
      </c>
      <c r="B61" s="1" t="s">
        <v>905</v>
      </c>
    </row>
    <row r="62" customFormat="false" ht="13.8" hidden="false" customHeight="false" outlineLevel="0" collapsed="false">
      <c r="A62" s="2" t="s">
        <v>906</v>
      </c>
      <c r="B62" s="1" t="s">
        <v>907</v>
      </c>
    </row>
    <row r="63" customFormat="false" ht="13.8" hidden="false" customHeight="false" outlineLevel="0" collapsed="false">
      <c r="A63" s="2" t="s">
        <v>908</v>
      </c>
      <c r="B63" s="1" t="s">
        <v>909</v>
      </c>
    </row>
    <row r="64" customFormat="false" ht="13.8" hidden="false" customHeight="false" outlineLevel="0" collapsed="false">
      <c r="A64" s="2" t="s">
        <v>910</v>
      </c>
      <c r="B64" s="1" t="s">
        <v>911</v>
      </c>
    </row>
    <row r="65" customFormat="false" ht="13.8" hidden="false" customHeight="false" outlineLevel="0" collapsed="false">
      <c r="A65" s="2" t="s">
        <v>912</v>
      </c>
      <c r="B65" s="1" t="s">
        <v>913</v>
      </c>
    </row>
    <row r="66" customFormat="false" ht="13.8" hidden="false" customHeight="false" outlineLevel="0" collapsed="false">
      <c r="A66" s="2" t="s">
        <v>914</v>
      </c>
      <c r="B66" s="1" t="s">
        <v>915</v>
      </c>
    </row>
    <row r="67" customFormat="false" ht="13.8" hidden="false" customHeight="false" outlineLevel="0" collapsed="false">
      <c r="A67" s="2" t="s">
        <v>916</v>
      </c>
      <c r="B67" s="1" t="s">
        <v>917</v>
      </c>
    </row>
    <row r="68" customFormat="false" ht="13.8" hidden="false" customHeight="false" outlineLevel="0" collapsed="false">
      <c r="A68" s="2" t="s">
        <v>918</v>
      </c>
      <c r="B68" s="1" t="s">
        <v>919</v>
      </c>
    </row>
    <row r="69" customFormat="false" ht="13.8" hidden="false" customHeight="false" outlineLevel="0" collapsed="false">
      <c r="A69" s="2" t="s">
        <v>920</v>
      </c>
      <c r="B69" s="1" t="s">
        <v>921</v>
      </c>
    </row>
    <row r="70" customFormat="false" ht="13.8" hidden="false" customHeight="false" outlineLevel="0" collapsed="false">
      <c r="A70" s="2" t="s">
        <v>922</v>
      </c>
      <c r="B70" s="1" t="s">
        <v>923</v>
      </c>
    </row>
    <row r="71" customFormat="false" ht="13.8" hidden="false" customHeight="false" outlineLevel="0" collapsed="false">
      <c r="A71" s="2" t="s">
        <v>924</v>
      </c>
      <c r="B71" s="1" t="s">
        <v>925</v>
      </c>
    </row>
    <row r="72" customFormat="false" ht="13.8" hidden="false" customHeight="false" outlineLevel="0" collapsed="false">
      <c r="A72" s="2" t="s">
        <v>926</v>
      </c>
      <c r="B72" s="1" t="s">
        <v>927</v>
      </c>
    </row>
    <row r="73" customFormat="false" ht="13.8" hidden="false" customHeight="false" outlineLevel="0" collapsed="false">
      <c r="A73" s="2" t="s">
        <v>928</v>
      </c>
      <c r="B73" s="1" t="s">
        <v>929</v>
      </c>
    </row>
    <row r="74" customFormat="false" ht="13.8" hidden="false" customHeight="false" outlineLevel="0" collapsed="false">
      <c r="A74" s="2" t="s">
        <v>930</v>
      </c>
      <c r="B74" s="1" t="s">
        <v>931</v>
      </c>
    </row>
    <row r="75" customFormat="false" ht="13.8" hidden="false" customHeight="false" outlineLevel="0" collapsed="false">
      <c r="A75" s="2" t="s">
        <v>932</v>
      </c>
      <c r="B75" s="1" t="s">
        <v>933</v>
      </c>
    </row>
    <row r="76" customFormat="false" ht="13.8" hidden="false" customHeight="false" outlineLevel="0" collapsed="false">
      <c r="A76" s="2" t="s">
        <v>934</v>
      </c>
      <c r="B76" s="1" t="s">
        <v>935</v>
      </c>
    </row>
    <row r="77" customFormat="false" ht="13.8" hidden="false" customHeight="false" outlineLevel="0" collapsed="false">
      <c r="A77" s="2" t="s">
        <v>936</v>
      </c>
      <c r="B77" s="1" t="s">
        <v>937</v>
      </c>
    </row>
    <row r="78" customFormat="false" ht="13.8" hidden="false" customHeight="false" outlineLevel="0" collapsed="false">
      <c r="A78" s="2" t="s">
        <v>938</v>
      </c>
      <c r="B78" s="1" t="s">
        <v>939</v>
      </c>
    </row>
    <row r="79" customFormat="false" ht="13.8" hidden="false" customHeight="false" outlineLevel="0" collapsed="false">
      <c r="A79" s="2" t="s">
        <v>940</v>
      </c>
      <c r="B79" s="1" t="s">
        <v>941</v>
      </c>
    </row>
    <row r="80" customFormat="false" ht="13.8" hidden="false" customHeight="false" outlineLevel="0" collapsed="false">
      <c r="A80" s="2" t="s">
        <v>942</v>
      </c>
      <c r="B80" s="1" t="s">
        <v>943</v>
      </c>
    </row>
    <row r="81" customFormat="false" ht="13.8" hidden="false" customHeight="false" outlineLevel="0" collapsed="false">
      <c r="A81" s="2" t="s">
        <v>944</v>
      </c>
      <c r="B81" s="1" t="s">
        <v>945</v>
      </c>
    </row>
    <row r="82" customFormat="false" ht="13.8" hidden="false" customHeight="false" outlineLevel="0" collapsed="false">
      <c r="A82" s="2" t="s">
        <v>946</v>
      </c>
      <c r="B82" s="1" t="s">
        <v>947</v>
      </c>
    </row>
    <row r="83" customFormat="false" ht="13.8" hidden="false" customHeight="false" outlineLevel="0" collapsed="false">
      <c r="A83" s="2" t="s">
        <v>948</v>
      </c>
      <c r="B83" s="1" t="s">
        <v>949</v>
      </c>
    </row>
    <row r="84" customFormat="false" ht="13.8" hidden="false" customHeight="false" outlineLevel="0" collapsed="false">
      <c r="A84" s="2" t="s">
        <v>950</v>
      </c>
      <c r="B84" s="1" t="s">
        <v>951</v>
      </c>
    </row>
    <row r="85" customFormat="false" ht="13.8" hidden="false" customHeight="false" outlineLevel="0" collapsed="false">
      <c r="A85" s="2" t="s">
        <v>952</v>
      </c>
      <c r="B85" s="1" t="s">
        <v>953</v>
      </c>
    </row>
    <row r="86" customFormat="false" ht="13.8" hidden="false" customHeight="false" outlineLevel="0" collapsed="false">
      <c r="A86" s="2" t="s">
        <v>954</v>
      </c>
      <c r="B86" s="1" t="s">
        <v>955</v>
      </c>
    </row>
    <row r="87" customFormat="false" ht="13.8" hidden="false" customHeight="false" outlineLevel="0" collapsed="false">
      <c r="A87" s="2" t="s">
        <v>956</v>
      </c>
      <c r="B87" s="1" t="s">
        <v>957</v>
      </c>
    </row>
    <row r="88" customFormat="false" ht="13.8" hidden="false" customHeight="false" outlineLevel="0" collapsed="false">
      <c r="A88" s="2" t="s">
        <v>958</v>
      </c>
      <c r="B88" s="1" t="s">
        <v>959</v>
      </c>
    </row>
    <row r="89" customFormat="false" ht="13.8" hidden="false" customHeight="false" outlineLevel="0" collapsed="false">
      <c r="A89" s="2" t="s">
        <v>960</v>
      </c>
      <c r="B89" s="1" t="s">
        <v>961</v>
      </c>
    </row>
    <row r="90" customFormat="false" ht="13.8" hidden="false" customHeight="false" outlineLevel="0" collapsed="false">
      <c r="A90" s="2" t="s">
        <v>962</v>
      </c>
      <c r="B90" s="1" t="s">
        <v>963</v>
      </c>
    </row>
    <row r="91" customFormat="false" ht="13.8" hidden="false" customHeight="false" outlineLevel="0" collapsed="false">
      <c r="A91" s="2" t="s">
        <v>964</v>
      </c>
      <c r="B91" s="1" t="s">
        <v>965</v>
      </c>
    </row>
    <row r="92" customFormat="false" ht="13.8" hidden="false" customHeight="false" outlineLevel="0" collapsed="false">
      <c r="A92" s="2" t="s">
        <v>966</v>
      </c>
      <c r="B92" s="1" t="s">
        <v>967</v>
      </c>
    </row>
    <row r="93" customFormat="false" ht="13.8" hidden="false" customHeight="false" outlineLevel="0" collapsed="false">
      <c r="A93" s="2" t="s">
        <v>968</v>
      </c>
    </row>
    <row r="94" customFormat="false" ht="13.8" hidden="false" customHeight="false" outlineLevel="0" collapsed="false">
      <c r="A94" s="2" t="s">
        <v>969</v>
      </c>
    </row>
    <row r="95" customFormat="false" ht="13.8" hidden="false" customHeight="false" outlineLevel="0" collapsed="false">
      <c r="A95" s="2" t="s">
        <v>970</v>
      </c>
      <c r="B95" s="1" t="s">
        <v>971</v>
      </c>
    </row>
    <row r="96" customFormat="false" ht="13.8" hidden="false" customHeight="false" outlineLevel="0" collapsed="false">
      <c r="A96" s="2" t="s">
        <v>972</v>
      </c>
      <c r="B96" s="1" t="s">
        <v>973</v>
      </c>
    </row>
    <row r="97" customFormat="false" ht="13.8" hidden="false" customHeight="false" outlineLevel="0" collapsed="false">
      <c r="A97" s="2" t="s">
        <v>974</v>
      </c>
      <c r="B97" s="1" t="s">
        <v>975</v>
      </c>
    </row>
    <row r="98" customFormat="false" ht="13.8" hidden="false" customHeight="false" outlineLevel="0" collapsed="false">
      <c r="A98" s="2" t="s">
        <v>976</v>
      </c>
      <c r="B98" s="1" t="s">
        <v>977</v>
      </c>
    </row>
    <row r="99" customFormat="false" ht="13.8" hidden="false" customHeight="false" outlineLevel="0" collapsed="false">
      <c r="A99" s="2" t="s">
        <v>978</v>
      </c>
      <c r="B99" s="1" t="s">
        <v>979</v>
      </c>
    </row>
    <row r="100" customFormat="false" ht="13.8" hidden="false" customHeight="false" outlineLevel="0" collapsed="false">
      <c r="A100" s="2" t="s">
        <v>980</v>
      </c>
      <c r="B100" s="1" t="s">
        <v>981</v>
      </c>
    </row>
    <row r="101" customFormat="false" ht="13.8" hidden="false" customHeight="false" outlineLevel="0" collapsed="false">
      <c r="A101" s="2" t="s">
        <v>982</v>
      </c>
      <c r="B101" s="1" t="s">
        <v>983</v>
      </c>
    </row>
    <row r="102" customFormat="false" ht="13.8" hidden="false" customHeight="false" outlineLevel="0" collapsed="false">
      <c r="A102" s="2" t="s">
        <v>984</v>
      </c>
      <c r="B102" s="1" t="s">
        <v>985</v>
      </c>
    </row>
    <row r="103" customFormat="false" ht="13.8" hidden="false" customHeight="false" outlineLevel="0" collapsed="false">
      <c r="A103" s="2" t="s">
        <v>986</v>
      </c>
      <c r="B103" s="1" t="s">
        <v>987</v>
      </c>
    </row>
    <row r="104" customFormat="false" ht="13.8" hidden="false" customHeight="false" outlineLevel="0" collapsed="false">
      <c r="A104" s="2" t="s">
        <v>988</v>
      </c>
      <c r="B104" s="1" t="s">
        <v>989</v>
      </c>
    </row>
    <row r="105" customFormat="false" ht="13.8" hidden="false" customHeight="false" outlineLevel="0" collapsed="false">
      <c r="A105" s="2" t="s">
        <v>990</v>
      </c>
      <c r="B105" s="1" t="s">
        <v>991</v>
      </c>
    </row>
    <row r="106" customFormat="false" ht="13.8" hidden="false" customHeight="false" outlineLevel="0" collapsed="false">
      <c r="A106" s="2" t="s">
        <v>992</v>
      </c>
      <c r="B106" s="1" t="s">
        <v>993</v>
      </c>
    </row>
    <row r="107" customFormat="false" ht="13.8" hidden="false" customHeight="false" outlineLevel="0" collapsed="false">
      <c r="A107" s="2" t="s">
        <v>994</v>
      </c>
      <c r="B107" s="1" t="s">
        <v>995</v>
      </c>
    </row>
    <row r="108" customFormat="false" ht="13.8" hidden="false" customHeight="false" outlineLevel="0" collapsed="false">
      <c r="A108" s="2" t="s">
        <v>996</v>
      </c>
    </row>
    <row r="109" customFormat="false" ht="13.8" hidden="false" customHeight="false" outlineLevel="0" collapsed="false">
      <c r="A109" s="2" t="s">
        <v>997</v>
      </c>
    </row>
    <row r="110" customFormat="false" ht="13.8" hidden="false" customHeight="false" outlineLevel="0" collapsed="false">
      <c r="A110" s="3" t="s">
        <v>998</v>
      </c>
      <c r="B110" s="1" t="s">
        <v>999</v>
      </c>
    </row>
    <row r="111" customFormat="false" ht="13.8" hidden="false" customHeight="false" outlineLevel="0" collapsed="false">
      <c r="A111" s="3" t="s">
        <v>1000</v>
      </c>
      <c r="B111" s="1" t="s">
        <v>1001</v>
      </c>
    </row>
    <row r="112" customFormat="false" ht="13.8" hidden="false" customHeight="false" outlineLevel="0" collapsed="false">
      <c r="A112" s="3" t="s">
        <v>1002</v>
      </c>
      <c r="B112" s="1" t="s">
        <v>1003</v>
      </c>
    </row>
    <row r="113" customFormat="false" ht="13.8" hidden="false" customHeight="false" outlineLevel="0" collapsed="false">
      <c r="A113" s="3" t="s">
        <v>1004</v>
      </c>
      <c r="B113" s="1" t="s">
        <v>1005</v>
      </c>
    </row>
    <row r="114" customFormat="false" ht="13.8" hidden="false" customHeight="false" outlineLevel="0" collapsed="false">
      <c r="A114" s="3" t="s">
        <v>1006</v>
      </c>
      <c r="B114" s="1" t="s">
        <v>1007</v>
      </c>
    </row>
    <row r="115" customFormat="false" ht="13.8" hidden="false" customHeight="false" outlineLevel="0" collapsed="false">
      <c r="A115" s="3" t="s">
        <v>1008</v>
      </c>
      <c r="B115" s="1" t="s">
        <v>1009</v>
      </c>
    </row>
    <row r="116" customFormat="false" ht="13.8" hidden="false" customHeight="false" outlineLevel="0" collapsed="false">
      <c r="A116" s="3" t="s">
        <v>1010</v>
      </c>
      <c r="B116" s="1" t="s">
        <v>1011</v>
      </c>
    </row>
    <row r="117" customFormat="false" ht="13.8" hidden="false" customHeight="false" outlineLevel="0" collapsed="false">
      <c r="A117" s="3" t="s">
        <v>1012</v>
      </c>
      <c r="B117" s="1" t="s">
        <v>1013</v>
      </c>
    </row>
    <row r="118" customFormat="false" ht="13.8" hidden="false" customHeight="false" outlineLevel="0" collapsed="false">
      <c r="A118" s="3" t="s">
        <v>1014</v>
      </c>
      <c r="B118" s="1" t="s">
        <v>1015</v>
      </c>
    </row>
    <row r="119" customFormat="false" ht="13.8" hidden="false" customHeight="false" outlineLevel="0" collapsed="false">
      <c r="A119" s="3" t="s">
        <v>1016</v>
      </c>
      <c r="B119" s="1" t="s">
        <v>1017</v>
      </c>
    </row>
    <row r="120" customFormat="false" ht="13.8" hidden="false" customHeight="false" outlineLevel="0" collapsed="false">
      <c r="A120" s="3" t="s">
        <v>1018</v>
      </c>
      <c r="B120" s="1" t="s">
        <v>1019</v>
      </c>
    </row>
    <row r="121" customFormat="false" ht="13.8" hidden="false" customHeight="false" outlineLevel="0" collapsed="false">
      <c r="A121" s="3" t="s">
        <v>1020</v>
      </c>
      <c r="B121" s="1" t="s">
        <v>1021</v>
      </c>
    </row>
    <row r="122" customFormat="false" ht="13.8" hidden="false" customHeight="false" outlineLevel="0" collapsed="false">
      <c r="A122" s="3" t="s">
        <v>1022</v>
      </c>
      <c r="B122" s="1" t="s">
        <v>1023</v>
      </c>
    </row>
    <row r="123" customFormat="false" ht="13.8" hidden="false" customHeight="false" outlineLevel="0" collapsed="false">
      <c r="A123" s="3" t="s">
        <v>1024</v>
      </c>
      <c r="B123" s="1" t="s">
        <v>1025</v>
      </c>
    </row>
    <row r="124" customFormat="false" ht="13.8" hidden="false" customHeight="false" outlineLevel="0" collapsed="false">
      <c r="A124" s="3" t="s">
        <v>1026</v>
      </c>
      <c r="B124" s="1" t="s">
        <v>1027</v>
      </c>
    </row>
    <row r="125" customFormat="false" ht="13.8" hidden="false" customHeight="false" outlineLevel="0" collapsed="false">
      <c r="A125" s="3" t="s">
        <v>1028</v>
      </c>
      <c r="B125" s="1" t="s">
        <v>1029</v>
      </c>
    </row>
    <row r="126" customFormat="false" ht="13.8" hidden="false" customHeight="false" outlineLevel="0" collapsed="false">
      <c r="A126" s="3" t="s">
        <v>1030</v>
      </c>
      <c r="B126" s="1" t="s">
        <v>1031</v>
      </c>
    </row>
    <row r="127" customFormat="false" ht="13.8" hidden="false" customHeight="false" outlineLevel="0" collapsed="false">
      <c r="A127" s="3" t="s">
        <v>1032</v>
      </c>
      <c r="B127" s="1" t="s">
        <v>1033</v>
      </c>
    </row>
    <row r="128" customFormat="false" ht="13.8" hidden="false" customHeight="false" outlineLevel="0" collapsed="false">
      <c r="A128" s="3" t="s">
        <v>1034</v>
      </c>
      <c r="B128" s="1" t="s">
        <v>1035</v>
      </c>
    </row>
    <row r="129" customFormat="false" ht="13.8" hidden="false" customHeight="false" outlineLevel="0" collapsed="false">
      <c r="A129" s="3" t="s">
        <v>1036</v>
      </c>
      <c r="B129" s="1" t="s">
        <v>1037</v>
      </c>
    </row>
    <row r="130" customFormat="false" ht="13.8" hidden="false" customHeight="false" outlineLevel="0" collapsed="false">
      <c r="A130" s="3" t="s">
        <v>1038</v>
      </c>
      <c r="B130" s="1" t="s">
        <v>1039</v>
      </c>
    </row>
    <row r="131" customFormat="false" ht="13.8" hidden="false" customHeight="false" outlineLevel="0" collapsed="false">
      <c r="A131" s="3" t="s">
        <v>1040</v>
      </c>
      <c r="B131" s="1" t="s">
        <v>1041</v>
      </c>
    </row>
    <row r="132" customFormat="false" ht="13.8" hidden="false" customHeight="false" outlineLevel="0" collapsed="false">
      <c r="A132" s="3" t="s">
        <v>1042</v>
      </c>
      <c r="B132" s="1" t="s">
        <v>1043</v>
      </c>
    </row>
    <row r="133" customFormat="false" ht="13.8" hidden="false" customHeight="false" outlineLevel="0" collapsed="false">
      <c r="A133" s="3" t="s">
        <v>1044</v>
      </c>
      <c r="B133" s="1" t="s">
        <v>1045</v>
      </c>
    </row>
    <row r="134" customFormat="false" ht="13.8" hidden="false" customHeight="false" outlineLevel="0" collapsed="false">
      <c r="A134" s="3" t="s">
        <v>1046</v>
      </c>
      <c r="B134" s="1" t="s">
        <v>1047</v>
      </c>
    </row>
    <row r="135" customFormat="false" ht="13.8" hidden="false" customHeight="false" outlineLevel="0" collapsed="false">
      <c r="A135" s="3" t="s">
        <v>1048</v>
      </c>
      <c r="B135" s="1" t="s">
        <v>1049</v>
      </c>
    </row>
    <row r="136" customFormat="false" ht="13.8" hidden="false" customHeight="false" outlineLevel="0" collapsed="false">
      <c r="A136" s="3" t="s">
        <v>1050</v>
      </c>
      <c r="B136" s="1" t="s">
        <v>1051</v>
      </c>
    </row>
    <row r="137" customFormat="false" ht="13.8" hidden="false" customHeight="false" outlineLevel="0" collapsed="false">
      <c r="A137" s="3" t="s">
        <v>1052</v>
      </c>
      <c r="B137" s="1" t="s">
        <v>1053</v>
      </c>
    </row>
    <row r="138" customFormat="false" ht="13.8" hidden="false" customHeight="false" outlineLevel="0" collapsed="false">
      <c r="A138" s="3" t="s">
        <v>1054</v>
      </c>
      <c r="B138" s="1" t="s">
        <v>1055</v>
      </c>
    </row>
    <row r="139" customFormat="false" ht="13.8" hidden="false" customHeight="false" outlineLevel="0" collapsed="false">
      <c r="A139" s="3" t="s">
        <v>1056</v>
      </c>
      <c r="B139" s="1" t="s">
        <v>1057</v>
      </c>
    </row>
    <row r="140" customFormat="false" ht="13.8" hidden="false" customHeight="false" outlineLevel="0" collapsed="false">
      <c r="A140" s="3" t="s">
        <v>1058</v>
      </c>
      <c r="B140" s="1" t="s">
        <v>1059</v>
      </c>
    </row>
    <row r="141" customFormat="false" ht="13.8" hidden="false" customHeight="false" outlineLevel="0" collapsed="false">
      <c r="A141" s="3" t="s">
        <v>1060</v>
      </c>
      <c r="B141" s="1" t="s">
        <v>1061</v>
      </c>
    </row>
    <row r="142" customFormat="false" ht="13.8" hidden="false" customHeight="false" outlineLevel="0" collapsed="false">
      <c r="A142" s="3" t="s">
        <v>1062</v>
      </c>
      <c r="B142" s="1" t="s">
        <v>1063</v>
      </c>
    </row>
    <row r="143" customFormat="false" ht="13.8" hidden="false" customHeight="false" outlineLevel="0" collapsed="false">
      <c r="A143" s="3" t="s">
        <v>1064</v>
      </c>
      <c r="B143" s="1" t="s">
        <v>1065</v>
      </c>
    </row>
    <row r="144" customFormat="false" ht="13.8" hidden="false" customHeight="false" outlineLevel="0" collapsed="false">
      <c r="A144" s="3" t="s">
        <v>1066</v>
      </c>
      <c r="B144" s="1" t="s">
        <v>1067</v>
      </c>
    </row>
    <row r="145" customFormat="false" ht="13.8" hidden="false" customHeight="false" outlineLevel="0" collapsed="false">
      <c r="A145" s="3" t="s">
        <v>1068</v>
      </c>
      <c r="B145" s="1" t="s">
        <v>1069</v>
      </c>
    </row>
    <row r="146" customFormat="false" ht="13.8" hidden="false" customHeight="false" outlineLevel="0" collapsed="false">
      <c r="A146" s="3" t="s">
        <v>1070</v>
      </c>
      <c r="B146" s="1" t="s">
        <v>1071</v>
      </c>
    </row>
    <row r="147" customFormat="false" ht="13.8" hidden="false" customHeight="false" outlineLevel="0" collapsed="false">
      <c r="A147" s="3" t="s">
        <v>1072</v>
      </c>
      <c r="B147" s="1" t="s">
        <v>1073</v>
      </c>
    </row>
    <row r="148" customFormat="false" ht="13.8" hidden="false" customHeight="false" outlineLevel="0" collapsed="false">
      <c r="A148" s="3" t="s">
        <v>1074</v>
      </c>
      <c r="B148" s="1" t="s">
        <v>1075</v>
      </c>
    </row>
    <row r="149" customFormat="false" ht="13.8" hidden="false" customHeight="false" outlineLevel="0" collapsed="false">
      <c r="A149" s="3" t="s">
        <v>1076</v>
      </c>
      <c r="B149" s="1" t="s">
        <v>1077</v>
      </c>
    </row>
    <row r="150" customFormat="false" ht="13.8" hidden="false" customHeight="false" outlineLevel="0" collapsed="false">
      <c r="A150" s="3" t="s">
        <v>1078</v>
      </c>
      <c r="B150" s="1" t="s">
        <v>1079</v>
      </c>
    </row>
    <row r="151" customFormat="false" ht="13.8" hidden="false" customHeight="false" outlineLevel="0" collapsed="false">
      <c r="A151" s="3" t="s">
        <v>1080</v>
      </c>
      <c r="B151" s="1" t="s">
        <v>1081</v>
      </c>
    </row>
    <row r="152" customFormat="false" ht="13.8" hidden="false" customHeight="false" outlineLevel="0" collapsed="false">
      <c r="A152" s="3" t="s">
        <v>1082</v>
      </c>
      <c r="B152" s="1" t="s">
        <v>1083</v>
      </c>
    </row>
    <row r="153" customFormat="false" ht="13.8" hidden="false" customHeight="false" outlineLevel="0" collapsed="false">
      <c r="A153" s="3" t="s">
        <v>1084</v>
      </c>
      <c r="B153" s="1" t="s">
        <v>1085</v>
      </c>
    </row>
    <row r="154" customFormat="false" ht="13.8" hidden="false" customHeight="false" outlineLevel="0" collapsed="false">
      <c r="A154" s="3" t="s">
        <v>1086</v>
      </c>
      <c r="B154" s="1" t="s">
        <v>1087</v>
      </c>
    </row>
    <row r="155" customFormat="false" ht="13.8" hidden="false" customHeight="false" outlineLevel="0" collapsed="false">
      <c r="A155" s="3" t="s">
        <v>1088</v>
      </c>
      <c r="B155" s="1" t="s">
        <v>1089</v>
      </c>
    </row>
    <row r="156" customFormat="false" ht="13.8" hidden="false" customHeight="false" outlineLevel="0" collapsed="false">
      <c r="A156" s="3" t="s">
        <v>1090</v>
      </c>
      <c r="B156" s="1" t="s">
        <v>1091</v>
      </c>
    </row>
    <row r="157" customFormat="false" ht="13.8" hidden="false" customHeight="false" outlineLevel="0" collapsed="false">
      <c r="A157" s="3" t="s">
        <v>1092</v>
      </c>
      <c r="B157" s="1" t="s">
        <v>1093</v>
      </c>
    </row>
    <row r="158" customFormat="false" ht="13.8" hidden="false" customHeight="false" outlineLevel="0" collapsed="false">
      <c r="A158" s="3" t="s">
        <v>1094</v>
      </c>
      <c r="B158" s="1" t="s">
        <v>1095</v>
      </c>
    </row>
    <row r="159" customFormat="false" ht="13.8" hidden="false" customHeight="false" outlineLevel="0" collapsed="false">
      <c r="A159" s="3" t="s">
        <v>1096</v>
      </c>
      <c r="B159" s="1" t="s">
        <v>1097</v>
      </c>
    </row>
    <row r="160" customFormat="false" ht="13.8" hidden="false" customHeight="false" outlineLevel="0" collapsed="false">
      <c r="A160" s="3" t="s">
        <v>1098</v>
      </c>
      <c r="B160" s="1" t="s">
        <v>1099</v>
      </c>
    </row>
    <row r="161" customFormat="false" ht="13.8" hidden="false" customHeight="false" outlineLevel="0" collapsed="false">
      <c r="A161" s="3" t="s">
        <v>1100</v>
      </c>
      <c r="B161" s="1" t="s">
        <v>1101</v>
      </c>
    </row>
    <row r="162" customFormat="false" ht="13.8" hidden="false" customHeight="false" outlineLevel="0" collapsed="false">
      <c r="A162" s="3" t="s">
        <v>1102</v>
      </c>
      <c r="B162" s="1" t="s">
        <v>1103</v>
      </c>
    </row>
    <row r="163" customFormat="false" ht="13.8" hidden="false" customHeight="false" outlineLevel="0" collapsed="false">
      <c r="A163" s="3" t="s">
        <v>1104</v>
      </c>
      <c r="B163" s="1" t="s">
        <v>1105</v>
      </c>
    </row>
    <row r="164" customFormat="false" ht="13.8" hidden="false" customHeight="false" outlineLevel="0" collapsed="false">
      <c r="A164" s="3" t="s">
        <v>1106</v>
      </c>
      <c r="B164" s="1" t="s">
        <v>1107</v>
      </c>
    </row>
    <row r="165" customFormat="false" ht="13.8" hidden="false" customHeight="false" outlineLevel="0" collapsed="false">
      <c r="A165" s="3" t="s">
        <v>1108</v>
      </c>
      <c r="B165" s="1" t="s">
        <v>1109</v>
      </c>
    </row>
    <row r="166" customFormat="false" ht="13.8" hidden="false" customHeight="false" outlineLevel="0" collapsed="false">
      <c r="A166" s="3" t="s">
        <v>1110</v>
      </c>
      <c r="B166" s="1" t="s">
        <v>1111</v>
      </c>
    </row>
    <row r="167" customFormat="false" ht="13.8" hidden="false" customHeight="false" outlineLevel="0" collapsed="false">
      <c r="A167" s="3" t="s">
        <v>1112</v>
      </c>
      <c r="B167" s="1" t="s">
        <v>1113</v>
      </c>
    </row>
    <row r="168" customFormat="false" ht="13.8" hidden="false" customHeight="false" outlineLevel="0" collapsed="false">
      <c r="A168" s="3" t="s">
        <v>1114</v>
      </c>
      <c r="B168" s="1" t="s">
        <v>1115</v>
      </c>
    </row>
    <row r="169" customFormat="false" ht="13.8" hidden="false" customHeight="false" outlineLevel="0" collapsed="false">
      <c r="A169" s="3" t="s">
        <v>1116</v>
      </c>
      <c r="B169" s="1" t="s">
        <v>1117</v>
      </c>
    </row>
    <row r="170" customFormat="false" ht="13.8" hidden="false" customHeight="false" outlineLevel="0" collapsed="false">
      <c r="A170" s="3" t="s">
        <v>1118</v>
      </c>
      <c r="B170" s="1" t="s">
        <v>1119</v>
      </c>
    </row>
    <row r="171" customFormat="false" ht="13.8" hidden="false" customHeight="false" outlineLevel="0" collapsed="false">
      <c r="A171" s="3" t="s">
        <v>1120</v>
      </c>
      <c r="B171" s="1" t="s">
        <v>1121</v>
      </c>
    </row>
    <row r="172" customFormat="false" ht="13.8" hidden="false" customHeight="false" outlineLevel="0" collapsed="false">
      <c r="A172" s="3" t="s">
        <v>1122</v>
      </c>
      <c r="B172" s="1" t="s">
        <v>1123</v>
      </c>
    </row>
    <row r="173" customFormat="false" ht="13.8" hidden="false" customHeight="false" outlineLevel="0" collapsed="false">
      <c r="A173" s="3" t="s">
        <v>1124</v>
      </c>
      <c r="B173" s="1" t="s">
        <v>1125</v>
      </c>
    </row>
    <row r="174" customFormat="false" ht="13.8" hidden="false" customHeight="false" outlineLevel="0" collapsed="false">
      <c r="A174" s="3" t="s">
        <v>1126</v>
      </c>
      <c r="B174" s="1" t="s">
        <v>1127</v>
      </c>
    </row>
    <row r="175" customFormat="false" ht="13.8" hidden="false" customHeight="false" outlineLevel="0" collapsed="false">
      <c r="A175" s="3" t="s">
        <v>1128</v>
      </c>
      <c r="B175" s="1" t="s">
        <v>1129</v>
      </c>
    </row>
    <row r="176" customFormat="false" ht="13.8" hidden="false" customHeight="false" outlineLevel="0" collapsed="false">
      <c r="A176" s="3" t="s">
        <v>1130</v>
      </c>
      <c r="B176" s="1" t="s">
        <v>1131</v>
      </c>
    </row>
    <row r="177" customFormat="false" ht="13.8" hidden="false" customHeight="false" outlineLevel="0" collapsed="false">
      <c r="A177" s="3" t="s">
        <v>1132</v>
      </c>
      <c r="B177" s="1" t="s">
        <v>1133</v>
      </c>
    </row>
    <row r="178" customFormat="false" ht="13.8" hidden="false" customHeight="false" outlineLevel="0" collapsed="false">
      <c r="A178" s="3" t="s">
        <v>1134</v>
      </c>
      <c r="B178" s="1" t="s">
        <v>1135</v>
      </c>
    </row>
    <row r="179" customFormat="false" ht="13.8" hidden="false" customHeight="false" outlineLevel="0" collapsed="false">
      <c r="A179" s="3" t="s">
        <v>1136</v>
      </c>
      <c r="B179" s="1" t="s">
        <v>1137</v>
      </c>
    </row>
    <row r="180" customFormat="false" ht="13.8" hidden="false" customHeight="false" outlineLevel="0" collapsed="false">
      <c r="A180" s="3" t="s">
        <v>1138</v>
      </c>
      <c r="B180" s="1" t="s">
        <v>1139</v>
      </c>
    </row>
    <row r="181" customFormat="false" ht="13.8" hidden="false" customHeight="false" outlineLevel="0" collapsed="false">
      <c r="A181" s="3" t="s">
        <v>1140</v>
      </c>
      <c r="B181" s="1" t="s">
        <v>1141</v>
      </c>
    </row>
    <row r="182" customFormat="false" ht="13.8" hidden="false" customHeight="false" outlineLevel="0" collapsed="false">
      <c r="A182" s="3" t="s">
        <v>1142</v>
      </c>
      <c r="B182" s="1" t="s">
        <v>1143</v>
      </c>
    </row>
    <row r="183" customFormat="false" ht="13.8" hidden="false" customHeight="false" outlineLevel="0" collapsed="false">
      <c r="A183" s="3" t="s">
        <v>1144</v>
      </c>
      <c r="B183" s="1" t="s">
        <v>1145</v>
      </c>
    </row>
    <row r="184" customFormat="false" ht="13.8" hidden="false" customHeight="false" outlineLevel="0" collapsed="false">
      <c r="A184" s="3" t="s">
        <v>1146</v>
      </c>
      <c r="B184" s="1" t="s">
        <v>1147</v>
      </c>
    </row>
    <row r="185" customFormat="false" ht="13.8" hidden="false" customHeight="false" outlineLevel="0" collapsed="false">
      <c r="A185" s="3" t="s">
        <v>1148</v>
      </c>
      <c r="B185" s="1" t="s">
        <v>1149</v>
      </c>
    </row>
    <row r="186" customFormat="false" ht="13.8" hidden="false" customHeight="false" outlineLevel="0" collapsed="false">
      <c r="A186" s="3" t="s">
        <v>1150</v>
      </c>
      <c r="B186" s="1" t="s">
        <v>1151</v>
      </c>
    </row>
    <row r="187" customFormat="false" ht="13.8" hidden="false" customHeight="false" outlineLevel="0" collapsed="false">
      <c r="A187" s="3" t="s">
        <v>1152</v>
      </c>
      <c r="B187" s="1" t="s">
        <v>1153</v>
      </c>
    </row>
    <row r="188" customFormat="false" ht="13.8" hidden="false" customHeight="false" outlineLevel="0" collapsed="false">
      <c r="A188" s="3" t="s">
        <v>1154</v>
      </c>
      <c r="B188" s="1" t="s">
        <v>1155</v>
      </c>
    </row>
    <row r="189" customFormat="false" ht="13.8" hidden="false" customHeight="false" outlineLevel="0" collapsed="false">
      <c r="A189" s="3" t="s">
        <v>1156</v>
      </c>
      <c r="B189" s="1" t="s">
        <v>1157</v>
      </c>
    </row>
    <row r="190" customFormat="false" ht="13.8" hidden="false" customHeight="false" outlineLevel="0" collapsed="false">
      <c r="A190" s="3" t="s">
        <v>1158</v>
      </c>
      <c r="B190" s="1" t="s">
        <v>1159</v>
      </c>
    </row>
    <row r="191" customFormat="false" ht="13.8" hidden="false" customHeight="false" outlineLevel="0" collapsed="false">
      <c r="A191" s="3" t="s">
        <v>1160</v>
      </c>
      <c r="B191" s="1" t="s">
        <v>1161</v>
      </c>
    </row>
    <row r="192" customFormat="false" ht="13.8" hidden="false" customHeight="false" outlineLevel="0" collapsed="false">
      <c r="A192" s="3" t="s">
        <v>1162</v>
      </c>
      <c r="B192" s="1" t="s">
        <v>1163</v>
      </c>
    </row>
    <row r="193" customFormat="false" ht="13.8" hidden="false" customHeight="false" outlineLevel="0" collapsed="false">
      <c r="A193" s="3" t="s">
        <v>1164</v>
      </c>
      <c r="B193" s="1" t="s">
        <v>1165</v>
      </c>
    </row>
    <row r="194" customFormat="false" ht="13.8" hidden="false" customHeight="false" outlineLevel="0" collapsed="false">
      <c r="A194" s="3" t="s">
        <v>1166</v>
      </c>
      <c r="B194" s="1" t="s">
        <v>1167</v>
      </c>
    </row>
    <row r="195" customFormat="false" ht="13.8" hidden="false" customHeight="false" outlineLevel="0" collapsed="false">
      <c r="A195" s="3" t="s">
        <v>1168</v>
      </c>
      <c r="B195" s="1" t="s">
        <v>1169</v>
      </c>
    </row>
    <row r="196" customFormat="false" ht="13.8" hidden="false" customHeight="false" outlineLevel="0" collapsed="false">
      <c r="A196" s="3" t="s">
        <v>1170</v>
      </c>
      <c r="B196" s="1" t="s">
        <v>1171</v>
      </c>
    </row>
    <row r="197" customFormat="false" ht="13.8" hidden="false" customHeight="false" outlineLevel="0" collapsed="false">
      <c r="A197" s="3" t="s">
        <v>1172</v>
      </c>
      <c r="B197" s="1" t="s">
        <v>1173</v>
      </c>
    </row>
    <row r="198" customFormat="false" ht="13.8" hidden="false" customHeight="false" outlineLevel="0" collapsed="false">
      <c r="A198" s="3" t="s">
        <v>1174</v>
      </c>
      <c r="B198" s="1" t="s">
        <v>1175</v>
      </c>
    </row>
    <row r="199" customFormat="false" ht="13.8" hidden="false" customHeight="false" outlineLevel="0" collapsed="false">
      <c r="A199" s="3" t="s">
        <v>1176</v>
      </c>
      <c r="B199" s="1" t="s">
        <v>1177</v>
      </c>
    </row>
    <row r="200" customFormat="false" ht="13.8" hidden="false" customHeight="false" outlineLevel="0" collapsed="false">
      <c r="A200" s="3" t="s">
        <v>1178</v>
      </c>
      <c r="B200" s="1" t="s">
        <v>1179</v>
      </c>
    </row>
    <row r="201" customFormat="false" ht="13.8" hidden="false" customHeight="false" outlineLevel="0" collapsed="false">
      <c r="A201" s="3" t="s">
        <v>1180</v>
      </c>
    </row>
    <row r="202" customFormat="false" ht="13.8" hidden="false" customHeight="false" outlineLevel="0" collapsed="false">
      <c r="A202" s="3" t="s">
        <v>1181</v>
      </c>
      <c r="B202" s="1" t="s">
        <v>1182</v>
      </c>
    </row>
    <row r="203" customFormat="false" ht="13.8" hidden="false" customHeight="false" outlineLevel="0" collapsed="false">
      <c r="A203" s="3" t="s">
        <v>1183</v>
      </c>
      <c r="B203" s="1" t="s">
        <v>1184</v>
      </c>
    </row>
    <row r="204" customFormat="false" ht="13.8" hidden="false" customHeight="false" outlineLevel="0" collapsed="false">
      <c r="A204" s="3" t="s">
        <v>1185</v>
      </c>
      <c r="B204" s="1" t="s">
        <v>1186</v>
      </c>
    </row>
    <row r="205" customFormat="false" ht="13.8" hidden="false" customHeight="false" outlineLevel="0" collapsed="false">
      <c r="A205" s="3" t="s">
        <v>1187</v>
      </c>
      <c r="B205" s="1" t="s">
        <v>1188</v>
      </c>
    </row>
    <row r="206" customFormat="false" ht="13.8" hidden="false" customHeight="false" outlineLevel="0" collapsed="false">
      <c r="A206" s="3" t="s">
        <v>1189</v>
      </c>
      <c r="B206" s="1" t="s">
        <v>1190</v>
      </c>
    </row>
    <row r="207" customFormat="false" ht="13.8" hidden="false" customHeight="false" outlineLevel="0" collapsed="false">
      <c r="A207" s="3" t="s">
        <v>1191</v>
      </c>
      <c r="B207" s="1" t="s">
        <v>1192</v>
      </c>
    </row>
    <row r="208" customFormat="false" ht="13.8" hidden="false" customHeight="false" outlineLevel="0" collapsed="false">
      <c r="A208" s="3" t="s">
        <v>1193</v>
      </c>
      <c r="B208" s="1" t="s">
        <v>1194</v>
      </c>
    </row>
    <row r="209" customFormat="false" ht="13.8" hidden="false" customHeight="false" outlineLevel="0" collapsed="false">
      <c r="A209" s="3" t="s">
        <v>1195</v>
      </c>
      <c r="B209" s="1" t="s">
        <v>1196</v>
      </c>
    </row>
    <row r="210" customFormat="false" ht="13.8" hidden="false" customHeight="false" outlineLevel="0" collapsed="false">
      <c r="A210" s="3" t="s">
        <v>1197</v>
      </c>
      <c r="B210" s="1" t="s">
        <v>1198</v>
      </c>
    </row>
    <row r="211" customFormat="false" ht="13.8" hidden="false" customHeight="false" outlineLevel="0" collapsed="false">
      <c r="A211" s="3" t="s">
        <v>1199</v>
      </c>
      <c r="B211" s="1" t="s">
        <v>1200</v>
      </c>
    </row>
    <row r="212" customFormat="false" ht="13.8" hidden="false" customHeight="false" outlineLevel="0" collapsed="false">
      <c r="A212" s="3" t="s">
        <v>1201</v>
      </c>
      <c r="B212" s="1" t="s">
        <v>1202</v>
      </c>
    </row>
    <row r="213" customFormat="false" ht="13.8" hidden="false" customHeight="false" outlineLevel="0" collapsed="false">
      <c r="A213" s="3" t="s">
        <v>1203</v>
      </c>
      <c r="B213" s="1" t="s">
        <v>1204</v>
      </c>
    </row>
    <row r="214" customFormat="false" ht="13.8" hidden="false" customHeight="false" outlineLevel="0" collapsed="false">
      <c r="A214" s="3" t="s">
        <v>1205</v>
      </c>
      <c r="B214" s="1" t="s">
        <v>1206</v>
      </c>
    </row>
    <row r="215" customFormat="false" ht="13.8" hidden="false" customHeight="false" outlineLevel="0" collapsed="false">
      <c r="A215" s="3" t="s">
        <v>1207</v>
      </c>
      <c r="B215" s="1" t="s">
        <v>1208</v>
      </c>
    </row>
    <row r="216" customFormat="false" ht="13.8" hidden="false" customHeight="false" outlineLevel="0" collapsed="false">
      <c r="A216" s="3" t="s">
        <v>1209</v>
      </c>
      <c r="B216" s="1" t="s">
        <v>1210</v>
      </c>
    </row>
    <row r="217" customFormat="false" ht="13.8" hidden="false" customHeight="false" outlineLevel="0" collapsed="false">
      <c r="A217" s="3" t="s">
        <v>1211</v>
      </c>
      <c r="B217" s="1"/>
    </row>
    <row r="218" customFormat="false" ht="13.8" hidden="false" customHeight="false" outlineLevel="0" collapsed="false">
      <c r="A218" s="3" t="s">
        <v>1212</v>
      </c>
      <c r="B218" s="1"/>
    </row>
    <row r="219" customFormat="false" ht="13.8" hidden="false" customHeight="false" outlineLevel="0" collapsed="false">
      <c r="A219" s="4" t="s">
        <v>1213</v>
      </c>
      <c r="B219" s="1" t="s">
        <v>1214</v>
      </c>
    </row>
    <row r="220" customFormat="false" ht="13.8" hidden="false" customHeight="false" outlineLevel="0" collapsed="false">
      <c r="A220" s="4" t="s">
        <v>1215</v>
      </c>
      <c r="B220" s="1" t="s">
        <v>1216</v>
      </c>
    </row>
    <row r="221" customFormat="false" ht="13.8" hidden="false" customHeight="false" outlineLevel="0" collapsed="false">
      <c r="A221" s="4" t="s">
        <v>1217</v>
      </c>
      <c r="B221" s="1" t="s">
        <v>1218</v>
      </c>
    </row>
    <row r="222" customFormat="false" ht="13.8" hidden="false" customHeight="false" outlineLevel="0" collapsed="false">
      <c r="A222" s="4" t="s">
        <v>1219</v>
      </c>
      <c r="B222" s="1" t="s">
        <v>1220</v>
      </c>
    </row>
    <row r="223" customFormat="false" ht="13.8" hidden="false" customHeight="false" outlineLevel="0" collapsed="false">
      <c r="A223" s="4" t="s">
        <v>1221</v>
      </c>
      <c r="B223" s="1" t="s">
        <v>1222</v>
      </c>
    </row>
    <row r="224" customFormat="false" ht="13.8" hidden="false" customHeight="false" outlineLevel="0" collapsed="false">
      <c r="A224" s="4" t="s">
        <v>1223</v>
      </c>
      <c r="B224" s="1" t="s">
        <v>1224</v>
      </c>
    </row>
    <row r="225" customFormat="false" ht="13.8" hidden="false" customHeight="false" outlineLevel="0" collapsed="false">
      <c r="A225" s="4" t="s">
        <v>1225</v>
      </c>
      <c r="B225" s="1" t="s">
        <v>1226</v>
      </c>
    </row>
    <row r="226" customFormat="false" ht="13.8" hidden="false" customHeight="false" outlineLevel="0" collapsed="false">
      <c r="A226" s="4" t="s">
        <v>1227</v>
      </c>
      <c r="B226" s="1" t="s">
        <v>1228</v>
      </c>
    </row>
    <row r="227" customFormat="false" ht="13.8" hidden="false" customHeight="false" outlineLevel="0" collapsed="false">
      <c r="A227" s="4" t="s">
        <v>1229</v>
      </c>
      <c r="B227" s="1" t="s">
        <v>1230</v>
      </c>
    </row>
    <row r="228" customFormat="false" ht="13.8" hidden="false" customHeight="false" outlineLevel="0" collapsed="false">
      <c r="A228" s="4" t="s">
        <v>1231</v>
      </c>
      <c r="B228" s="1" t="s">
        <v>1232</v>
      </c>
    </row>
    <row r="229" customFormat="false" ht="13.8" hidden="false" customHeight="false" outlineLevel="0" collapsed="false">
      <c r="A229" s="4" t="s">
        <v>1233</v>
      </c>
      <c r="B229" s="1" t="s">
        <v>1234</v>
      </c>
    </row>
    <row r="230" customFormat="false" ht="13.8" hidden="false" customHeight="false" outlineLevel="0" collapsed="false">
      <c r="A230" s="4" t="s">
        <v>1235</v>
      </c>
      <c r="B230" s="1" t="s">
        <v>1236</v>
      </c>
    </row>
    <row r="231" customFormat="false" ht="13.8" hidden="false" customHeight="false" outlineLevel="0" collapsed="false">
      <c r="A231" s="4" t="s">
        <v>1237</v>
      </c>
      <c r="B231" s="1" t="s">
        <v>1238</v>
      </c>
    </row>
    <row r="232" customFormat="false" ht="13.8" hidden="false" customHeight="false" outlineLevel="0" collapsed="false">
      <c r="A232" s="4" t="s">
        <v>1239</v>
      </c>
      <c r="B232" s="1" t="s">
        <v>1240</v>
      </c>
    </row>
    <row r="233" customFormat="false" ht="13.8" hidden="false" customHeight="false" outlineLevel="0" collapsed="false">
      <c r="A233" s="4" t="s">
        <v>1241</v>
      </c>
      <c r="B233" s="1" t="s">
        <v>1242</v>
      </c>
    </row>
    <row r="234" customFormat="false" ht="13.8" hidden="false" customHeight="false" outlineLevel="0" collapsed="false">
      <c r="A234" s="4" t="s">
        <v>1243</v>
      </c>
      <c r="B234" s="1" t="s">
        <v>1244</v>
      </c>
    </row>
    <row r="235" customFormat="false" ht="13.8" hidden="false" customHeight="false" outlineLevel="0" collapsed="false">
      <c r="A235" s="4" t="s">
        <v>1245</v>
      </c>
      <c r="B235" s="1" t="s">
        <v>1246</v>
      </c>
    </row>
    <row r="236" customFormat="false" ht="13.8" hidden="false" customHeight="false" outlineLevel="0" collapsed="false">
      <c r="A236" s="4" t="s">
        <v>1247</v>
      </c>
      <c r="B236" s="1" t="s">
        <v>1248</v>
      </c>
    </row>
    <row r="237" customFormat="false" ht="13.8" hidden="false" customHeight="false" outlineLevel="0" collapsed="false">
      <c r="A237" s="4" t="s">
        <v>1249</v>
      </c>
      <c r="B237" s="1" t="s">
        <v>1250</v>
      </c>
    </row>
    <row r="238" customFormat="false" ht="13.8" hidden="false" customHeight="false" outlineLevel="0" collapsed="false">
      <c r="A238" s="4" t="s">
        <v>1251</v>
      </c>
      <c r="B238" s="1" t="s">
        <v>1252</v>
      </c>
    </row>
    <row r="239" customFormat="false" ht="13.8" hidden="false" customHeight="false" outlineLevel="0" collapsed="false">
      <c r="A239" s="4" t="s">
        <v>1253</v>
      </c>
      <c r="B239" s="1" t="s">
        <v>1254</v>
      </c>
    </row>
    <row r="240" customFormat="false" ht="13.8" hidden="false" customHeight="false" outlineLevel="0" collapsed="false">
      <c r="A240" s="4" t="s">
        <v>1255</v>
      </c>
      <c r="B240" s="1" t="s">
        <v>1256</v>
      </c>
    </row>
    <row r="241" customFormat="false" ht="13.8" hidden="false" customHeight="false" outlineLevel="0" collapsed="false">
      <c r="A241" s="4" t="s">
        <v>1257</v>
      </c>
      <c r="B241" s="1" t="s">
        <v>1258</v>
      </c>
    </row>
    <row r="242" customFormat="false" ht="13.8" hidden="false" customHeight="false" outlineLevel="0" collapsed="false">
      <c r="A242" s="4" t="s">
        <v>1259</v>
      </c>
      <c r="B242" s="1" t="s">
        <v>1260</v>
      </c>
    </row>
    <row r="243" customFormat="false" ht="13.8" hidden="false" customHeight="false" outlineLevel="0" collapsed="false">
      <c r="A243" s="4" t="s">
        <v>1261</v>
      </c>
      <c r="B243" s="1" t="s">
        <v>1262</v>
      </c>
    </row>
    <row r="244" customFormat="false" ht="13.8" hidden="false" customHeight="false" outlineLevel="0" collapsed="false">
      <c r="A244" s="4" t="s">
        <v>1263</v>
      </c>
      <c r="B244" s="1" t="s">
        <v>1264</v>
      </c>
    </row>
    <row r="245" customFormat="false" ht="13.8" hidden="false" customHeight="false" outlineLevel="0" collapsed="false">
      <c r="A245" s="4" t="s">
        <v>1265</v>
      </c>
      <c r="B245" s="1" t="s">
        <v>1266</v>
      </c>
    </row>
    <row r="246" customFormat="false" ht="13.8" hidden="false" customHeight="false" outlineLevel="0" collapsed="false">
      <c r="A246" s="4" t="s">
        <v>1267</v>
      </c>
      <c r="B246" s="1" t="s">
        <v>1268</v>
      </c>
    </row>
    <row r="247" customFormat="false" ht="13.8" hidden="false" customHeight="false" outlineLevel="0" collapsed="false">
      <c r="A247" s="4" t="s">
        <v>1269</v>
      </c>
      <c r="B247" s="1" t="s">
        <v>1270</v>
      </c>
    </row>
    <row r="248" customFormat="false" ht="13.8" hidden="false" customHeight="false" outlineLevel="0" collapsed="false">
      <c r="A248" s="4" t="s">
        <v>1271</v>
      </c>
      <c r="B248" s="1" t="s">
        <v>1272</v>
      </c>
    </row>
    <row r="249" customFormat="false" ht="13.8" hidden="false" customHeight="false" outlineLevel="0" collapsed="false">
      <c r="A249" s="4" t="s">
        <v>1273</v>
      </c>
      <c r="B249" s="1" t="s">
        <v>1274</v>
      </c>
    </row>
    <row r="250" customFormat="false" ht="13.8" hidden="false" customHeight="false" outlineLevel="0" collapsed="false">
      <c r="A250" s="4" t="s">
        <v>1275</v>
      </c>
      <c r="B250" s="1" t="s">
        <v>1276</v>
      </c>
    </row>
    <row r="251" customFormat="false" ht="13.8" hidden="false" customHeight="false" outlineLevel="0" collapsed="false">
      <c r="A251" s="4" t="s">
        <v>1277</v>
      </c>
      <c r="B251" s="1" t="s">
        <v>1278</v>
      </c>
    </row>
    <row r="252" customFormat="false" ht="13.8" hidden="false" customHeight="false" outlineLevel="0" collapsed="false">
      <c r="A252" s="4" t="s">
        <v>1279</v>
      </c>
      <c r="B252" s="1" t="s">
        <v>1280</v>
      </c>
    </row>
    <row r="253" customFormat="false" ht="13.8" hidden="false" customHeight="false" outlineLevel="0" collapsed="false">
      <c r="A253" s="4" t="s">
        <v>1281</v>
      </c>
      <c r="B253" s="1" t="s">
        <v>1282</v>
      </c>
    </row>
    <row r="254" customFormat="false" ht="13.8" hidden="false" customHeight="false" outlineLevel="0" collapsed="false">
      <c r="A254" s="4" t="s">
        <v>1283</v>
      </c>
      <c r="B254" s="1" t="s">
        <v>1284</v>
      </c>
    </row>
    <row r="255" customFormat="false" ht="13.8" hidden="false" customHeight="false" outlineLevel="0" collapsed="false">
      <c r="A255" s="4" t="s">
        <v>1285</v>
      </c>
      <c r="B255" s="1" t="s">
        <v>1286</v>
      </c>
    </row>
    <row r="256" customFormat="false" ht="13.8" hidden="false" customHeight="false" outlineLevel="0" collapsed="false">
      <c r="A256" s="4" t="s">
        <v>1287</v>
      </c>
      <c r="B256" s="1" t="s">
        <v>1288</v>
      </c>
    </row>
    <row r="257" customFormat="false" ht="13.8" hidden="false" customHeight="false" outlineLevel="0" collapsed="false">
      <c r="A257" s="4" t="s">
        <v>1289</v>
      </c>
      <c r="B257" s="1" t="s">
        <v>1290</v>
      </c>
    </row>
    <row r="258" customFormat="false" ht="13.8" hidden="false" customHeight="false" outlineLevel="0" collapsed="false">
      <c r="A258" s="4" t="s">
        <v>1291</v>
      </c>
      <c r="B258" s="1" t="s">
        <v>1292</v>
      </c>
    </row>
    <row r="259" customFormat="false" ht="13.8" hidden="false" customHeight="false" outlineLevel="0" collapsed="false">
      <c r="A259" s="4" t="s">
        <v>1293</v>
      </c>
      <c r="B259" s="1" t="s">
        <v>1294</v>
      </c>
    </row>
    <row r="260" customFormat="false" ht="13.8" hidden="false" customHeight="false" outlineLevel="0" collapsed="false">
      <c r="A260" s="4" t="s">
        <v>1295</v>
      </c>
      <c r="B260" s="1" t="s">
        <v>1296</v>
      </c>
    </row>
    <row r="261" customFormat="false" ht="13.8" hidden="false" customHeight="false" outlineLevel="0" collapsed="false">
      <c r="A261" s="4" t="s">
        <v>1297</v>
      </c>
      <c r="B261" s="1" t="s">
        <v>1298</v>
      </c>
    </row>
    <row r="262" customFormat="false" ht="13.8" hidden="false" customHeight="false" outlineLevel="0" collapsed="false">
      <c r="A262" s="4" t="s">
        <v>1299</v>
      </c>
      <c r="B262" s="1" t="s">
        <v>1300</v>
      </c>
    </row>
    <row r="263" customFormat="false" ht="13.8" hidden="false" customHeight="false" outlineLevel="0" collapsed="false">
      <c r="A263" s="4" t="s">
        <v>1301</v>
      </c>
      <c r="B263" s="1" t="s">
        <v>1302</v>
      </c>
    </row>
    <row r="264" customFormat="false" ht="13.8" hidden="false" customHeight="false" outlineLevel="0" collapsed="false">
      <c r="A264" s="4" t="s">
        <v>1303</v>
      </c>
      <c r="B264" s="1" t="s">
        <v>1304</v>
      </c>
    </row>
    <row r="265" customFormat="false" ht="13.8" hidden="false" customHeight="false" outlineLevel="0" collapsed="false">
      <c r="A265" s="4" t="s">
        <v>1305</v>
      </c>
      <c r="B265" s="1" t="s">
        <v>1306</v>
      </c>
    </row>
    <row r="266" customFormat="false" ht="13.8" hidden="false" customHeight="false" outlineLevel="0" collapsed="false">
      <c r="A266" s="4" t="s">
        <v>1307</v>
      </c>
      <c r="B266" s="1" t="s">
        <v>1308</v>
      </c>
    </row>
    <row r="267" customFormat="false" ht="13.8" hidden="false" customHeight="false" outlineLevel="0" collapsed="false">
      <c r="A267" s="4" t="s">
        <v>1309</v>
      </c>
      <c r="B267" s="1" t="s">
        <v>1310</v>
      </c>
    </row>
    <row r="268" customFormat="false" ht="13.8" hidden="false" customHeight="false" outlineLevel="0" collapsed="false">
      <c r="A268" s="4" t="s">
        <v>1311</v>
      </c>
      <c r="B268" s="1" t="s">
        <v>1312</v>
      </c>
    </row>
    <row r="269" customFormat="false" ht="13.8" hidden="false" customHeight="false" outlineLevel="0" collapsed="false">
      <c r="A269" s="4" t="s">
        <v>1313</v>
      </c>
      <c r="B269" s="1" t="s">
        <v>1314</v>
      </c>
    </row>
    <row r="270" customFormat="false" ht="13.8" hidden="false" customHeight="false" outlineLevel="0" collapsed="false">
      <c r="A270" s="4" t="s">
        <v>1315</v>
      </c>
      <c r="B270" s="1" t="s">
        <v>1316</v>
      </c>
    </row>
    <row r="271" customFormat="false" ht="13.8" hidden="false" customHeight="false" outlineLevel="0" collapsed="false">
      <c r="A271" s="4" t="s">
        <v>1317</v>
      </c>
      <c r="B271" s="1" t="s">
        <v>1318</v>
      </c>
    </row>
    <row r="272" customFormat="false" ht="13.8" hidden="false" customHeight="false" outlineLevel="0" collapsed="false">
      <c r="A272" s="4" t="s">
        <v>1319</v>
      </c>
      <c r="B272" s="1" t="s">
        <v>1320</v>
      </c>
    </row>
    <row r="273" customFormat="false" ht="13.8" hidden="false" customHeight="false" outlineLevel="0" collapsed="false">
      <c r="A273" s="4" t="s">
        <v>1321</v>
      </c>
      <c r="B273" s="1" t="s">
        <v>1322</v>
      </c>
    </row>
    <row r="274" customFormat="false" ht="13.8" hidden="false" customHeight="false" outlineLevel="0" collapsed="false">
      <c r="A274" s="4" t="s">
        <v>1323</v>
      </c>
      <c r="B274" s="1" t="s">
        <v>1324</v>
      </c>
    </row>
    <row r="275" customFormat="false" ht="13.8" hidden="false" customHeight="false" outlineLevel="0" collapsed="false">
      <c r="A275" s="4" t="s">
        <v>1325</v>
      </c>
      <c r="B275" s="1" t="s">
        <v>1326</v>
      </c>
    </row>
    <row r="276" customFormat="false" ht="13.8" hidden="false" customHeight="false" outlineLevel="0" collapsed="false">
      <c r="A276" s="4" t="s">
        <v>1327</v>
      </c>
      <c r="B276" s="1" t="s">
        <v>1328</v>
      </c>
    </row>
    <row r="277" customFormat="false" ht="13.8" hidden="false" customHeight="false" outlineLevel="0" collapsed="false">
      <c r="A277" s="4" t="s">
        <v>1329</v>
      </c>
      <c r="B277" s="1" t="s">
        <v>1330</v>
      </c>
    </row>
    <row r="278" customFormat="false" ht="13.8" hidden="false" customHeight="false" outlineLevel="0" collapsed="false">
      <c r="A278" s="4" t="s">
        <v>1331</v>
      </c>
      <c r="B278" s="1" t="s">
        <v>1332</v>
      </c>
    </row>
    <row r="279" customFormat="false" ht="13.8" hidden="false" customHeight="false" outlineLevel="0" collapsed="false">
      <c r="A279" s="4" t="s">
        <v>1333</v>
      </c>
      <c r="B279" s="1" t="s">
        <v>1334</v>
      </c>
    </row>
    <row r="280" customFormat="false" ht="13.8" hidden="false" customHeight="false" outlineLevel="0" collapsed="false">
      <c r="A280" s="4" t="s">
        <v>1335</v>
      </c>
      <c r="B280" s="1" t="s">
        <v>1336</v>
      </c>
    </row>
    <row r="281" customFormat="false" ht="13.8" hidden="false" customHeight="false" outlineLevel="0" collapsed="false">
      <c r="A281" s="4" t="s">
        <v>1337</v>
      </c>
      <c r="B281" s="1" t="s">
        <v>1338</v>
      </c>
    </row>
    <row r="282" customFormat="false" ht="13.8" hidden="false" customHeight="false" outlineLevel="0" collapsed="false">
      <c r="A282" s="4" t="s">
        <v>1339</v>
      </c>
      <c r="B282" s="1" t="s">
        <v>1340</v>
      </c>
    </row>
    <row r="283" customFormat="false" ht="13.8" hidden="false" customHeight="false" outlineLevel="0" collapsed="false">
      <c r="A283" s="4" t="s">
        <v>1341</v>
      </c>
      <c r="B283" s="1" t="s">
        <v>1342</v>
      </c>
    </row>
    <row r="284" customFormat="false" ht="13.8" hidden="false" customHeight="false" outlineLevel="0" collapsed="false">
      <c r="A284" s="4" t="s">
        <v>1343</v>
      </c>
      <c r="B284" s="1" t="s">
        <v>1344</v>
      </c>
    </row>
    <row r="285" customFormat="false" ht="13.8" hidden="false" customHeight="false" outlineLevel="0" collapsed="false">
      <c r="A285" s="4" t="s">
        <v>1345</v>
      </c>
      <c r="B285" s="1" t="s">
        <v>1346</v>
      </c>
    </row>
    <row r="286" customFormat="false" ht="13.8" hidden="false" customHeight="false" outlineLevel="0" collapsed="false">
      <c r="A286" s="4" t="s">
        <v>1347</v>
      </c>
      <c r="B286" s="1" t="s">
        <v>1348</v>
      </c>
    </row>
    <row r="287" customFormat="false" ht="13.8" hidden="false" customHeight="false" outlineLevel="0" collapsed="false">
      <c r="A287" s="4" t="s">
        <v>1349</v>
      </c>
      <c r="B287" s="1" t="s">
        <v>1350</v>
      </c>
    </row>
    <row r="288" customFormat="false" ht="13.8" hidden="false" customHeight="false" outlineLevel="0" collapsed="false">
      <c r="A288" s="4" t="s">
        <v>1351</v>
      </c>
      <c r="B288" s="1" t="s">
        <v>1352</v>
      </c>
    </row>
    <row r="289" customFormat="false" ht="13.8" hidden="false" customHeight="false" outlineLevel="0" collapsed="false">
      <c r="A289" s="4" t="s">
        <v>1353</v>
      </c>
      <c r="B289" s="1" t="s">
        <v>1354</v>
      </c>
    </row>
    <row r="290" customFormat="false" ht="13.8" hidden="false" customHeight="false" outlineLevel="0" collapsed="false">
      <c r="A290" s="4" t="s">
        <v>1355</v>
      </c>
      <c r="B290" s="1" t="s">
        <v>1356</v>
      </c>
    </row>
    <row r="291" customFormat="false" ht="13.8" hidden="false" customHeight="false" outlineLevel="0" collapsed="false">
      <c r="A291" s="4" t="s">
        <v>1357</v>
      </c>
      <c r="B291" s="1" t="s">
        <v>1358</v>
      </c>
    </row>
    <row r="292" customFormat="false" ht="13.8" hidden="false" customHeight="false" outlineLevel="0" collapsed="false">
      <c r="A292" s="4" t="s">
        <v>1359</v>
      </c>
      <c r="B292" s="1" t="s">
        <v>1360</v>
      </c>
    </row>
    <row r="293" customFormat="false" ht="13.8" hidden="false" customHeight="false" outlineLevel="0" collapsed="false">
      <c r="A293" s="4" t="s">
        <v>1361</v>
      </c>
      <c r="B293" s="1" t="s">
        <v>1362</v>
      </c>
    </row>
    <row r="294" customFormat="false" ht="13.8" hidden="false" customHeight="false" outlineLevel="0" collapsed="false">
      <c r="A294" s="4" t="s">
        <v>1363</v>
      </c>
      <c r="B294" s="1" t="s">
        <v>1364</v>
      </c>
    </row>
    <row r="295" customFormat="false" ht="13.8" hidden="false" customHeight="false" outlineLevel="0" collapsed="false">
      <c r="A295" s="4" t="s">
        <v>1365</v>
      </c>
      <c r="B295" s="1" t="s">
        <v>1366</v>
      </c>
    </row>
    <row r="296" customFormat="false" ht="13.8" hidden="false" customHeight="false" outlineLevel="0" collapsed="false">
      <c r="A296" s="4" t="s">
        <v>1367</v>
      </c>
      <c r="B296" s="1" t="s">
        <v>1368</v>
      </c>
    </row>
    <row r="297" customFormat="false" ht="13.8" hidden="false" customHeight="false" outlineLevel="0" collapsed="false">
      <c r="A297" s="4" t="s">
        <v>1369</v>
      </c>
      <c r="B297" s="1" t="s">
        <v>1370</v>
      </c>
    </row>
    <row r="298" customFormat="false" ht="13.8" hidden="false" customHeight="false" outlineLevel="0" collapsed="false">
      <c r="A298" s="4" t="s">
        <v>1371</v>
      </c>
      <c r="B298" s="1" t="s">
        <v>1372</v>
      </c>
    </row>
    <row r="299" customFormat="false" ht="13.8" hidden="false" customHeight="false" outlineLevel="0" collapsed="false">
      <c r="A299" s="4" t="s">
        <v>1373</v>
      </c>
      <c r="B299" s="1" t="s">
        <v>1374</v>
      </c>
    </row>
    <row r="300" customFormat="false" ht="13.8" hidden="false" customHeight="false" outlineLevel="0" collapsed="false">
      <c r="A300" s="4" t="s">
        <v>1375</v>
      </c>
      <c r="B300" s="1" t="s">
        <v>1376</v>
      </c>
    </row>
    <row r="301" customFormat="false" ht="13.8" hidden="false" customHeight="false" outlineLevel="0" collapsed="false">
      <c r="A301" s="4" t="s">
        <v>1377</v>
      </c>
      <c r="B301" s="1" t="s">
        <v>1378</v>
      </c>
    </row>
    <row r="302" customFormat="false" ht="13.8" hidden="false" customHeight="false" outlineLevel="0" collapsed="false">
      <c r="A302" s="4" t="s">
        <v>1379</v>
      </c>
      <c r="B302" s="1" t="s">
        <v>1380</v>
      </c>
    </row>
    <row r="303" customFormat="false" ht="13.8" hidden="false" customHeight="false" outlineLevel="0" collapsed="false">
      <c r="A303" s="4" t="s">
        <v>1381</v>
      </c>
      <c r="B303" s="1" t="s">
        <v>1382</v>
      </c>
    </row>
    <row r="304" customFormat="false" ht="13.8" hidden="false" customHeight="false" outlineLevel="0" collapsed="false">
      <c r="A304" s="4" t="s">
        <v>1383</v>
      </c>
      <c r="B304" s="1" t="s">
        <v>1384</v>
      </c>
    </row>
    <row r="305" customFormat="false" ht="13.8" hidden="false" customHeight="false" outlineLevel="0" collapsed="false">
      <c r="A305" s="4" t="s">
        <v>1385</v>
      </c>
      <c r="B305" s="1" t="s">
        <v>1386</v>
      </c>
    </row>
    <row r="306" customFormat="false" ht="13.8" hidden="false" customHeight="false" outlineLevel="0" collapsed="false">
      <c r="A306" s="4" t="s">
        <v>1387</v>
      </c>
      <c r="B306" s="1" t="s">
        <v>1388</v>
      </c>
    </row>
    <row r="307" customFormat="false" ht="13.8" hidden="false" customHeight="false" outlineLevel="0" collapsed="false">
      <c r="A307" s="4" t="s">
        <v>1389</v>
      </c>
      <c r="B307" s="1" t="s">
        <v>1390</v>
      </c>
    </row>
    <row r="308" customFormat="false" ht="13.8" hidden="false" customHeight="false" outlineLevel="0" collapsed="false">
      <c r="A308" s="4" t="s">
        <v>1391</v>
      </c>
    </row>
    <row r="309" customFormat="false" ht="13.8" hidden="false" customHeight="false" outlineLevel="0" collapsed="false">
      <c r="A309" s="4" t="s">
        <v>1392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3.34"/>
    <col collapsed="false" customWidth="true" hidden="false" outlineLevel="0" max="5" min="5" style="1" width="17.85"/>
    <col collapsed="false" customWidth="true" hidden="false" outlineLevel="0" max="6" min="6" style="1" width="36.07"/>
  </cols>
  <sheetData>
    <row r="1" customFormat="false" ht="13.8" hidden="false" customHeight="false" outlineLevel="0" collapsed="false">
      <c r="A1" s="1" t="s">
        <v>1393</v>
      </c>
      <c r="B1" s="1" t="s">
        <v>1394</v>
      </c>
      <c r="C1" s="1" t="s">
        <v>1395</v>
      </c>
      <c r="D1" s="1" t="s">
        <v>1396</v>
      </c>
      <c r="E1" s="1" t="s">
        <v>1397</v>
      </c>
      <c r="F1" s="1" t="s">
        <v>1398</v>
      </c>
    </row>
    <row r="2" customFormat="false" ht="13.8" hidden="false" customHeight="false" outlineLevel="0" collapsed="false">
      <c r="A2" s="1" t="s">
        <v>1399</v>
      </c>
      <c r="B2" s="1" t="s">
        <v>1400</v>
      </c>
      <c r="C2" s="1" t="s">
        <v>1401</v>
      </c>
      <c r="D2" s="1" t="s">
        <v>1402</v>
      </c>
      <c r="E2" s="1" t="s">
        <v>1403</v>
      </c>
      <c r="F2" s="1" t="s">
        <v>1404</v>
      </c>
    </row>
    <row r="3" customFormat="false" ht="13.8" hidden="false" customHeight="false" outlineLevel="0" collapsed="false">
      <c r="A3" s="1" t="s">
        <v>1405</v>
      </c>
      <c r="B3" s="1" t="s">
        <v>1406</v>
      </c>
      <c r="C3" s="1" t="s">
        <v>1407</v>
      </c>
      <c r="D3" s="1" t="s">
        <v>1408</v>
      </c>
      <c r="E3" s="1" t="s">
        <v>1403</v>
      </c>
      <c r="F3" s="1" t="s">
        <v>1409</v>
      </c>
    </row>
    <row r="4" customFormat="false" ht="13.8" hidden="false" customHeight="false" outlineLevel="0" collapsed="false">
      <c r="A4" s="1" t="s">
        <v>1410</v>
      </c>
      <c r="B4" s="1" t="s">
        <v>1411</v>
      </c>
      <c r="C4" s="1" t="s">
        <v>1412</v>
      </c>
      <c r="D4" s="1" t="s">
        <v>1413</v>
      </c>
      <c r="F4" s="1" t="s">
        <v>1414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19"/>
  <sheetViews>
    <sheetView showFormulas="false" showGridLines="false" showRowColHeaders="true" showZeros="true" rightToLeft="false" tabSelected="false" showOutlineSymbols="true" defaultGridColor="true" view="normal" topLeftCell="A288" colorId="64" zoomScale="100" zoomScaleNormal="100" zoomScalePageLayoutView="100" workbookViewId="0">
      <selection pane="topLeft" activeCell="A1" activeCellId="0" sqref="A1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10" min="10" style="1" width="58.54"/>
    <col collapsed="false" customWidth="true" hidden="false" outlineLevel="0" max="11" min="11" style="1" width="30.18"/>
  </cols>
  <sheetData>
    <row r="1" s="10" customFormat="true" ht="41.25" hidden="false" customHeight="true" outlineLevel="0" collapsed="false">
      <c r="A1" s="5" t="s">
        <v>785</v>
      </c>
      <c r="B1" s="6" t="s">
        <v>1415</v>
      </c>
      <c r="C1" s="7" t="s">
        <v>1416</v>
      </c>
      <c r="D1" s="6" t="s">
        <v>1417</v>
      </c>
      <c r="E1" s="6" t="s">
        <v>1418</v>
      </c>
      <c r="F1" s="6" t="s">
        <v>1419</v>
      </c>
      <c r="G1" s="6" t="s">
        <v>1420</v>
      </c>
      <c r="H1" s="6" t="s">
        <v>1421</v>
      </c>
      <c r="I1" s="6" t="s">
        <v>1422</v>
      </c>
      <c r="J1" s="8" t="s">
        <v>1423</v>
      </c>
      <c r="K1" s="6" t="s">
        <v>1424</v>
      </c>
      <c r="L1" s="6" t="s">
        <v>1425</v>
      </c>
      <c r="M1" s="6" t="s">
        <v>1426</v>
      </c>
      <c r="N1" s="6" t="s">
        <v>1427</v>
      </c>
      <c r="O1" s="6" t="s">
        <v>1428</v>
      </c>
      <c r="P1" s="9" t="s">
        <v>1429</v>
      </c>
      <c r="XFD1" s="1"/>
    </row>
    <row r="2" customFormat="false" ht="14.25" hidden="false" customHeight="false" outlineLevel="0" collapsed="false">
      <c r="A2" s="11" t="s">
        <v>787</v>
      </c>
      <c r="B2" s="12" t="s">
        <v>1430</v>
      </c>
      <c r="C2" s="12" t="str">
        <f aca="false">+VLOOKUP(B2,transacciones!$A$1:$I$39,2,FALSE())</f>
        <v>ATC01</v>
      </c>
      <c r="D2" s="12" t="str">
        <f aca="false">+VLOOKUP(B2,transacciones!$A$1:$I$39,3,FALSE())</f>
        <v>Producción / Consumo intermedio</v>
      </c>
      <c r="E2" s="12" t="str">
        <f aca="false">+VLOOKUP($B2,transacciones!$A$1:$I$39,4,FALSE())</f>
        <v>Producción de mercado</v>
      </c>
      <c r="F2" s="12" t="n">
        <f aca="false">+VLOOKUP(B2,transacciones!$A$2:$I$39,5,FALSE())</f>
        <v>1</v>
      </c>
      <c r="G2" s="12" t="str">
        <f aca="false">+VLOOKUP(B2,transacciones!$A$2:$I$39,6,FALSE())</f>
        <v>P1</v>
      </c>
      <c r="H2" s="12" t="str">
        <f aca="false">+VLOOKUP(B2,transacciones!$A$1:$I$39,7,FALSE())</f>
        <v>Producción</v>
      </c>
      <c r="I2" s="13" t="s">
        <v>1431</v>
      </c>
      <c r="J2" s="13" t="s">
        <v>1432</v>
      </c>
      <c r="K2" s="14" t="s">
        <v>1433</v>
      </c>
      <c r="L2" s="14" t="str">
        <f aca="false">+VLOOKUP(K2,'Correl CIIU'!$A$1:$F$26,2,FALSE())</f>
        <v>Agricultura, ganadería, silvicultura y pesca</v>
      </c>
      <c r="M2" s="14" t="str">
        <f aca="false">+VLOOKUP(K2,'Correl CIIU'!$A$1:$F$26,3,FALSE())</f>
        <v>Agricultura</v>
      </c>
      <c r="N2" s="14" t="str">
        <f aca="false">+VLOOKUP(K2,'Correl CIIU'!$A$1:$F$26,4,FALSE())</f>
        <v>Agriculture, forestry and fishing</v>
      </c>
      <c r="O2" s="14" t="n">
        <v>1</v>
      </c>
      <c r="P2" s="15" t="str">
        <f aca="false">+VLOOKUP(O2,bio!$A$2:$B$4,2,FALSE())</f>
        <v>Bioeconomía</v>
      </c>
    </row>
    <row r="3" customFormat="false" ht="14.25" hidden="false" customHeight="false" outlineLevel="0" collapsed="false">
      <c r="A3" s="16" t="s">
        <v>789</v>
      </c>
      <c r="B3" s="17" t="s">
        <v>1430</v>
      </c>
      <c r="C3" s="17" t="str">
        <f aca="false">+VLOOKUP(B3,transacciones!$A$1:$I$39,2,FALSE())</f>
        <v>ATC01</v>
      </c>
      <c r="D3" s="17" t="str">
        <f aca="false">+VLOOKUP(B3,transacciones!$A$1:$I$39,3,FALSE())</f>
        <v>Producción / Consumo intermedio</v>
      </c>
      <c r="E3" s="17" t="str">
        <f aca="false">+VLOOKUP($B3,transacciones!$A$1:$I$39,4,FALSE())</f>
        <v>Producción de mercado</v>
      </c>
      <c r="F3" s="17" t="n">
        <f aca="false">+VLOOKUP(B3,transacciones!$A$2:$I$39,5,FALSE())</f>
        <v>1</v>
      </c>
      <c r="G3" s="17" t="str">
        <f aca="false">+VLOOKUP(B3,transacciones!$A$2:$I$39,6,FALSE())</f>
        <v>P1</v>
      </c>
      <c r="H3" s="17" t="str">
        <f aca="false">+VLOOKUP(B3,transacciones!$A$1:$I$39,7,FALSE())</f>
        <v>Producción</v>
      </c>
      <c r="I3" s="1" t="s">
        <v>1434</v>
      </c>
      <c r="J3" s="1" t="s">
        <v>1435</v>
      </c>
      <c r="K3" s="18" t="s">
        <v>1433</v>
      </c>
      <c r="L3" s="18" t="str">
        <f aca="false">+VLOOKUP(K3,'Correl CIIU'!$A$1:$F$26,2,FALSE())</f>
        <v>Agricultura, ganadería, silvicultura y pesca</v>
      </c>
      <c r="M3" s="18" t="str">
        <f aca="false">+VLOOKUP(K3,'Correl CIIU'!$A$1:$F$26,3,FALSE())</f>
        <v>Agricultura</v>
      </c>
      <c r="N3" s="18" t="str">
        <f aca="false">+VLOOKUP(K3,'Correl CIIU'!$A$1:$F$26,4,FALSE())</f>
        <v>Agriculture, forestry and fishing</v>
      </c>
      <c r="O3" s="18" t="n">
        <v>1</v>
      </c>
      <c r="P3" s="19" t="str">
        <f aca="false">+VLOOKUP(O3,bio!$A$2:$B$4,2,FALSE())</f>
        <v>Bioeconomía</v>
      </c>
    </row>
    <row r="4" customFormat="false" ht="14.25" hidden="false" customHeight="false" outlineLevel="0" collapsed="false">
      <c r="A4" s="16" t="s">
        <v>791</v>
      </c>
      <c r="B4" s="17" t="s">
        <v>1430</v>
      </c>
      <c r="C4" s="17" t="str">
        <f aca="false">+VLOOKUP(B4,transacciones!$A$1:$I$39,2,FALSE())</f>
        <v>ATC01</v>
      </c>
      <c r="D4" s="17" t="str">
        <f aca="false">+VLOOKUP(B4,transacciones!$A$1:$I$39,3,FALSE())</f>
        <v>Producción / Consumo intermedio</v>
      </c>
      <c r="E4" s="17" t="str">
        <f aca="false">+VLOOKUP($B4,transacciones!$A$1:$I$39,4,FALSE())</f>
        <v>Producción de mercado</v>
      </c>
      <c r="F4" s="17" t="n">
        <f aca="false">+VLOOKUP(B4,transacciones!$A$2:$I$39,5,FALSE())</f>
        <v>1</v>
      </c>
      <c r="G4" s="17" t="str">
        <f aca="false">+VLOOKUP(B4,transacciones!$A$2:$I$39,6,FALSE())</f>
        <v>P1</v>
      </c>
      <c r="H4" s="17" t="str">
        <f aca="false">+VLOOKUP(B4,transacciones!$A$1:$I$39,7,FALSE())</f>
        <v>Producción</v>
      </c>
      <c r="I4" s="1" t="s">
        <v>1436</v>
      </c>
      <c r="J4" s="1" t="s">
        <v>1437</v>
      </c>
      <c r="K4" s="18" t="s">
        <v>1433</v>
      </c>
      <c r="L4" s="18" t="str">
        <f aca="false">+VLOOKUP(K4,'Correl CIIU'!$A$1:$F$26,2,FALSE())</f>
        <v>Agricultura, ganadería, silvicultura y pesca</v>
      </c>
      <c r="M4" s="18" t="str">
        <f aca="false">+VLOOKUP(K4,'Correl CIIU'!$A$1:$F$26,3,FALSE())</f>
        <v>Agricultura</v>
      </c>
      <c r="N4" s="18" t="str">
        <f aca="false">+VLOOKUP(K4,'Correl CIIU'!$A$1:$F$26,4,FALSE())</f>
        <v>Agriculture, forestry and fishing</v>
      </c>
      <c r="O4" s="18" t="n">
        <v>1</v>
      </c>
      <c r="P4" s="19" t="str">
        <f aca="false">+VLOOKUP(O4,bio!$A$2:$B$4,2,FALSE())</f>
        <v>Bioeconomía</v>
      </c>
    </row>
    <row r="5" customFormat="false" ht="14.25" hidden="false" customHeight="false" outlineLevel="0" collapsed="false">
      <c r="A5" s="16" t="s">
        <v>793</v>
      </c>
      <c r="B5" s="17" t="s">
        <v>1430</v>
      </c>
      <c r="C5" s="17" t="str">
        <f aca="false">+VLOOKUP(B5,transacciones!$A$1:$I$39,2,FALSE())</f>
        <v>ATC01</v>
      </c>
      <c r="D5" s="17" t="str">
        <f aca="false">+VLOOKUP(B5,transacciones!$A$1:$I$39,3,FALSE())</f>
        <v>Producción / Consumo intermedio</v>
      </c>
      <c r="E5" s="17" t="str">
        <f aca="false">+VLOOKUP($B5,transacciones!$A$1:$I$39,4,FALSE())</f>
        <v>Producción de mercado</v>
      </c>
      <c r="F5" s="17" t="n">
        <f aca="false">+VLOOKUP(B5,transacciones!$A$2:$I$39,5,FALSE())</f>
        <v>1</v>
      </c>
      <c r="G5" s="17" t="str">
        <f aca="false">+VLOOKUP(B5,transacciones!$A$2:$I$39,6,FALSE())</f>
        <v>P1</v>
      </c>
      <c r="H5" s="17" t="str">
        <f aca="false">+VLOOKUP(B5,transacciones!$A$1:$I$39,7,FALSE())</f>
        <v>Producción</v>
      </c>
      <c r="I5" s="1" t="s">
        <v>1438</v>
      </c>
      <c r="J5" s="1" t="s">
        <v>1439</v>
      </c>
      <c r="K5" s="18" t="s">
        <v>1433</v>
      </c>
      <c r="L5" s="18" t="str">
        <f aca="false">+VLOOKUP(K5,'Correl CIIU'!$A$1:$F$26,2,FALSE())</f>
        <v>Agricultura, ganadería, silvicultura y pesca</v>
      </c>
      <c r="M5" s="18" t="str">
        <f aca="false">+VLOOKUP(K5,'Correl CIIU'!$A$1:$F$26,3,FALSE())</f>
        <v>Agricultura</v>
      </c>
      <c r="N5" s="18" t="str">
        <f aca="false">+VLOOKUP(K5,'Correl CIIU'!$A$1:$F$26,4,FALSE())</f>
        <v>Agriculture, forestry and fishing</v>
      </c>
      <c r="O5" s="18" t="n">
        <v>1</v>
      </c>
      <c r="P5" s="19" t="str">
        <f aca="false">+VLOOKUP(O5,bio!$A$2:$B$4,2,FALSE())</f>
        <v>Bioeconomía</v>
      </c>
    </row>
    <row r="6" customFormat="false" ht="14.25" hidden="false" customHeight="false" outlineLevel="0" collapsed="false">
      <c r="A6" s="16" t="s">
        <v>795</v>
      </c>
      <c r="B6" s="17" t="s">
        <v>1430</v>
      </c>
      <c r="C6" s="17" t="str">
        <f aca="false">+VLOOKUP(B6,transacciones!$A$1:$I$39,2,FALSE())</f>
        <v>ATC01</v>
      </c>
      <c r="D6" s="17" t="str">
        <f aca="false">+VLOOKUP($B6,transacciones!$A$1:$I$39,4,FALSE())</f>
        <v>Producción de mercado</v>
      </c>
      <c r="E6" s="17" t="str">
        <f aca="false">+VLOOKUP($B6,transacciones!$A$1:$I$39,4,FALSE())</f>
        <v>Producción de mercado</v>
      </c>
      <c r="F6" s="17" t="n">
        <f aca="false">+VLOOKUP(B6,transacciones!$A$2:$I$39,5,FALSE())</f>
        <v>1</v>
      </c>
      <c r="G6" s="17" t="str">
        <f aca="false">+VLOOKUP(B6,transacciones!$A$2:$I$39,6,FALSE())</f>
        <v>P1</v>
      </c>
      <c r="H6" s="17" t="str">
        <f aca="false">+VLOOKUP(B6,transacciones!$A$1:$I$39,7,FALSE())</f>
        <v>Producción</v>
      </c>
      <c r="I6" s="1" t="s">
        <v>1440</v>
      </c>
      <c r="J6" s="1" t="s">
        <v>1441</v>
      </c>
      <c r="K6" s="18" t="s">
        <v>1433</v>
      </c>
      <c r="L6" s="18" t="str">
        <f aca="false">+VLOOKUP(K6,'Correl CIIU'!$A$1:$F$26,2,FALSE())</f>
        <v>Agricultura, ganadería, silvicultura y pesca</v>
      </c>
      <c r="M6" s="18" t="str">
        <f aca="false">+VLOOKUP(K6,'Correl CIIU'!$A$1:$F$26,3,FALSE())</f>
        <v>Agricultura</v>
      </c>
      <c r="N6" s="18" t="str">
        <f aca="false">+VLOOKUP(K6,'Correl CIIU'!$A$1:$F$26,4,FALSE())</f>
        <v>Agriculture, forestry and fishing</v>
      </c>
      <c r="O6" s="18" t="n">
        <v>1</v>
      </c>
      <c r="P6" s="19" t="str">
        <f aca="false">+VLOOKUP(O6,bio!$A$2:$B$4,2,FALSE())</f>
        <v>Bioeconomía</v>
      </c>
    </row>
    <row r="7" customFormat="false" ht="14.25" hidden="false" customHeight="false" outlineLevel="0" collapsed="false">
      <c r="A7" s="16" t="s">
        <v>797</v>
      </c>
      <c r="B7" s="17" t="s">
        <v>1430</v>
      </c>
      <c r="C7" s="17" t="str">
        <f aca="false">+VLOOKUP(B7,transacciones!$A$1:$I$39,2,FALSE())</f>
        <v>ATC01</v>
      </c>
      <c r="D7" s="17" t="str">
        <f aca="false">+VLOOKUP($B7,transacciones!$A$1:$I$39,4,FALSE())</f>
        <v>Producción de mercado</v>
      </c>
      <c r="E7" s="17" t="str">
        <f aca="false">+VLOOKUP($B7,transacciones!$A$1:$I$39,4,FALSE())</f>
        <v>Producción de mercado</v>
      </c>
      <c r="F7" s="17" t="n">
        <f aca="false">+VLOOKUP(B7,transacciones!$A$2:$I$39,5,FALSE())</f>
        <v>1</v>
      </c>
      <c r="G7" s="17" t="str">
        <f aca="false">+VLOOKUP(B7,transacciones!$A$2:$I$39,6,FALSE())</f>
        <v>P1</v>
      </c>
      <c r="H7" s="17" t="str">
        <f aca="false">+VLOOKUP(B7,transacciones!$A$1:$I$39,7,FALSE())</f>
        <v>Producción</v>
      </c>
      <c r="I7" s="1" t="s">
        <v>1442</v>
      </c>
      <c r="J7" s="1" t="s">
        <v>1443</v>
      </c>
      <c r="K7" s="18" t="s">
        <v>1433</v>
      </c>
      <c r="L7" s="18" t="str">
        <f aca="false">+VLOOKUP(K7,'Correl CIIU'!$A$1:$F$26,2,FALSE())</f>
        <v>Agricultura, ganadería, silvicultura y pesca</v>
      </c>
      <c r="M7" s="18" t="str">
        <f aca="false">+VLOOKUP(K7,'Correl CIIU'!$A$1:$F$26,3,FALSE())</f>
        <v>Agricultura</v>
      </c>
      <c r="N7" s="18" t="str">
        <f aca="false">+VLOOKUP(K7,'Correl CIIU'!$A$1:$F$26,4,FALSE())</f>
        <v>Agriculture, forestry and fishing</v>
      </c>
      <c r="O7" s="18" t="n">
        <v>1</v>
      </c>
      <c r="P7" s="19" t="str">
        <f aca="false">+VLOOKUP(O7,bio!$A$2:$B$4,2,FALSE())</f>
        <v>Bioeconomía</v>
      </c>
    </row>
    <row r="8" customFormat="false" ht="14.25" hidden="false" customHeight="false" outlineLevel="0" collapsed="false">
      <c r="A8" s="16" t="s">
        <v>799</v>
      </c>
      <c r="B8" s="17" t="s">
        <v>1430</v>
      </c>
      <c r="C8" s="17" t="str">
        <f aca="false">+VLOOKUP(B8,transacciones!$A$1:$I$39,2,FALSE())</f>
        <v>ATC01</v>
      </c>
      <c r="D8" s="17" t="str">
        <f aca="false">+VLOOKUP($B8,transacciones!$A$1:$I$39,4,FALSE())</f>
        <v>Producción de mercado</v>
      </c>
      <c r="E8" s="17" t="str">
        <f aca="false">+VLOOKUP($B8,transacciones!$A$1:$I$39,4,FALSE())</f>
        <v>Producción de mercado</v>
      </c>
      <c r="F8" s="17" t="n">
        <f aca="false">+VLOOKUP(B8,transacciones!$A$2:$I$39,5,FALSE())</f>
        <v>1</v>
      </c>
      <c r="G8" s="17" t="str">
        <f aca="false">+VLOOKUP(B8,transacciones!$A$2:$I$39,6,FALSE())</f>
        <v>P1</v>
      </c>
      <c r="H8" s="17" t="str">
        <f aca="false">+VLOOKUP(B8,transacciones!$A$1:$I$39,7,FALSE())</f>
        <v>Producción</v>
      </c>
      <c r="I8" s="1" t="s">
        <v>1444</v>
      </c>
      <c r="J8" s="1" t="s">
        <v>1445</v>
      </c>
      <c r="K8" s="18" t="s">
        <v>1433</v>
      </c>
      <c r="L8" s="18" t="str">
        <f aca="false">+VLOOKUP(K8,'Correl CIIU'!$A$1:$F$26,2,FALSE())</f>
        <v>Agricultura, ganadería, silvicultura y pesca</v>
      </c>
      <c r="M8" s="18" t="str">
        <f aca="false">+VLOOKUP(K8,'Correl CIIU'!$A$1:$F$26,3,FALSE())</f>
        <v>Agricultura</v>
      </c>
      <c r="N8" s="18" t="str">
        <f aca="false">+VLOOKUP(K8,'Correl CIIU'!$A$1:$F$26,4,FALSE())</f>
        <v>Agriculture, forestry and fishing</v>
      </c>
      <c r="O8" s="18" t="n">
        <v>1</v>
      </c>
      <c r="P8" s="19" t="str">
        <f aca="false">+VLOOKUP(O8,bio!$A$2:$B$4,2,FALSE())</f>
        <v>Bioeconomía</v>
      </c>
    </row>
    <row r="9" customFormat="false" ht="14.25" hidden="false" customHeight="false" outlineLevel="0" collapsed="false">
      <c r="A9" s="16" t="s">
        <v>801</v>
      </c>
      <c r="B9" s="17" t="s">
        <v>1430</v>
      </c>
      <c r="C9" s="17" t="str">
        <f aca="false">+VLOOKUP(B9,transacciones!$A$1:$I$39,2,FALSE())</f>
        <v>ATC01</v>
      </c>
      <c r="D9" s="17" t="str">
        <f aca="false">+VLOOKUP($B9,transacciones!$A$1:$I$39,4,FALSE())</f>
        <v>Producción de mercado</v>
      </c>
      <c r="E9" s="17" t="str">
        <f aca="false">+VLOOKUP($B9,transacciones!$A$1:$I$39,4,FALSE())</f>
        <v>Producción de mercado</v>
      </c>
      <c r="F9" s="17" t="n">
        <f aca="false">+VLOOKUP(B9,transacciones!$A$2:$I$39,5,FALSE())</f>
        <v>1</v>
      </c>
      <c r="G9" s="17" t="str">
        <f aca="false">+VLOOKUP(B9,transacciones!$A$2:$I$39,6,FALSE())</f>
        <v>P1</v>
      </c>
      <c r="H9" s="17" t="str">
        <f aca="false">+VLOOKUP(B9,transacciones!$A$1:$I$39,7,FALSE())</f>
        <v>Producción</v>
      </c>
      <c r="I9" s="1" t="s">
        <v>1446</v>
      </c>
      <c r="J9" s="1" t="s">
        <v>1447</v>
      </c>
      <c r="K9" s="18" t="s">
        <v>1433</v>
      </c>
      <c r="L9" s="18" t="str">
        <f aca="false">+VLOOKUP(K9,'Correl CIIU'!$A$1:$F$26,2,FALSE())</f>
        <v>Agricultura, ganadería, silvicultura y pesca</v>
      </c>
      <c r="M9" s="18" t="str">
        <f aca="false">+VLOOKUP(K9,'Correl CIIU'!$A$1:$F$26,3,FALSE())</f>
        <v>Agricultura</v>
      </c>
      <c r="N9" s="18" t="str">
        <f aca="false">+VLOOKUP(K9,'Correl CIIU'!$A$1:$F$26,4,FALSE())</f>
        <v>Agriculture, forestry and fishing</v>
      </c>
      <c r="O9" s="18" t="n">
        <v>1</v>
      </c>
      <c r="P9" s="19" t="str">
        <f aca="false">+VLOOKUP(O9,bio!$A$2:$B$4,2,FALSE())</f>
        <v>Bioeconomía</v>
      </c>
    </row>
    <row r="10" customFormat="false" ht="14.25" hidden="false" customHeight="false" outlineLevel="0" collapsed="false">
      <c r="A10" s="16" t="s">
        <v>803</v>
      </c>
      <c r="B10" s="17" t="s">
        <v>1430</v>
      </c>
      <c r="C10" s="17" t="str">
        <f aca="false">+VLOOKUP(B10,transacciones!$A$1:$I$39,2,FALSE())</f>
        <v>ATC01</v>
      </c>
      <c r="D10" s="17" t="str">
        <f aca="false">+VLOOKUP($B10,transacciones!$A$1:$I$39,4,FALSE())</f>
        <v>Producción de mercado</v>
      </c>
      <c r="E10" s="17" t="str">
        <f aca="false">+VLOOKUP($B10,transacciones!$A$1:$I$39,4,FALSE())</f>
        <v>Producción de mercado</v>
      </c>
      <c r="F10" s="17" t="n">
        <f aca="false">+VLOOKUP(B10,transacciones!$A$2:$I$39,5,FALSE())</f>
        <v>1</v>
      </c>
      <c r="G10" s="17" t="str">
        <f aca="false">+VLOOKUP(B10,transacciones!$A$2:$I$39,6,FALSE())</f>
        <v>P1</v>
      </c>
      <c r="H10" s="17" t="str">
        <f aca="false">+VLOOKUP(B10,transacciones!$A$1:$I$39,7,FALSE())</f>
        <v>Producción</v>
      </c>
      <c r="I10" s="1" t="s">
        <v>1448</v>
      </c>
      <c r="J10" s="1" t="s">
        <v>1449</v>
      </c>
      <c r="K10" s="18" t="s">
        <v>1433</v>
      </c>
      <c r="L10" s="18" t="str">
        <f aca="false">+VLOOKUP(K10,'Correl CIIU'!$A$1:$F$26,2,FALSE())</f>
        <v>Agricultura, ganadería, silvicultura y pesca</v>
      </c>
      <c r="M10" s="18" t="str">
        <f aca="false">+VLOOKUP(K10,'Correl CIIU'!$A$1:$F$26,3,FALSE())</f>
        <v>Agricultura</v>
      </c>
      <c r="N10" s="18" t="str">
        <f aca="false">+VLOOKUP(K10,'Correl CIIU'!$A$1:$F$26,4,FALSE())</f>
        <v>Agriculture, forestry and fishing</v>
      </c>
      <c r="O10" s="18" t="n">
        <v>1</v>
      </c>
      <c r="P10" s="19" t="str">
        <f aca="false">+VLOOKUP(O10,bio!$A$2:$B$4,2,FALSE())</f>
        <v>Bioeconomía</v>
      </c>
    </row>
    <row r="11" customFormat="false" ht="14.25" hidden="false" customHeight="false" outlineLevel="0" collapsed="false">
      <c r="A11" s="16" t="s">
        <v>805</v>
      </c>
      <c r="B11" s="17" t="s">
        <v>1430</v>
      </c>
      <c r="C11" s="17" t="str">
        <f aca="false">+VLOOKUP(B11,transacciones!$A$1:$I$39,2,FALSE())</f>
        <v>ATC01</v>
      </c>
      <c r="D11" s="17" t="str">
        <f aca="false">+VLOOKUP($B11,transacciones!$A$1:$I$39,4,FALSE())</f>
        <v>Producción de mercado</v>
      </c>
      <c r="E11" s="17" t="str">
        <f aca="false">+VLOOKUP($B11,transacciones!$A$1:$I$39,4,FALSE())</f>
        <v>Producción de mercado</v>
      </c>
      <c r="F11" s="17" t="n">
        <f aca="false">+VLOOKUP(B11,transacciones!$A$2:$I$39,5,FALSE())</f>
        <v>1</v>
      </c>
      <c r="G11" s="17" t="str">
        <f aca="false">+VLOOKUP(B11,transacciones!$A$2:$I$39,6,FALSE())</f>
        <v>P1</v>
      </c>
      <c r="H11" s="17" t="str">
        <f aca="false">+VLOOKUP(B11,transacciones!$A$1:$I$39,7,FALSE())</f>
        <v>Producción</v>
      </c>
      <c r="I11" s="1" t="s">
        <v>1450</v>
      </c>
      <c r="J11" s="1" t="s">
        <v>1451</v>
      </c>
      <c r="K11" s="18" t="s">
        <v>1433</v>
      </c>
      <c r="L11" s="18" t="str">
        <f aca="false">+VLOOKUP(K11,'Correl CIIU'!$A$1:$F$26,2,FALSE())</f>
        <v>Agricultura, ganadería, silvicultura y pesca</v>
      </c>
      <c r="M11" s="18" t="str">
        <f aca="false">+VLOOKUP(K11,'Correl CIIU'!$A$1:$F$26,3,FALSE())</f>
        <v>Agricultura</v>
      </c>
      <c r="N11" s="18" t="str">
        <f aca="false">+VLOOKUP(K11,'Correl CIIU'!$A$1:$F$26,4,FALSE())</f>
        <v>Agriculture, forestry and fishing</v>
      </c>
      <c r="O11" s="18" t="n">
        <v>1</v>
      </c>
      <c r="P11" s="19" t="str">
        <f aca="false">+VLOOKUP(O11,bio!$A$2:$B$4,2,FALSE())</f>
        <v>Bioeconomía</v>
      </c>
    </row>
    <row r="12" customFormat="false" ht="14.25" hidden="false" customHeight="false" outlineLevel="0" collapsed="false">
      <c r="A12" s="16" t="s">
        <v>807</v>
      </c>
      <c r="B12" s="17" t="s">
        <v>1430</v>
      </c>
      <c r="C12" s="17" t="str">
        <f aca="false">+VLOOKUP(B12,transacciones!$A$1:$I$39,2,FALSE())</f>
        <v>ATC01</v>
      </c>
      <c r="D12" s="17" t="str">
        <f aca="false">+VLOOKUP($B12,transacciones!$A$1:$I$39,4,FALSE())</f>
        <v>Producción de mercado</v>
      </c>
      <c r="E12" s="17" t="str">
        <f aca="false">+VLOOKUP($B12,transacciones!$A$1:$I$39,4,FALSE())</f>
        <v>Producción de mercado</v>
      </c>
      <c r="F12" s="17" t="n">
        <f aca="false">+VLOOKUP(B12,transacciones!$A$2:$I$39,5,FALSE())</f>
        <v>1</v>
      </c>
      <c r="G12" s="17" t="str">
        <f aca="false">+VLOOKUP(B12,transacciones!$A$2:$I$39,6,FALSE())</f>
        <v>P1</v>
      </c>
      <c r="H12" s="17" t="str">
        <f aca="false">+VLOOKUP(B12,transacciones!$A$1:$I$39,7,FALSE())</f>
        <v>Producción</v>
      </c>
      <c r="I12" s="1" t="s">
        <v>1452</v>
      </c>
      <c r="J12" s="1" t="s">
        <v>1453</v>
      </c>
      <c r="K12" s="18" t="s">
        <v>1433</v>
      </c>
      <c r="L12" s="18" t="str">
        <f aca="false">+VLOOKUP(K12,'Correl CIIU'!$A$1:$F$26,2,FALSE())</f>
        <v>Agricultura, ganadería, silvicultura y pesca</v>
      </c>
      <c r="M12" s="18" t="str">
        <f aca="false">+VLOOKUP(K12,'Correl CIIU'!$A$1:$F$26,3,FALSE())</f>
        <v>Agricultura</v>
      </c>
      <c r="N12" s="18" t="str">
        <f aca="false">+VLOOKUP(K12,'Correl CIIU'!$A$1:$F$26,4,FALSE())</f>
        <v>Agriculture, forestry and fishing</v>
      </c>
      <c r="O12" s="18" t="n">
        <v>1</v>
      </c>
      <c r="P12" s="19" t="str">
        <f aca="false">+VLOOKUP(O12,bio!$A$2:$B$4,2,FALSE())</f>
        <v>Bioeconomía</v>
      </c>
    </row>
    <row r="13" customFormat="false" ht="14.25" hidden="false" customHeight="false" outlineLevel="0" collapsed="false">
      <c r="A13" s="16" t="s">
        <v>809</v>
      </c>
      <c r="B13" s="17" t="s">
        <v>1430</v>
      </c>
      <c r="C13" s="17" t="str">
        <f aca="false">+VLOOKUP(B13,transacciones!$A$1:$I$39,2,FALSE())</f>
        <v>ATC01</v>
      </c>
      <c r="D13" s="17" t="str">
        <f aca="false">+VLOOKUP($B13,transacciones!$A$1:$I$39,4,FALSE())</f>
        <v>Producción de mercado</v>
      </c>
      <c r="E13" s="17" t="str">
        <f aca="false">+VLOOKUP($B13,transacciones!$A$1:$I$39,4,FALSE())</f>
        <v>Producción de mercado</v>
      </c>
      <c r="F13" s="17" t="n">
        <f aca="false">+VLOOKUP(B13,transacciones!$A$2:$I$39,5,FALSE())</f>
        <v>1</v>
      </c>
      <c r="G13" s="17" t="str">
        <f aca="false">+VLOOKUP(B13,transacciones!$A$2:$I$39,6,FALSE())</f>
        <v>P1</v>
      </c>
      <c r="H13" s="17" t="str">
        <f aca="false">+VLOOKUP(B13,transacciones!$A$1:$I$39,7,FALSE())</f>
        <v>Producción</v>
      </c>
      <c r="I13" s="1" t="s">
        <v>1454</v>
      </c>
      <c r="J13" s="1" t="s">
        <v>1455</v>
      </c>
      <c r="K13" s="18" t="s">
        <v>1433</v>
      </c>
      <c r="L13" s="18" t="str">
        <f aca="false">+VLOOKUP(K13,'Correl CIIU'!$A$1:$F$26,2,FALSE())</f>
        <v>Agricultura, ganadería, silvicultura y pesca</v>
      </c>
      <c r="M13" s="18" t="str">
        <f aca="false">+VLOOKUP(K13,'Correl CIIU'!$A$1:$F$26,3,FALSE())</f>
        <v>Agricultura</v>
      </c>
      <c r="N13" s="18" t="str">
        <f aca="false">+VLOOKUP(K13,'Correl CIIU'!$A$1:$F$26,4,FALSE())</f>
        <v>Agriculture, forestry and fishing</v>
      </c>
      <c r="O13" s="18" t="n">
        <v>1</v>
      </c>
      <c r="P13" s="19" t="str">
        <f aca="false">+VLOOKUP(O13,bio!$A$2:$B$4,2,FALSE())</f>
        <v>Bioeconomía</v>
      </c>
    </row>
    <row r="14" customFormat="false" ht="14.25" hidden="false" customHeight="false" outlineLevel="0" collapsed="false">
      <c r="A14" s="16" t="s">
        <v>811</v>
      </c>
      <c r="B14" s="17" t="s">
        <v>1430</v>
      </c>
      <c r="C14" s="17" t="str">
        <f aca="false">+VLOOKUP(B14,transacciones!$A$1:$I$39,2,FALSE())</f>
        <v>ATC01</v>
      </c>
      <c r="D14" s="17" t="str">
        <f aca="false">+VLOOKUP($B14,transacciones!$A$1:$I$39,4,FALSE())</f>
        <v>Producción de mercado</v>
      </c>
      <c r="E14" s="17" t="str">
        <f aca="false">+VLOOKUP($B14,transacciones!$A$1:$I$39,4,FALSE())</f>
        <v>Producción de mercado</v>
      </c>
      <c r="F14" s="17" t="n">
        <f aca="false">+VLOOKUP(B14,transacciones!$A$2:$I$39,5,FALSE())</f>
        <v>1</v>
      </c>
      <c r="G14" s="17" t="str">
        <f aca="false">+VLOOKUP(B14,transacciones!$A$2:$I$39,6,FALSE())</f>
        <v>P1</v>
      </c>
      <c r="H14" s="17" t="str">
        <f aca="false">+VLOOKUP(B14,transacciones!$A$1:$I$39,7,FALSE())</f>
        <v>Producción</v>
      </c>
      <c r="I14" s="1" t="s">
        <v>1456</v>
      </c>
      <c r="J14" s="1" t="s">
        <v>1457</v>
      </c>
      <c r="K14" s="18" t="s">
        <v>1433</v>
      </c>
      <c r="L14" s="18" t="str">
        <f aca="false">+VLOOKUP(K14,'Correl CIIU'!$A$1:$F$26,2,FALSE())</f>
        <v>Agricultura, ganadería, silvicultura y pesca</v>
      </c>
      <c r="M14" s="18" t="str">
        <f aca="false">+VLOOKUP(K14,'Correl CIIU'!$A$1:$F$26,3,FALSE())</f>
        <v>Agricultura</v>
      </c>
      <c r="N14" s="18" t="str">
        <f aca="false">+VLOOKUP(K14,'Correl CIIU'!$A$1:$F$26,4,FALSE())</f>
        <v>Agriculture, forestry and fishing</v>
      </c>
      <c r="O14" s="18" t="n">
        <v>1</v>
      </c>
      <c r="P14" s="19" t="str">
        <f aca="false">+VLOOKUP(O14,bio!$A$2:$B$4,2,FALSE())</f>
        <v>Bioeconomía</v>
      </c>
    </row>
    <row r="15" customFormat="false" ht="14.25" hidden="false" customHeight="false" outlineLevel="0" collapsed="false">
      <c r="A15" s="16" t="s">
        <v>813</v>
      </c>
      <c r="B15" s="17" t="s">
        <v>1430</v>
      </c>
      <c r="C15" s="17" t="str">
        <f aca="false">+VLOOKUP(B15,transacciones!$A$1:$I$39,2,FALSE())</f>
        <v>ATC01</v>
      </c>
      <c r="D15" s="17" t="str">
        <f aca="false">+VLOOKUP(B15,transacciones!$A$1:$I$39,3,FALSE())</f>
        <v>Producción / Consumo intermedio</v>
      </c>
      <c r="E15" s="17" t="str">
        <f aca="false">+VLOOKUP($B15,transacciones!$A$1:$I$39,4,FALSE())</f>
        <v>Producción de mercado</v>
      </c>
      <c r="F15" s="17" t="n">
        <f aca="false">+VLOOKUP(B15,transacciones!$A$2:$I$39,5,FALSE())</f>
        <v>1</v>
      </c>
      <c r="G15" s="17" t="str">
        <f aca="false">+VLOOKUP(B15,transacciones!$A$2:$I$39,6,FALSE())</f>
        <v>P1</v>
      </c>
      <c r="H15" s="17" t="str">
        <f aca="false">+VLOOKUP(B15,transacciones!$A$1:$I$39,7,FALSE())</f>
        <v>Producción</v>
      </c>
      <c r="I15" s="1" t="s">
        <v>1458</v>
      </c>
      <c r="J15" s="1" t="s">
        <v>1459</v>
      </c>
      <c r="K15" s="18" t="s">
        <v>1433</v>
      </c>
      <c r="L15" s="18" t="str">
        <f aca="false">+VLOOKUP(K15,'Correl CIIU'!$A$1:$F$26,2,FALSE())</f>
        <v>Agricultura, ganadería, silvicultura y pesca</v>
      </c>
      <c r="M15" s="18" t="str">
        <f aca="false">+VLOOKUP(K15,'Correl CIIU'!$A$1:$F$26,3,FALSE())</f>
        <v>Agricultura</v>
      </c>
      <c r="N15" s="18" t="str">
        <f aca="false">+VLOOKUP(K15,'Correl CIIU'!$A$1:$F$26,4,FALSE())</f>
        <v>Agriculture, forestry and fishing</v>
      </c>
      <c r="O15" s="18" t="n">
        <v>1</v>
      </c>
      <c r="P15" s="19" t="str">
        <f aca="false">+VLOOKUP(O15,bio!$A$2:$B$4,2,FALSE())</f>
        <v>Bioeconomía</v>
      </c>
    </row>
    <row r="16" customFormat="false" ht="14.25" hidden="false" customHeight="false" outlineLevel="0" collapsed="false">
      <c r="A16" s="16" t="s">
        <v>815</v>
      </c>
      <c r="B16" s="17" t="s">
        <v>1430</v>
      </c>
      <c r="C16" s="17" t="str">
        <f aca="false">+VLOOKUP(B16,transacciones!$A$1:$I$39,2,FALSE())</f>
        <v>ATC01</v>
      </c>
      <c r="D16" s="17" t="str">
        <f aca="false">+VLOOKUP(B16,transacciones!$A$1:$I$39,3,FALSE())</f>
        <v>Producción / Consumo intermedio</v>
      </c>
      <c r="E16" s="17" t="str">
        <f aca="false">+VLOOKUP($B16,transacciones!$A$1:$I$39,4,FALSE())</f>
        <v>Producción de mercado</v>
      </c>
      <c r="F16" s="17" t="n">
        <f aca="false">+VLOOKUP(B16,transacciones!$A$2:$I$39,5,FALSE())</f>
        <v>1</v>
      </c>
      <c r="G16" s="17" t="str">
        <f aca="false">+VLOOKUP(B16,transacciones!$A$2:$I$39,6,FALSE())</f>
        <v>P1</v>
      </c>
      <c r="H16" s="17" t="str">
        <f aca="false">+VLOOKUP(B16,transacciones!$A$1:$I$39,7,FALSE())</f>
        <v>Producción</v>
      </c>
      <c r="I16" s="1" t="s">
        <v>1460</v>
      </c>
      <c r="J16" s="1" t="s">
        <v>1461</v>
      </c>
      <c r="K16" s="18" t="s">
        <v>1433</v>
      </c>
      <c r="L16" s="18" t="str">
        <f aca="false">+VLOOKUP(K16,'Correl CIIU'!$A$1:$F$26,2,FALSE())</f>
        <v>Agricultura, ganadería, silvicultura y pesca</v>
      </c>
      <c r="M16" s="18" t="str">
        <f aca="false">+VLOOKUP(K16,'Correl CIIU'!$A$1:$F$26,3,FALSE())</f>
        <v>Agricultura</v>
      </c>
      <c r="N16" s="18" t="str">
        <f aca="false">+VLOOKUP(K16,'Correl CIIU'!$A$1:$F$26,4,FALSE())</f>
        <v>Agriculture, forestry and fishing</v>
      </c>
      <c r="O16" s="18" t="n">
        <v>1</v>
      </c>
      <c r="P16" s="19" t="str">
        <f aca="false">+VLOOKUP(O16,bio!$A$2:$B$4,2,FALSE())</f>
        <v>Bioeconomía</v>
      </c>
    </row>
    <row r="17" customFormat="false" ht="14.25" hidden="false" customHeight="false" outlineLevel="0" collapsed="false">
      <c r="A17" s="16" t="s">
        <v>817</v>
      </c>
      <c r="B17" s="17" t="s">
        <v>1430</v>
      </c>
      <c r="C17" s="17" t="str">
        <f aca="false">+VLOOKUP(B17,transacciones!$A$1:$I$39,2,FALSE())</f>
        <v>ATC01</v>
      </c>
      <c r="D17" s="17" t="str">
        <f aca="false">+VLOOKUP(B17,transacciones!$A$1:$I$39,3,FALSE())</f>
        <v>Producción / Consumo intermedio</v>
      </c>
      <c r="E17" s="17" t="str">
        <f aca="false">+VLOOKUP($B17,transacciones!$A$1:$I$39,4,FALSE())</f>
        <v>Producción de mercado</v>
      </c>
      <c r="F17" s="17" t="n">
        <f aca="false">+VLOOKUP(B17,transacciones!$A$2:$I$39,5,FALSE())</f>
        <v>1</v>
      </c>
      <c r="G17" s="17" t="str">
        <f aca="false">+VLOOKUP(B17,transacciones!$A$2:$I$39,6,FALSE())</f>
        <v>P1</v>
      </c>
      <c r="H17" s="17" t="str">
        <f aca="false">+VLOOKUP(B17,transacciones!$A$1:$I$39,7,FALSE())</f>
        <v>Producción</v>
      </c>
      <c r="I17" s="1" t="s">
        <v>1462</v>
      </c>
      <c r="J17" s="1" t="s">
        <v>1463</v>
      </c>
      <c r="K17" s="18" t="s">
        <v>1464</v>
      </c>
      <c r="L17" s="18" t="str">
        <f aca="false">+VLOOKUP(K17,'Correl CIIU'!$A$1:$F$26,2,FALSE())</f>
        <v>Explotación de minas y canteras</v>
      </c>
      <c r="M17" s="18" t="str">
        <f aca="false">+VLOOKUP(K17,'Correl CIIU'!$A$1:$F$26,3,FALSE())</f>
        <v>Minería</v>
      </c>
      <c r="N17" s="18" t="str">
        <f aca="false">+VLOOKUP(K17,'Correl CIIU'!$A$1:$F$26,4,FALSE())</f>
        <v>Mining and quarrying</v>
      </c>
      <c r="O17" s="18" t="n">
        <v>3</v>
      </c>
      <c r="P17" s="19" t="str">
        <f aca="false">+VLOOKUP(O17,bio!$A$2:$B$4,2,FALSE())</f>
        <v>No bioeconomía</v>
      </c>
    </row>
    <row r="18" customFormat="false" ht="14.25" hidden="false" customHeight="false" outlineLevel="0" collapsed="false">
      <c r="A18" s="16" t="s">
        <v>819</v>
      </c>
      <c r="B18" s="17" t="s">
        <v>1430</v>
      </c>
      <c r="C18" s="17" t="str">
        <f aca="false">+VLOOKUP(B18,transacciones!$A$1:$I$39,2,FALSE())</f>
        <v>ATC01</v>
      </c>
      <c r="D18" s="17" t="str">
        <f aca="false">+VLOOKUP($B18,transacciones!$A$1:$I$39,4,FALSE())</f>
        <v>Producción de mercado</v>
      </c>
      <c r="E18" s="17" t="str">
        <f aca="false">+VLOOKUP($B18,transacciones!$A$1:$I$39,4,FALSE())</f>
        <v>Producción de mercado</v>
      </c>
      <c r="F18" s="17" t="n">
        <f aca="false">+VLOOKUP(B18,transacciones!$A$2:$I$39,5,FALSE())</f>
        <v>1</v>
      </c>
      <c r="G18" s="17" t="str">
        <f aca="false">+VLOOKUP(B18,transacciones!$A$2:$I$39,6,FALSE())</f>
        <v>P1</v>
      </c>
      <c r="H18" s="17" t="str">
        <f aca="false">+VLOOKUP(B18,transacciones!$A$1:$I$39,7,FALSE())</f>
        <v>Producción</v>
      </c>
      <c r="I18" s="1" t="s">
        <v>1465</v>
      </c>
      <c r="J18" s="1" t="s">
        <v>1466</v>
      </c>
      <c r="K18" s="18" t="s">
        <v>1467</v>
      </c>
      <c r="L18" s="18" t="str">
        <f aca="false">+VLOOKUP(K18,'Correl CIIU'!$A$1:$F$26,2,FALSE())</f>
        <v>Industrias manufactureras</v>
      </c>
      <c r="M18" s="18" t="str">
        <f aca="false">+VLOOKUP(K18,'Correl CIIU'!$A$1:$F$26,3,FALSE())</f>
        <v>Manufacturas</v>
      </c>
      <c r="N18" s="18" t="str">
        <f aca="false">+VLOOKUP(K18,'Correl CIIU'!$A$1:$F$26,4,FALSE())</f>
        <v>Manufacturing</v>
      </c>
      <c r="O18" s="18" t="n">
        <v>1</v>
      </c>
      <c r="P18" s="19" t="str">
        <f aca="false">+VLOOKUP(O18,bio!$A$2:$B$4,2,FALSE())</f>
        <v>Bioeconomía</v>
      </c>
    </row>
    <row r="19" customFormat="false" ht="14.25" hidden="false" customHeight="false" outlineLevel="0" collapsed="false">
      <c r="A19" s="16" t="s">
        <v>821</v>
      </c>
      <c r="B19" s="17" t="s">
        <v>1430</v>
      </c>
      <c r="C19" s="17" t="str">
        <f aca="false">+VLOOKUP(B19,transacciones!$A$1:$I$39,2,FALSE())</f>
        <v>ATC01</v>
      </c>
      <c r="D19" s="17" t="str">
        <f aca="false">+VLOOKUP($B19,transacciones!$A$1:$I$39,4,FALSE())</f>
        <v>Producción de mercado</v>
      </c>
      <c r="E19" s="17" t="str">
        <f aca="false">+VLOOKUP($B19,transacciones!$A$1:$I$39,4,FALSE())</f>
        <v>Producción de mercado</v>
      </c>
      <c r="F19" s="17" t="n">
        <f aca="false">+VLOOKUP(B19,transacciones!$A$2:$I$39,5,FALSE())</f>
        <v>1</v>
      </c>
      <c r="G19" s="17" t="str">
        <f aca="false">+VLOOKUP(B19,transacciones!$A$2:$I$39,6,FALSE())</f>
        <v>P1</v>
      </c>
      <c r="H19" s="17" t="str">
        <f aca="false">+VLOOKUP(B19,transacciones!$A$1:$I$39,7,FALSE())</f>
        <v>Producción</v>
      </c>
      <c r="I19" s="1" t="s">
        <v>1468</v>
      </c>
      <c r="J19" s="1" t="s">
        <v>1469</v>
      </c>
      <c r="K19" s="18" t="s">
        <v>1467</v>
      </c>
      <c r="L19" s="18" t="str">
        <f aca="false">+VLOOKUP(K19,'Correl CIIU'!$A$1:$F$26,2,FALSE())</f>
        <v>Industrias manufactureras</v>
      </c>
      <c r="M19" s="18" t="str">
        <f aca="false">+VLOOKUP(K19,'Correl CIIU'!$A$1:$F$26,3,FALSE())</f>
        <v>Manufacturas</v>
      </c>
      <c r="N19" s="18" t="str">
        <f aca="false">+VLOOKUP(K19,'Correl CIIU'!$A$1:$F$26,4,FALSE())</f>
        <v>Manufacturing</v>
      </c>
      <c r="O19" s="18" t="n">
        <v>1</v>
      </c>
      <c r="P19" s="19" t="str">
        <f aca="false">+VLOOKUP(O19,bio!$A$2:$B$4,2,FALSE())</f>
        <v>Bioeconomía</v>
      </c>
    </row>
    <row r="20" customFormat="false" ht="14.25" hidden="false" customHeight="false" outlineLevel="0" collapsed="false">
      <c r="A20" s="16" t="s">
        <v>823</v>
      </c>
      <c r="B20" s="17" t="s">
        <v>1430</v>
      </c>
      <c r="C20" s="17" t="str">
        <f aca="false">+VLOOKUP(B20,transacciones!$A$1:$I$39,2,FALSE())</f>
        <v>ATC01</v>
      </c>
      <c r="D20" s="17" t="str">
        <f aca="false">+VLOOKUP($B20,transacciones!$A$1:$I$39,4,FALSE())</f>
        <v>Producción de mercado</v>
      </c>
      <c r="E20" s="17" t="str">
        <f aca="false">+VLOOKUP($B20,transacciones!$A$1:$I$39,4,FALSE())</f>
        <v>Producción de mercado</v>
      </c>
      <c r="F20" s="17" t="n">
        <f aca="false">+VLOOKUP(B20,transacciones!$A$2:$I$39,5,FALSE())</f>
        <v>1</v>
      </c>
      <c r="G20" s="17" t="str">
        <f aca="false">+VLOOKUP(B20,transacciones!$A$2:$I$39,6,FALSE())</f>
        <v>P1</v>
      </c>
      <c r="H20" s="17" t="str">
        <f aca="false">+VLOOKUP(B20,transacciones!$A$1:$I$39,7,FALSE())</f>
        <v>Producción</v>
      </c>
      <c r="I20" s="1" t="s">
        <v>1470</v>
      </c>
      <c r="J20" s="1" t="s">
        <v>1471</v>
      </c>
      <c r="K20" s="18" t="s">
        <v>1467</v>
      </c>
      <c r="L20" s="18" t="str">
        <f aca="false">+VLOOKUP(K20,'Correl CIIU'!$A$1:$F$26,2,FALSE())</f>
        <v>Industrias manufactureras</v>
      </c>
      <c r="M20" s="18" t="str">
        <f aca="false">+VLOOKUP(K20,'Correl CIIU'!$A$1:$F$26,3,FALSE())</f>
        <v>Manufacturas</v>
      </c>
      <c r="N20" s="18" t="str">
        <f aca="false">+VLOOKUP(K20,'Correl CIIU'!$A$1:$F$26,4,FALSE())</f>
        <v>Manufacturing</v>
      </c>
      <c r="O20" s="18" t="n">
        <v>1</v>
      </c>
      <c r="P20" s="19" t="str">
        <f aca="false">+VLOOKUP(O20,bio!$A$2:$B$4,2,FALSE())</f>
        <v>Bioeconomía</v>
      </c>
    </row>
    <row r="21" customFormat="false" ht="14.25" hidden="false" customHeight="false" outlineLevel="0" collapsed="false">
      <c r="A21" s="16" t="s">
        <v>825</v>
      </c>
      <c r="B21" s="17" t="s">
        <v>1430</v>
      </c>
      <c r="C21" s="17" t="str">
        <f aca="false">+VLOOKUP(B21,transacciones!$A$1:$I$39,2,FALSE())</f>
        <v>ATC01</v>
      </c>
      <c r="D21" s="17" t="str">
        <f aca="false">+VLOOKUP($B21,transacciones!$A$1:$I$39,4,FALSE())</f>
        <v>Producción de mercado</v>
      </c>
      <c r="E21" s="17" t="str">
        <f aca="false">+VLOOKUP($B21,transacciones!$A$1:$I$39,4,FALSE())</f>
        <v>Producción de mercado</v>
      </c>
      <c r="F21" s="17" t="n">
        <f aca="false">+VLOOKUP(B21,transacciones!$A$2:$I$39,5,FALSE())</f>
        <v>1</v>
      </c>
      <c r="G21" s="17" t="str">
        <f aca="false">+VLOOKUP(B21,transacciones!$A$2:$I$39,6,FALSE())</f>
        <v>P1</v>
      </c>
      <c r="H21" s="17" t="str">
        <f aca="false">+VLOOKUP(B21,transacciones!$A$1:$I$39,7,FALSE())</f>
        <v>Producción</v>
      </c>
      <c r="I21" s="1" t="s">
        <v>1472</v>
      </c>
      <c r="J21" s="1" t="s">
        <v>1473</v>
      </c>
      <c r="K21" s="18" t="s">
        <v>1467</v>
      </c>
      <c r="L21" s="18" t="str">
        <f aca="false">+VLOOKUP(K21,'Correl CIIU'!$A$1:$F$26,2,FALSE())</f>
        <v>Industrias manufactureras</v>
      </c>
      <c r="M21" s="18" t="str">
        <f aca="false">+VLOOKUP(K21,'Correl CIIU'!$A$1:$F$26,3,FALSE())</f>
        <v>Manufacturas</v>
      </c>
      <c r="N21" s="18" t="str">
        <f aca="false">+VLOOKUP(K21,'Correl CIIU'!$A$1:$F$26,4,FALSE())</f>
        <v>Manufacturing</v>
      </c>
      <c r="O21" s="18" t="n">
        <v>1</v>
      </c>
      <c r="P21" s="19" t="str">
        <f aca="false">+VLOOKUP(O21,bio!$A$2:$B$4,2,FALSE())</f>
        <v>Bioeconomía</v>
      </c>
    </row>
    <row r="22" customFormat="false" ht="14.25" hidden="false" customHeight="false" outlineLevel="0" collapsed="false">
      <c r="A22" s="16" t="s">
        <v>827</v>
      </c>
      <c r="B22" s="17" t="s">
        <v>1430</v>
      </c>
      <c r="C22" s="17" t="str">
        <f aca="false">+VLOOKUP(B22,transacciones!$A$1:$I$39,2,FALSE())</f>
        <v>ATC01</v>
      </c>
      <c r="D22" s="17" t="str">
        <f aca="false">+VLOOKUP($B22,transacciones!$A$1:$I$39,4,FALSE())</f>
        <v>Producción de mercado</v>
      </c>
      <c r="E22" s="17" t="str">
        <f aca="false">+VLOOKUP($B22,transacciones!$A$1:$I$39,4,FALSE())</f>
        <v>Producción de mercado</v>
      </c>
      <c r="F22" s="17" t="n">
        <f aca="false">+VLOOKUP(B22,transacciones!$A$2:$I$39,5,FALSE())</f>
        <v>1</v>
      </c>
      <c r="G22" s="17" t="str">
        <f aca="false">+VLOOKUP(B22,transacciones!$A$2:$I$39,6,FALSE())</f>
        <v>P1</v>
      </c>
      <c r="H22" s="17" t="str">
        <f aca="false">+VLOOKUP(B22,transacciones!$A$1:$I$39,7,FALSE())</f>
        <v>Producción</v>
      </c>
      <c r="I22" s="1" t="s">
        <v>1474</v>
      </c>
      <c r="J22" s="1" t="s">
        <v>1475</v>
      </c>
      <c r="K22" s="18" t="s">
        <v>1467</v>
      </c>
      <c r="L22" s="18" t="str">
        <f aca="false">+VLOOKUP(K22,'Correl CIIU'!$A$1:$F$26,2,FALSE())</f>
        <v>Industrias manufactureras</v>
      </c>
      <c r="M22" s="18" t="str">
        <f aca="false">+VLOOKUP(K22,'Correl CIIU'!$A$1:$F$26,3,FALSE())</f>
        <v>Manufacturas</v>
      </c>
      <c r="N22" s="18" t="str">
        <f aca="false">+VLOOKUP(K22,'Correl CIIU'!$A$1:$F$26,4,FALSE())</f>
        <v>Manufacturing</v>
      </c>
      <c r="O22" s="18" t="n">
        <v>1</v>
      </c>
      <c r="P22" s="19" t="str">
        <f aca="false">+VLOOKUP(O22,bio!$A$2:$B$4,2,FALSE())</f>
        <v>Bioeconomía</v>
      </c>
    </row>
    <row r="23" customFormat="false" ht="14.25" hidden="false" customHeight="false" outlineLevel="0" collapsed="false">
      <c r="A23" s="16" t="s">
        <v>829</v>
      </c>
      <c r="B23" s="17" t="s">
        <v>1430</v>
      </c>
      <c r="C23" s="17" t="str">
        <f aca="false">+VLOOKUP(B23,transacciones!$A$1:$I$39,2,FALSE())</f>
        <v>ATC01</v>
      </c>
      <c r="D23" s="17" t="str">
        <f aca="false">+VLOOKUP($B23,transacciones!$A$1:$I$39,4,FALSE())</f>
        <v>Producción de mercado</v>
      </c>
      <c r="E23" s="17" t="str">
        <f aca="false">+VLOOKUP($B23,transacciones!$A$1:$I$39,4,FALSE())</f>
        <v>Producción de mercado</v>
      </c>
      <c r="F23" s="17" t="n">
        <f aca="false">+VLOOKUP(B23,transacciones!$A$2:$I$39,5,FALSE())</f>
        <v>1</v>
      </c>
      <c r="G23" s="17" t="str">
        <f aca="false">+VLOOKUP(B23,transacciones!$A$2:$I$39,6,FALSE())</f>
        <v>P1</v>
      </c>
      <c r="H23" s="17" t="str">
        <f aca="false">+VLOOKUP(B23,transacciones!$A$1:$I$39,7,FALSE())</f>
        <v>Producción</v>
      </c>
      <c r="I23" s="1" t="s">
        <v>1476</v>
      </c>
      <c r="J23" s="1" t="s">
        <v>1477</v>
      </c>
      <c r="K23" s="18" t="s">
        <v>1467</v>
      </c>
      <c r="L23" s="18" t="str">
        <f aca="false">+VLOOKUP(K23,'Correl CIIU'!$A$1:$F$26,2,FALSE())</f>
        <v>Industrias manufactureras</v>
      </c>
      <c r="M23" s="18" t="str">
        <f aca="false">+VLOOKUP(K23,'Correl CIIU'!$A$1:$F$26,3,FALSE())</f>
        <v>Manufacturas</v>
      </c>
      <c r="N23" s="18" t="str">
        <f aca="false">+VLOOKUP(K23,'Correl CIIU'!$A$1:$F$26,4,FALSE())</f>
        <v>Manufacturing</v>
      </c>
      <c r="O23" s="18" t="n">
        <v>1</v>
      </c>
      <c r="P23" s="19" t="str">
        <f aca="false">+VLOOKUP(O23,bio!$A$2:$B$4,2,FALSE())</f>
        <v>Bioeconomía</v>
      </c>
    </row>
    <row r="24" customFormat="false" ht="14.25" hidden="false" customHeight="false" outlineLevel="0" collapsed="false">
      <c r="A24" s="16" t="s">
        <v>831</v>
      </c>
      <c r="B24" s="17" t="s">
        <v>1430</v>
      </c>
      <c r="C24" s="17" t="str">
        <f aca="false">+VLOOKUP(B24,transacciones!$A$1:$I$39,2,FALSE())</f>
        <v>ATC01</v>
      </c>
      <c r="D24" s="17" t="str">
        <f aca="false">+VLOOKUP($B24,transacciones!$A$1:$I$39,4,FALSE())</f>
        <v>Producción de mercado</v>
      </c>
      <c r="E24" s="17" t="str">
        <f aca="false">+VLOOKUP($B24,transacciones!$A$1:$I$39,4,FALSE())</f>
        <v>Producción de mercado</v>
      </c>
      <c r="F24" s="17" t="n">
        <f aca="false">+VLOOKUP(B24,transacciones!$A$2:$I$39,5,FALSE())</f>
        <v>1</v>
      </c>
      <c r="G24" s="17" t="str">
        <f aca="false">+VLOOKUP(B24,transacciones!$A$2:$I$39,6,FALSE())</f>
        <v>P1</v>
      </c>
      <c r="H24" s="17" t="str">
        <f aca="false">+VLOOKUP(B24,transacciones!$A$1:$I$39,7,FALSE())</f>
        <v>Producción</v>
      </c>
      <c r="I24" s="1" t="s">
        <v>1478</v>
      </c>
      <c r="J24" s="1" t="s">
        <v>1479</v>
      </c>
      <c r="K24" s="18" t="s">
        <v>1467</v>
      </c>
      <c r="L24" s="18" t="str">
        <f aca="false">+VLOOKUP(K24,'Correl CIIU'!$A$1:$F$26,2,FALSE())</f>
        <v>Industrias manufactureras</v>
      </c>
      <c r="M24" s="18" t="str">
        <f aca="false">+VLOOKUP(K24,'Correl CIIU'!$A$1:$F$26,3,FALSE())</f>
        <v>Manufacturas</v>
      </c>
      <c r="N24" s="18" t="str">
        <f aca="false">+VLOOKUP(K24,'Correl CIIU'!$A$1:$F$26,4,FALSE())</f>
        <v>Manufacturing</v>
      </c>
      <c r="O24" s="18" t="n">
        <v>1</v>
      </c>
      <c r="P24" s="19" t="str">
        <f aca="false">+VLOOKUP(O24,bio!$A$2:$B$4,2,FALSE())</f>
        <v>Bioeconomía</v>
      </c>
    </row>
    <row r="25" customFormat="false" ht="14.25" hidden="false" customHeight="false" outlineLevel="0" collapsed="false">
      <c r="A25" s="16" t="s">
        <v>833</v>
      </c>
      <c r="B25" s="17" t="s">
        <v>1430</v>
      </c>
      <c r="C25" s="17" t="str">
        <f aca="false">+VLOOKUP(B25,transacciones!$A$1:$I$39,2,FALSE())</f>
        <v>ATC01</v>
      </c>
      <c r="D25" s="17" t="str">
        <f aca="false">+VLOOKUP($B25,transacciones!$A$1:$I$39,4,FALSE())</f>
        <v>Producción de mercado</v>
      </c>
      <c r="E25" s="17" t="str">
        <f aca="false">+VLOOKUP($B25,transacciones!$A$1:$I$39,4,FALSE())</f>
        <v>Producción de mercado</v>
      </c>
      <c r="F25" s="17" t="n">
        <f aca="false">+VLOOKUP(B25,transacciones!$A$2:$I$39,5,FALSE())</f>
        <v>1</v>
      </c>
      <c r="G25" s="17" t="str">
        <f aca="false">+VLOOKUP(B25,transacciones!$A$2:$I$39,6,FALSE())</f>
        <v>P1</v>
      </c>
      <c r="H25" s="17" t="str">
        <f aca="false">+VLOOKUP(B25,transacciones!$A$1:$I$39,7,FALSE())</f>
        <v>Producción</v>
      </c>
      <c r="I25" s="1" t="s">
        <v>1480</v>
      </c>
      <c r="J25" s="1" t="s">
        <v>1481</v>
      </c>
      <c r="K25" s="18" t="s">
        <v>1467</v>
      </c>
      <c r="L25" s="18" t="str">
        <f aca="false">+VLOOKUP(K25,'Correl CIIU'!$A$1:$F$26,2,FALSE())</f>
        <v>Industrias manufactureras</v>
      </c>
      <c r="M25" s="18" t="str">
        <f aca="false">+VLOOKUP(K25,'Correl CIIU'!$A$1:$F$26,3,FALSE())</f>
        <v>Manufacturas</v>
      </c>
      <c r="N25" s="18" t="str">
        <f aca="false">+VLOOKUP(K25,'Correl CIIU'!$A$1:$F$26,4,FALSE())</f>
        <v>Manufacturing</v>
      </c>
      <c r="O25" s="18" t="n">
        <v>1</v>
      </c>
      <c r="P25" s="19" t="str">
        <f aca="false">+VLOOKUP(O25,bio!$A$2:$B$4,2,FALSE())</f>
        <v>Bioeconomía</v>
      </c>
    </row>
    <row r="26" customFormat="false" ht="14.25" hidden="false" customHeight="false" outlineLevel="0" collapsed="false">
      <c r="A26" s="16" t="s">
        <v>835</v>
      </c>
      <c r="B26" s="17" t="s">
        <v>1430</v>
      </c>
      <c r="C26" s="17" t="str">
        <f aca="false">+VLOOKUP(B26,transacciones!$A$1:$I$39,2,FALSE())</f>
        <v>ATC01</v>
      </c>
      <c r="D26" s="17" t="str">
        <f aca="false">+VLOOKUP($B26,transacciones!$A$1:$I$39,4,FALSE())</f>
        <v>Producción de mercado</v>
      </c>
      <c r="E26" s="17" t="str">
        <f aca="false">+VLOOKUP($B26,transacciones!$A$1:$I$39,4,FALSE())</f>
        <v>Producción de mercado</v>
      </c>
      <c r="F26" s="17" t="n">
        <f aca="false">+VLOOKUP(B26,transacciones!$A$2:$I$39,5,FALSE())</f>
        <v>1</v>
      </c>
      <c r="G26" s="17" t="str">
        <f aca="false">+VLOOKUP(B26,transacciones!$A$2:$I$39,6,FALSE())</f>
        <v>P1</v>
      </c>
      <c r="H26" s="17" t="str">
        <f aca="false">+VLOOKUP(B26,transacciones!$A$1:$I$39,7,FALSE())</f>
        <v>Producción</v>
      </c>
      <c r="I26" s="1" t="s">
        <v>1482</v>
      </c>
      <c r="J26" s="1" t="s">
        <v>1483</v>
      </c>
      <c r="K26" s="18" t="s">
        <v>1467</v>
      </c>
      <c r="L26" s="18" t="str">
        <f aca="false">+VLOOKUP(K26,'Correl CIIU'!$A$1:$F$26,2,FALSE())</f>
        <v>Industrias manufactureras</v>
      </c>
      <c r="M26" s="18" t="str">
        <f aca="false">+VLOOKUP(K26,'Correl CIIU'!$A$1:$F$26,3,FALSE())</f>
        <v>Manufacturas</v>
      </c>
      <c r="N26" s="18" t="str">
        <f aca="false">+VLOOKUP(K26,'Correl CIIU'!$A$1:$F$26,4,FALSE())</f>
        <v>Manufacturing</v>
      </c>
      <c r="O26" s="18" t="n">
        <v>2</v>
      </c>
      <c r="P26" s="19" t="str">
        <f aca="false">+VLOOKUP(O26,bio!$A$2:$B$4,2,FALSE())</f>
        <v>Bioeconomía extendida</v>
      </c>
    </row>
    <row r="27" customFormat="false" ht="14.25" hidden="false" customHeight="false" outlineLevel="0" collapsed="false">
      <c r="A27" s="16" t="s">
        <v>837</v>
      </c>
      <c r="B27" s="17" t="s">
        <v>1430</v>
      </c>
      <c r="C27" s="17" t="str">
        <f aca="false">+VLOOKUP(B27,transacciones!$A$1:$I$39,2,FALSE())</f>
        <v>ATC01</v>
      </c>
      <c r="D27" s="17" t="str">
        <f aca="false">+VLOOKUP(B27,transacciones!$A$1:$I$39,3,FALSE())</f>
        <v>Producción / Consumo intermedio</v>
      </c>
      <c r="E27" s="17" t="str">
        <f aca="false">+VLOOKUP($B27,transacciones!$A$1:$I$39,4,FALSE())</f>
        <v>Producción de mercado</v>
      </c>
      <c r="F27" s="17" t="n">
        <f aca="false">+VLOOKUP(B27,transacciones!$A$2:$I$39,5,FALSE())</f>
        <v>1</v>
      </c>
      <c r="G27" s="17" t="str">
        <f aca="false">+VLOOKUP(B27,transacciones!$A$2:$I$39,6,FALSE())</f>
        <v>P1</v>
      </c>
      <c r="H27" s="17" t="str">
        <f aca="false">+VLOOKUP(B27,transacciones!$A$1:$I$39,7,FALSE())</f>
        <v>Producción</v>
      </c>
      <c r="I27" s="1" t="s">
        <v>1484</v>
      </c>
      <c r="J27" s="1" t="s">
        <v>1485</v>
      </c>
      <c r="K27" s="18" t="s">
        <v>1467</v>
      </c>
      <c r="L27" s="18" t="str">
        <f aca="false">+VLOOKUP(K27,'Correl CIIU'!$A$1:$F$26,2,FALSE())</f>
        <v>Industrias manufactureras</v>
      </c>
      <c r="M27" s="18" t="str">
        <f aca="false">+VLOOKUP(K27,'Correl CIIU'!$A$1:$F$26,3,FALSE())</f>
        <v>Manufacturas</v>
      </c>
      <c r="N27" s="18" t="str">
        <f aca="false">+VLOOKUP(K27,'Correl CIIU'!$A$1:$F$26,4,FALSE())</f>
        <v>Manufacturing</v>
      </c>
      <c r="O27" s="18" t="n">
        <v>2</v>
      </c>
      <c r="P27" s="19" t="str">
        <f aca="false">+VLOOKUP(O27,bio!$A$2:$B$4,2,FALSE())</f>
        <v>Bioeconomía extendida</v>
      </c>
    </row>
    <row r="28" customFormat="false" ht="14.25" hidden="false" customHeight="false" outlineLevel="0" collapsed="false">
      <c r="A28" s="16" t="s">
        <v>839</v>
      </c>
      <c r="B28" s="17" t="s">
        <v>1430</v>
      </c>
      <c r="C28" s="17" t="str">
        <f aca="false">+VLOOKUP(B28,transacciones!$A$1:$I$39,2,FALSE())</f>
        <v>ATC01</v>
      </c>
      <c r="D28" s="17" t="str">
        <f aca="false">+VLOOKUP(B28,transacciones!$A$1:$I$39,3,FALSE())</f>
        <v>Producción / Consumo intermedio</v>
      </c>
      <c r="E28" s="17" t="str">
        <f aca="false">+VLOOKUP($B28,transacciones!$A$1:$I$39,4,FALSE())</f>
        <v>Producción de mercado</v>
      </c>
      <c r="F28" s="17" t="n">
        <f aca="false">+VLOOKUP(B28,transacciones!$A$2:$I$39,5,FALSE())</f>
        <v>1</v>
      </c>
      <c r="G28" s="17" t="str">
        <f aca="false">+VLOOKUP(B28,transacciones!$A$2:$I$39,6,FALSE())</f>
        <v>P1</v>
      </c>
      <c r="H28" s="17" t="str">
        <f aca="false">+VLOOKUP(B28,transacciones!$A$1:$I$39,7,FALSE())</f>
        <v>Producción</v>
      </c>
      <c r="I28" s="1" t="s">
        <v>1486</v>
      </c>
      <c r="J28" s="1" t="s">
        <v>1487</v>
      </c>
      <c r="K28" s="18" t="s">
        <v>1467</v>
      </c>
      <c r="L28" s="18" t="str">
        <f aca="false">+VLOOKUP(K28,'Correl CIIU'!$A$1:$F$26,2,FALSE())</f>
        <v>Industrias manufactureras</v>
      </c>
      <c r="M28" s="18" t="str">
        <f aca="false">+VLOOKUP(K28,'Correl CIIU'!$A$1:$F$26,3,FALSE())</f>
        <v>Manufacturas</v>
      </c>
      <c r="N28" s="18" t="str">
        <f aca="false">+VLOOKUP(K28,'Correl CIIU'!$A$1:$F$26,4,FALSE())</f>
        <v>Manufacturing</v>
      </c>
      <c r="O28" s="18" t="n">
        <v>1</v>
      </c>
      <c r="P28" s="19" t="str">
        <f aca="false">+VLOOKUP(O28,bio!$A$2:$B$4,2,FALSE())</f>
        <v>Bioeconomía</v>
      </c>
    </row>
    <row r="29" customFormat="false" ht="14.25" hidden="false" customHeight="false" outlineLevel="0" collapsed="false">
      <c r="A29" s="16" t="s">
        <v>841</v>
      </c>
      <c r="B29" s="17" t="s">
        <v>1430</v>
      </c>
      <c r="C29" s="17" t="str">
        <f aca="false">+VLOOKUP(B29,transacciones!$A$1:$I$39,2,FALSE())</f>
        <v>ATC01</v>
      </c>
      <c r="D29" s="17" t="str">
        <f aca="false">+VLOOKUP(B29,transacciones!$A$1:$I$39,3,FALSE())</f>
        <v>Producción / Consumo intermedio</v>
      </c>
      <c r="E29" s="17" t="str">
        <f aca="false">+VLOOKUP($B29,transacciones!$A$1:$I$39,4,FALSE())</f>
        <v>Producción de mercado</v>
      </c>
      <c r="F29" s="17" t="n">
        <f aca="false">+VLOOKUP(B29,transacciones!$A$2:$I$39,5,FALSE())</f>
        <v>1</v>
      </c>
      <c r="G29" s="17" t="str">
        <f aca="false">+VLOOKUP(B29,transacciones!$A$2:$I$39,6,FALSE())</f>
        <v>P1</v>
      </c>
      <c r="H29" s="17" t="str">
        <f aca="false">+VLOOKUP(B29,transacciones!$A$1:$I$39,7,FALSE())</f>
        <v>Producción</v>
      </c>
      <c r="I29" s="1" t="s">
        <v>1488</v>
      </c>
      <c r="J29" s="1" t="s">
        <v>1489</v>
      </c>
      <c r="K29" s="18" t="s">
        <v>1467</v>
      </c>
      <c r="L29" s="18" t="str">
        <f aca="false">+VLOOKUP(K29,'Correl CIIU'!$A$1:$F$26,2,FALSE())</f>
        <v>Industrias manufactureras</v>
      </c>
      <c r="M29" s="18" t="str">
        <f aca="false">+VLOOKUP(K29,'Correl CIIU'!$A$1:$F$26,3,FALSE())</f>
        <v>Manufacturas</v>
      </c>
      <c r="N29" s="18" t="str">
        <f aca="false">+VLOOKUP(K29,'Correl CIIU'!$A$1:$F$26,4,FALSE())</f>
        <v>Manufacturing</v>
      </c>
      <c r="O29" s="18" t="n">
        <v>1</v>
      </c>
      <c r="P29" s="19" t="str">
        <f aca="false">+VLOOKUP(O29,bio!$A$2:$B$4,2,FALSE())</f>
        <v>Bioeconomía</v>
      </c>
    </row>
    <row r="30" customFormat="false" ht="14.25" hidden="false" customHeight="false" outlineLevel="0" collapsed="false">
      <c r="A30" s="16" t="s">
        <v>843</v>
      </c>
      <c r="B30" s="17" t="s">
        <v>1430</v>
      </c>
      <c r="C30" s="17" t="str">
        <f aca="false">+VLOOKUP(B30,transacciones!$A$1:$I$39,2,FALSE())</f>
        <v>ATC01</v>
      </c>
      <c r="D30" s="17" t="str">
        <f aca="false">+VLOOKUP($B30,transacciones!$A$1:$I$39,4,FALSE())</f>
        <v>Producción de mercado</v>
      </c>
      <c r="E30" s="17" t="str">
        <f aca="false">+VLOOKUP($B30,transacciones!$A$1:$I$39,4,FALSE())</f>
        <v>Producción de mercado</v>
      </c>
      <c r="F30" s="17" t="n">
        <f aca="false">+VLOOKUP(B30,transacciones!$A$2:$I$39,5,FALSE())</f>
        <v>1</v>
      </c>
      <c r="G30" s="17" t="str">
        <f aca="false">+VLOOKUP(B30,transacciones!$A$2:$I$39,6,FALSE())</f>
        <v>P1</v>
      </c>
      <c r="H30" s="17" t="str">
        <f aca="false">+VLOOKUP(B30,transacciones!$A$1:$I$39,7,FALSE())</f>
        <v>Producción</v>
      </c>
      <c r="I30" s="1" t="s">
        <v>1490</v>
      </c>
      <c r="J30" s="1" t="s">
        <v>1491</v>
      </c>
      <c r="K30" s="18" t="s">
        <v>1467</v>
      </c>
      <c r="L30" s="18" t="str">
        <f aca="false">+VLOOKUP(K30,'Correl CIIU'!$A$1:$F$26,2,FALSE())</f>
        <v>Industrias manufactureras</v>
      </c>
      <c r="M30" s="18" t="str">
        <f aca="false">+VLOOKUP(K30,'Correl CIIU'!$A$1:$F$26,3,FALSE())</f>
        <v>Manufacturas</v>
      </c>
      <c r="N30" s="18" t="str">
        <f aca="false">+VLOOKUP(K30,'Correl CIIU'!$A$1:$F$26,4,FALSE())</f>
        <v>Manufacturing</v>
      </c>
      <c r="O30" s="18" t="n">
        <v>2</v>
      </c>
      <c r="P30" s="19" t="str">
        <f aca="false">+VLOOKUP(O30,bio!$A$2:$B$4,2,FALSE())</f>
        <v>Bioeconomía extendida</v>
      </c>
    </row>
    <row r="31" customFormat="false" ht="14.25" hidden="false" customHeight="false" outlineLevel="0" collapsed="false">
      <c r="A31" s="16" t="s">
        <v>845</v>
      </c>
      <c r="B31" s="17" t="s">
        <v>1430</v>
      </c>
      <c r="C31" s="17" t="str">
        <f aca="false">+VLOOKUP(B31,transacciones!$A$1:$I$39,2,FALSE())</f>
        <v>ATC01</v>
      </c>
      <c r="D31" s="17" t="str">
        <f aca="false">+VLOOKUP($B31,transacciones!$A$1:$I$39,4,FALSE())</f>
        <v>Producción de mercado</v>
      </c>
      <c r="E31" s="17" t="str">
        <f aca="false">+VLOOKUP($B31,transacciones!$A$1:$I$39,4,FALSE())</f>
        <v>Producción de mercado</v>
      </c>
      <c r="F31" s="17" t="n">
        <f aca="false">+VLOOKUP(B31,transacciones!$A$2:$I$39,5,FALSE())</f>
        <v>1</v>
      </c>
      <c r="G31" s="17" t="str">
        <f aca="false">+VLOOKUP(B31,transacciones!$A$2:$I$39,6,FALSE())</f>
        <v>P1</v>
      </c>
      <c r="H31" s="17" t="str">
        <f aca="false">+VLOOKUP(B31,transacciones!$A$1:$I$39,7,FALSE())</f>
        <v>Producción</v>
      </c>
      <c r="I31" s="1" t="s">
        <v>1492</v>
      </c>
      <c r="J31" s="1" t="s">
        <v>1493</v>
      </c>
      <c r="K31" s="18" t="s">
        <v>1467</v>
      </c>
      <c r="L31" s="18" t="str">
        <f aca="false">+VLOOKUP(K31,'Correl CIIU'!$A$1:$F$26,2,FALSE())</f>
        <v>Industrias manufactureras</v>
      </c>
      <c r="M31" s="18" t="str">
        <f aca="false">+VLOOKUP(K31,'Correl CIIU'!$A$1:$F$26,3,FALSE())</f>
        <v>Manufacturas</v>
      </c>
      <c r="N31" s="18" t="str">
        <f aca="false">+VLOOKUP(K31,'Correl CIIU'!$A$1:$F$26,4,FALSE())</f>
        <v>Manufacturing</v>
      </c>
      <c r="O31" s="18" t="n">
        <v>2</v>
      </c>
      <c r="P31" s="19" t="str">
        <f aca="false">+VLOOKUP(O31,bio!$A$2:$B$4,2,FALSE())</f>
        <v>Bioeconomía extendida</v>
      </c>
    </row>
    <row r="32" customFormat="false" ht="14.25" hidden="false" customHeight="false" outlineLevel="0" collapsed="false">
      <c r="A32" s="16" t="s">
        <v>847</v>
      </c>
      <c r="B32" s="17" t="s">
        <v>1430</v>
      </c>
      <c r="C32" s="17" t="str">
        <f aca="false">+VLOOKUP(B32,transacciones!$A$1:$I$39,2,FALSE())</f>
        <v>ATC01</v>
      </c>
      <c r="D32" s="17" t="str">
        <f aca="false">+VLOOKUP($B32,transacciones!$A$1:$I$39,4,FALSE())</f>
        <v>Producción de mercado</v>
      </c>
      <c r="E32" s="17" t="str">
        <f aca="false">+VLOOKUP($B32,transacciones!$A$1:$I$39,4,FALSE())</f>
        <v>Producción de mercado</v>
      </c>
      <c r="F32" s="17" t="n">
        <f aca="false">+VLOOKUP(B32,transacciones!$A$2:$I$39,5,FALSE())</f>
        <v>1</v>
      </c>
      <c r="G32" s="17" t="str">
        <f aca="false">+VLOOKUP(B32,transacciones!$A$2:$I$39,6,FALSE())</f>
        <v>P1</v>
      </c>
      <c r="H32" s="17" t="str">
        <f aca="false">+VLOOKUP(B32,transacciones!$A$1:$I$39,7,FALSE())</f>
        <v>Producción</v>
      </c>
      <c r="I32" s="1" t="s">
        <v>1494</v>
      </c>
      <c r="J32" s="1" t="s">
        <v>1495</v>
      </c>
      <c r="K32" s="18" t="s">
        <v>1467</v>
      </c>
      <c r="L32" s="18" t="str">
        <f aca="false">+VLOOKUP(K32,'Correl CIIU'!$A$1:$F$26,2,FALSE())</f>
        <v>Industrias manufactureras</v>
      </c>
      <c r="M32" s="18" t="str">
        <f aca="false">+VLOOKUP(K32,'Correl CIIU'!$A$1:$F$26,3,FALSE())</f>
        <v>Manufacturas</v>
      </c>
      <c r="N32" s="18" t="str">
        <f aca="false">+VLOOKUP(K32,'Correl CIIU'!$A$1:$F$26,4,FALSE())</f>
        <v>Manufacturing</v>
      </c>
      <c r="O32" s="18" t="n">
        <v>2</v>
      </c>
      <c r="P32" s="19" t="str">
        <f aca="false">+VLOOKUP(O32,bio!$A$2:$B$4,2,FALSE())</f>
        <v>Bioeconomía extendida</v>
      </c>
    </row>
    <row r="33" customFormat="false" ht="14.25" hidden="false" customHeight="false" outlineLevel="0" collapsed="false">
      <c r="A33" s="16" t="s">
        <v>849</v>
      </c>
      <c r="B33" s="17" t="s">
        <v>1430</v>
      </c>
      <c r="C33" s="17" t="str">
        <f aca="false">+VLOOKUP(B33,transacciones!$A$1:$I$39,2,FALSE())</f>
        <v>ATC01</v>
      </c>
      <c r="D33" s="17" t="str">
        <f aca="false">+VLOOKUP($B33,transacciones!$A$1:$I$39,4,FALSE())</f>
        <v>Producción de mercado</v>
      </c>
      <c r="E33" s="17" t="str">
        <f aca="false">+VLOOKUP($B33,transacciones!$A$1:$I$39,4,FALSE())</f>
        <v>Producción de mercado</v>
      </c>
      <c r="F33" s="17" t="n">
        <f aca="false">+VLOOKUP(B33,transacciones!$A$2:$I$39,5,FALSE())</f>
        <v>1</v>
      </c>
      <c r="G33" s="17" t="str">
        <f aca="false">+VLOOKUP(B33,transacciones!$A$2:$I$39,6,FALSE())</f>
        <v>P1</v>
      </c>
      <c r="H33" s="17" t="str">
        <f aca="false">+VLOOKUP(B33,transacciones!$A$1:$I$39,7,FALSE())</f>
        <v>Producción</v>
      </c>
      <c r="I33" s="1" t="s">
        <v>1496</v>
      </c>
      <c r="J33" s="1" t="s">
        <v>1497</v>
      </c>
      <c r="K33" s="18" t="s">
        <v>1467</v>
      </c>
      <c r="L33" s="18" t="str">
        <f aca="false">+VLOOKUP(K33,'Correl CIIU'!$A$1:$F$26,2,FALSE())</f>
        <v>Industrias manufactureras</v>
      </c>
      <c r="M33" s="18" t="str">
        <f aca="false">+VLOOKUP(K33,'Correl CIIU'!$A$1:$F$26,3,FALSE())</f>
        <v>Manufacturas</v>
      </c>
      <c r="N33" s="18" t="str">
        <f aca="false">+VLOOKUP(K33,'Correl CIIU'!$A$1:$F$26,4,FALSE())</f>
        <v>Manufacturing</v>
      </c>
      <c r="O33" s="18" t="n">
        <v>3</v>
      </c>
      <c r="P33" s="19" t="str">
        <f aca="false">+VLOOKUP(O33,bio!$A$2:$B$4,2,FALSE())</f>
        <v>No bioeconomía</v>
      </c>
    </row>
    <row r="34" customFormat="false" ht="14.25" hidden="false" customHeight="false" outlineLevel="0" collapsed="false">
      <c r="A34" s="16" t="s">
        <v>851</v>
      </c>
      <c r="B34" s="17" t="s">
        <v>1430</v>
      </c>
      <c r="C34" s="17" t="str">
        <f aca="false">+VLOOKUP(B34,transacciones!$A$1:$I$39,2,FALSE())</f>
        <v>ATC01</v>
      </c>
      <c r="D34" s="17" t="str">
        <f aca="false">+VLOOKUP($B34,transacciones!$A$1:$I$39,4,FALSE())</f>
        <v>Producción de mercado</v>
      </c>
      <c r="E34" s="17" t="str">
        <f aca="false">+VLOOKUP($B34,transacciones!$A$1:$I$39,4,FALSE())</f>
        <v>Producción de mercado</v>
      </c>
      <c r="F34" s="17" t="n">
        <f aca="false">+VLOOKUP(B34,transacciones!$A$2:$I$39,5,FALSE())</f>
        <v>1</v>
      </c>
      <c r="G34" s="17" t="str">
        <f aca="false">+VLOOKUP(B34,transacciones!$A$2:$I$39,6,FALSE())</f>
        <v>P1</v>
      </c>
      <c r="H34" s="17" t="str">
        <f aca="false">+VLOOKUP(B34,transacciones!$A$1:$I$39,7,FALSE())</f>
        <v>Producción</v>
      </c>
      <c r="I34" s="1" t="s">
        <v>1498</v>
      </c>
      <c r="J34" s="1" t="s">
        <v>1499</v>
      </c>
      <c r="K34" s="18" t="s">
        <v>1467</v>
      </c>
      <c r="L34" s="18" t="str">
        <f aca="false">+VLOOKUP(K34,'Correl CIIU'!$A$1:$F$26,2,FALSE())</f>
        <v>Industrias manufactureras</v>
      </c>
      <c r="M34" s="18" t="str">
        <f aca="false">+VLOOKUP(K34,'Correl CIIU'!$A$1:$F$26,3,FALSE())</f>
        <v>Manufacturas</v>
      </c>
      <c r="N34" s="18" t="str">
        <f aca="false">+VLOOKUP(K34,'Correl CIIU'!$A$1:$F$26,4,FALSE())</f>
        <v>Manufacturing</v>
      </c>
      <c r="O34" s="18" t="n">
        <v>3</v>
      </c>
      <c r="P34" s="19" t="str">
        <f aca="false">+VLOOKUP(O34,bio!$A$2:$B$4,2,FALSE())</f>
        <v>No bioeconomía</v>
      </c>
    </row>
    <row r="35" customFormat="false" ht="14.25" hidden="false" customHeight="false" outlineLevel="0" collapsed="false">
      <c r="A35" s="16" t="s">
        <v>853</v>
      </c>
      <c r="B35" s="17" t="s">
        <v>1430</v>
      </c>
      <c r="C35" s="17" t="str">
        <f aca="false">+VLOOKUP(B35,transacciones!$A$1:$I$39,2,FALSE())</f>
        <v>ATC01</v>
      </c>
      <c r="D35" s="17" t="str">
        <f aca="false">+VLOOKUP($B35,transacciones!$A$1:$I$39,4,FALSE())</f>
        <v>Producción de mercado</v>
      </c>
      <c r="E35" s="17" t="str">
        <f aca="false">+VLOOKUP($B35,transacciones!$A$1:$I$39,4,FALSE())</f>
        <v>Producción de mercado</v>
      </c>
      <c r="F35" s="17" t="n">
        <f aca="false">+VLOOKUP(B35,transacciones!$A$2:$I$39,5,FALSE())</f>
        <v>1</v>
      </c>
      <c r="G35" s="17" t="str">
        <f aca="false">+VLOOKUP(B35,transacciones!$A$2:$I$39,6,FALSE())</f>
        <v>P1</v>
      </c>
      <c r="H35" s="17" t="str">
        <f aca="false">+VLOOKUP(B35,transacciones!$A$1:$I$39,7,FALSE())</f>
        <v>Producción</v>
      </c>
      <c r="I35" s="1" t="s">
        <v>1500</v>
      </c>
      <c r="J35" s="1" t="s">
        <v>1501</v>
      </c>
      <c r="K35" s="18" t="s">
        <v>1467</v>
      </c>
      <c r="L35" s="18" t="str">
        <f aca="false">+VLOOKUP(K35,'Correl CIIU'!$A$1:$F$26,2,FALSE())</f>
        <v>Industrias manufactureras</v>
      </c>
      <c r="M35" s="18" t="str">
        <f aca="false">+VLOOKUP(K35,'Correl CIIU'!$A$1:$F$26,3,FALSE())</f>
        <v>Manufacturas</v>
      </c>
      <c r="N35" s="18" t="str">
        <f aca="false">+VLOOKUP(K35,'Correl CIIU'!$A$1:$F$26,4,FALSE())</f>
        <v>Manufacturing</v>
      </c>
      <c r="O35" s="18" t="n">
        <v>3</v>
      </c>
      <c r="P35" s="19" t="str">
        <f aca="false">+VLOOKUP(O35,bio!$A$2:$B$4,2,FALSE())</f>
        <v>No bioeconomía</v>
      </c>
    </row>
    <row r="36" customFormat="false" ht="14.25" hidden="false" customHeight="false" outlineLevel="0" collapsed="false">
      <c r="A36" s="16" t="s">
        <v>855</v>
      </c>
      <c r="B36" s="17" t="s">
        <v>1430</v>
      </c>
      <c r="C36" s="17" t="str">
        <f aca="false">+VLOOKUP(B36,transacciones!$A$1:$I$39,2,FALSE())</f>
        <v>ATC01</v>
      </c>
      <c r="D36" s="17" t="str">
        <f aca="false">+VLOOKUP($B36,transacciones!$A$1:$I$39,4,FALSE())</f>
        <v>Producción de mercado</v>
      </c>
      <c r="E36" s="17" t="str">
        <f aca="false">+VLOOKUP($B36,transacciones!$A$1:$I$39,4,FALSE())</f>
        <v>Producción de mercado</v>
      </c>
      <c r="F36" s="17" t="n">
        <f aca="false">+VLOOKUP(B36,transacciones!$A$2:$I$39,5,FALSE())</f>
        <v>1</v>
      </c>
      <c r="G36" s="17" t="str">
        <f aca="false">+VLOOKUP(B36,transacciones!$A$2:$I$39,6,FALSE())</f>
        <v>P1</v>
      </c>
      <c r="H36" s="17" t="str">
        <f aca="false">+VLOOKUP(B36,transacciones!$A$1:$I$39,7,FALSE())</f>
        <v>Producción</v>
      </c>
      <c r="I36" s="1" t="s">
        <v>1502</v>
      </c>
      <c r="J36" s="1" t="s">
        <v>1503</v>
      </c>
      <c r="K36" s="18" t="s">
        <v>1467</v>
      </c>
      <c r="L36" s="18" t="str">
        <f aca="false">+VLOOKUP(K36,'Correl CIIU'!$A$1:$F$26,2,FALSE())</f>
        <v>Industrias manufactureras</v>
      </c>
      <c r="M36" s="18" t="str">
        <f aca="false">+VLOOKUP(K36,'Correl CIIU'!$A$1:$F$26,3,FALSE())</f>
        <v>Manufacturas</v>
      </c>
      <c r="N36" s="18" t="str">
        <f aca="false">+VLOOKUP(K36,'Correl CIIU'!$A$1:$F$26,4,FALSE())</f>
        <v>Manufacturing</v>
      </c>
      <c r="O36" s="18" t="n">
        <v>3</v>
      </c>
      <c r="P36" s="19" t="str">
        <f aca="false">+VLOOKUP(O36,bio!$A$2:$B$4,2,FALSE())</f>
        <v>No bioeconomía</v>
      </c>
    </row>
    <row r="37" customFormat="false" ht="14.25" hidden="false" customHeight="false" outlineLevel="0" collapsed="false">
      <c r="A37" s="16" t="s">
        <v>857</v>
      </c>
      <c r="B37" s="17" t="s">
        <v>1430</v>
      </c>
      <c r="C37" s="17" t="str">
        <f aca="false">+VLOOKUP(B37,transacciones!$A$1:$I$39,2,FALSE())</f>
        <v>ATC01</v>
      </c>
      <c r="D37" s="17" t="str">
        <f aca="false">+VLOOKUP($B37,transacciones!$A$1:$I$39,4,FALSE())</f>
        <v>Producción de mercado</v>
      </c>
      <c r="E37" s="17" t="str">
        <f aca="false">+VLOOKUP($B37,transacciones!$A$1:$I$39,4,FALSE())</f>
        <v>Producción de mercado</v>
      </c>
      <c r="F37" s="17" t="n">
        <f aca="false">+VLOOKUP(B37,transacciones!$A$2:$I$39,5,FALSE())</f>
        <v>1</v>
      </c>
      <c r="G37" s="17" t="str">
        <f aca="false">+VLOOKUP(B37,transacciones!$A$2:$I$39,6,FALSE())</f>
        <v>P1</v>
      </c>
      <c r="H37" s="17" t="str">
        <f aca="false">+VLOOKUP(B37,transacciones!$A$1:$I$39,7,FALSE())</f>
        <v>Producción</v>
      </c>
      <c r="I37" s="1" t="s">
        <v>1504</v>
      </c>
      <c r="J37" s="1" t="s">
        <v>1505</v>
      </c>
      <c r="K37" s="18" t="s">
        <v>1467</v>
      </c>
      <c r="L37" s="18" t="str">
        <f aca="false">+VLOOKUP(K37,'Correl CIIU'!$A$1:$F$26,2,FALSE())</f>
        <v>Industrias manufactureras</v>
      </c>
      <c r="M37" s="18" t="str">
        <f aca="false">+VLOOKUP(K37,'Correl CIIU'!$A$1:$F$26,3,FALSE())</f>
        <v>Manufacturas</v>
      </c>
      <c r="N37" s="18" t="str">
        <f aca="false">+VLOOKUP(K37,'Correl CIIU'!$A$1:$F$26,4,FALSE())</f>
        <v>Manufacturing</v>
      </c>
      <c r="O37" s="18" t="n">
        <v>3</v>
      </c>
      <c r="P37" s="19" t="str">
        <f aca="false">+VLOOKUP(O37,bio!$A$2:$B$4,2,FALSE())</f>
        <v>No bioeconomía</v>
      </c>
    </row>
    <row r="38" customFormat="false" ht="14.25" hidden="false" customHeight="false" outlineLevel="0" collapsed="false">
      <c r="A38" s="16" t="s">
        <v>859</v>
      </c>
      <c r="B38" s="17" t="s">
        <v>1430</v>
      </c>
      <c r="C38" s="17" t="str">
        <f aca="false">+VLOOKUP(B38,transacciones!$A$1:$I$39,2,FALSE())</f>
        <v>ATC01</v>
      </c>
      <c r="D38" s="17" t="str">
        <f aca="false">+VLOOKUP($B38,transacciones!$A$1:$I$39,4,FALSE())</f>
        <v>Producción de mercado</v>
      </c>
      <c r="E38" s="17" t="str">
        <f aca="false">+VLOOKUP($B38,transacciones!$A$1:$I$39,4,FALSE())</f>
        <v>Producción de mercado</v>
      </c>
      <c r="F38" s="17" t="n">
        <f aca="false">+VLOOKUP(B38,transacciones!$A$2:$I$39,5,FALSE())</f>
        <v>1</v>
      </c>
      <c r="G38" s="17" t="str">
        <f aca="false">+VLOOKUP(B38,transacciones!$A$2:$I$39,6,FALSE())</f>
        <v>P1</v>
      </c>
      <c r="H38" s="17" t="str">
        <f aca="false">+VLOOKUP(B38,transacciones!$A$1:$I$39,7,FALSE())</f>
        <v>Producción</v>
      </c>
      <c r="I38" s="1" t="s">
        <v>1506</v>
      </c>
      <c r="J38" s="1" t="s">
        <v>1507</v>
      </c>
      <c r="K38" s="18" t="s">
        <v>1467</v>
      </c>
      <c r="L38" s="18" t="str">
        <f aca="false">+VLOOKUP(K38,'Correl CIIU'!$A$1:$F$26,2,FALSE())</f>
        <v>Industrias manufactureras</v>
      </c>
      <c r="M38" s="18" t="str">
        <f aca="false">+VLOOKUP(K38,'Correl CIIU'!$A$1:$F$26,3,FALSE())</f>
        <v>Manufacturas</v>
      </c>
      <c r="N38" s="18" t="str">
        <f aca="false">+VLOOKUP(K38,'Correl CIIU'!$A$1:$F$26,4,FALSE())</f>
        <v>Manufacturing</v>
      </c>
      <c r="O38" s="18" t="n">
        <v>3</v>
      </c>
      <c r="P38" s="19" t="str">
        <f aca="false">+VLOOKUP(O38,bio!$A$2:$B$4,2,FALSE())</f>
        <v>No bioeconomía</v>
      </c>
    </row>
    <row r="39" customFormat="false" ht="14.25" hidden="false" customHeight="false" outlineLevel="0" collapsed="false">
      <c r="A39" s="16" t="s">
        <v>861</v>
      </c>
      <c r="B39" s="17" t="s">
        <v>1430</v>
      </c>
      <c r="C39" s="17" t="str">
        <f aca="false">+VLOOKUP(B39,transacciones!$A$1:$I$39,2,FALSE())</f>
        <v>ATC01</v>
      </c>
      <c r="D39" s="17" t="str">
        <f aca="false">+VLOOKUP(B39,transacciones!$A$1:$I$39,3,FALSE())</f>
        <v>Producción / Consumo intermedio</v>
      </c>
      <c r="E39" s="17" t="str">
        <f aca="false">+VLOOKUP($B39,transacciones!$A$1:$I$39,4,FALSE())</f>
        <v>Producción de mercado</v>
      </c>
      <c r="F39" s="17" t="n">
        <f aca="false">+VLOOKUP(B39,transacciones!$A$2:$I$39,5,FALSE())</f>
        <v>1</v>
      </c>
      <c r="G39" s="17" t="str">
        <f aca="false">+VLOOKUP(B39,transacciones!$A$2:$I$39,6,FALSE())</f>
        <v>P1</v>
      </c>
      <c r="H39" s="17" t="str">
        <f aca="false">+VLOOKUP(B39,transacciones!$A$1:$I$39,7,FALSE())</f>
        <v>Producción</v>
      </c>
      <c r="I39" s="1" t="s">
        <v>1508</v>
      </c>
      <c r="J39" s="1" t="s">
        <v>1509</v>
      </c>
      <c r="K39" s="18" t="s">
        <v>1467</v>
      </c>
      <c r="L39" s="18" t="str">
        <f aca="false">+VLOOKUP(K39,'Correl CIIU'!$A$1:$F$26,2,FALSE())</f>
        <v>Industrias manufactureras</v>
      </c>
      <c r="M39" s="18" t="str">
        <f aca="false">+VLOOKUP(K39,'Correl CIIU'!$A$1:$F$26,3,FALSE())</f>
        <v>Manufacturas</v>
      </c>
      <c r="N39" s="18" t="str">
        <f aca="false">+VLOOKUP(K39,'Correl CIIU'!$A$1:$F$26,4,FALSE())</f>
        <v>Manufacturing</v>
      </c>
      <c r="O39" s="18" t="n">
        <v>3</v>
      </c>
      <c r="P39" s="19" t="str">
        <f aca="false">+VLOOKUP(O39,bio!$A$2:$B$4,2,FALSE())</f>
        <v>No bioeconomía</v>
      </c>
    </row>
    <row r="40" customFormat="false" ht="14.25" hidden="false" customHeight="false" outlineLevel="0" collapsed="false">
      <c r="A40" s="16" t="s">
        <v>863</v>
      </c>
      <c r="B40" s="17" t="s">
        <v>1430</v>
      </c>
      <c r="C40" s="17" t="str">
        <f aca="false">+VLOOKUP(B40,transacciones!$A$1:$I$39,2,FALSE())</f>
        <v>ATC01</v>
      </c>
      <c r="D40" s="17" t="str">
        <f aca="false">+VLOOKUP(B40,transacciones!$A$1:$I$39,3,FALSE())</f>
        <v>Producción / Consumo intermedio</v>
      </c>
      <c r="E40" s="17" t="str">
        <f aca="false">+VLOOKUP($B40,transacciones!$A$1:$I$39,4,FALSE())</f>
        <v>Producción de mercado</v>
      </c>
      <c r="F40" s="17" t="n">
        <f aca="false">+VLOOKUP(B40,transacciones!$A$2:$I$39,5,FALSE())</f>
        <v>1</v>
      </c>
      <c r="G40" s="17" t="str">
        <f aca="false">+VLOOKUP(B40,transacciones!$A$2:$I$39,6,FALSE())</f>
        <v>P1</v>
      </c>
      <c r="H40" s="17" t="str">
        <f aca="false">+VLOOKUP(B40,transacciones!$A$1:$I$39,7,FALSE())</f>
        <v>Producción</v>
      </c>
      <c r="I40" s="1" t="s">
        <v>1510</v>
      </c>
      <c r="J40" s="1" t="s">
        <v>1511</v>
      </c>
      <c r="K40" s="18" t="s">
        <v>1512</v>
      </c>
      <c r="L40" s="18" t="str">
        <f aca="false">+VLOOKUP(K40,'Correl CIIU'!$A$1:$F$26,2,FALSE())</f>
        <v>Suministro de electricidad, gas, vapor y aire acondicionado</v>
      </c>
      <c r="M40" s="18" t="str">
        <f aca="false">+VLOOKUP(K40,'Correl CIIU'!$A$1:$F$26,3,FALSE())</f>
        <v>Servicios básicos</v>
      </c>
      <c r="N40" s="18" t="str">
        <f aca="false">+VLOOKUP(K40,'Correl CIIU'!$A$1:$F$26,4,FALSE())</f>
        <v>Electricity, gas, steam and air conditioning supply</v>
      </c>
      <c r="O40" s="18" t="n">
        <v>3</v>
      </c>
      <c r="P40" s="19" t="str">
        <f aca="false">+VLOOKUP(O40,bio!$A$2:$B$4,2,FALSE())</f>
        <v>No bioeconomía</v>
      </c>
    </row>
    <row r="41" customFormat="false" ht="14.25" hidden="false" customHeight="false" outlineLevel="0" collapsed="false">
      <c r="A41" s="16" t="s">
        <v>865</v>
      </c>
      <c r="B41" s="17" t="s">
        <v>1430</v>
      </c>
      <c r="C41" s="17" t="str">
        <f aca="false">+VLOOKUP(B41,transacciones!$A$1:$I$39,2,FALSE())</f>
        <v>ATC01</v>
      </c>
      <c r="D41" s="17" t="str">
        <f aca="false">+VLOOKUP(B41,transacciones!$A$1:$I$39,3,FALSE())</f>
        <v>Producción / Consumo intermedio</v>
      </c>
      <c r="E41" s="17" t="str">
        <f aca="false">+VLOOKUP($B41,transacciones!$A$1:$I$39,4,FALSE())</f>
        <v>Producción de mercado</v>
      </c>
      <c r="F41" s="17" t="n">
        <f aca="false">+VLOOKUP(B41,transacciones!$A$2:$I$39,5,FALSE())</f>
        <v>1</v>
      </c>
      <c r="G41" s="17" t="str">
        <f aca="false">+VLOOKUP(B41,transacciones!$A$2:$I$39,6,FALSE())</f>
        <v>P1</v>
      </c>
      <c r="H41" s="17" t="str">
        <f aca="false">+VLOOKUP(B41,transacciones!$A$1:$I$39,7,FALSE())</f>
        <v>Producción</v>
      </c>
      <c r="I41" s="1" t="s">
        <v>1513</v>
      </c>
      <c r="J41" s="1" t="s">
        <v>1514</v>
      </c>
      <c r="K41" s="18" t="s">
        <v>1515</v>
      </c>
      <c r="L41" s="18" t="str">
        <f aca="false">+VLOOKUP(K41,'Correl CIIU'!$A$1:$F$26,2,FALSE())</f>
        <v>Suministro de agua; evacuación de aguas residuales, gestión de desechos y descontaminación</v>
      </c>
      <c r="M41" s="18" t="str">
        <f aca="false">+VLOOKUP(K41,'Correl CIIU'!$A$1:$F$26,3,FALSE())</f>
        <v>Suministro de agua</v>
      </c>
      <c r="N41" s="18" t="str">
        <f aca="false">+VLOOKUP(K41,'Correl CIIU'!$A$1:$F$26,4,FALSE())</f>
        <v>Water supply; sewerage, waste management and remediation activities</v>
      </c>
      <c r="O41" s="18" t="n">
        <v>3</v>
      </c>
      <c r="P41" s="19" t="str">
        <f aca="false">+VLOOKUP(O41,bio!$A$2:$B$4,2,FALSE())</f>
        <v>No bioeconomía</v>
      </c>
    </row>
    <row r="42" customFormat="false" ht="14.25" hidden="false" customHeight="false" outlineLevel="0" collapsed="false">
      <c r="A42" s="16" t="s">
        <v>867</v>
      </c>
      <c r="B42" s="17" t="s">
        <v>1430</v>
      </c>
      <c r="C42" s="17" t="str">
        <f aca="false">+VLOOKUP(B42,transacciones!$A$1:$I$39,2,FALSE())</f>
        <v>ATC01</v>
      </c>
      <c r="D42" s="17" t="str">
        <f aca="false">+VLOOKUP($B42,transacciones!$A$1:$I$39,4,FALSE())</f>
        <v>Producción de mercado</v>
      </c>
      <c r="E42" s="17" t="str">
        <f aca="false">+VLOOKUP($B42,transacciones!$A$1:$I$39,4,FALSE())</f>
        <v>Producción de mercado</v>
      </c>
      <c r="F42" s="17" t="n">
        <f aca="false">+VLOOKUP(B42,transacciones!$A$2:$I$39,5,FALSE())</f>
        <v>1</v>
      </c>
      <c r="G42" s="17" t="str">
        <f aca="false">+VLOOKUP(B42,transacciones!$A$2:$I$39,6,FALSE())</f>
        <v>P1</v>
      </c>
      <c r="H42" s="17" t="str">
        <f aca="false">+VLOOKUP(B42,transacciones!$A$1:$I$39,7,FALSE())</f>
        <v>Producción</v>
      </c>
      <c r="I42" s="1" t="s">
        <v>1516</v>
      </c>
      <c r="J42" s="1" t="s">
        <v>1517</v>
      </c>
      <c r="K42" s="18" t="s">
        <v>1515</v>
      </c>
      <c r="L42" s="18" t="str">
        <f aca="false">+VLOOKUP(K42,'Correl CIIU'!$A$1:$F$26,2,FALSE())</f>
        <v>Suministro de agua; evacuación de aguas residuales, gestión de desechos y descontaminación</v>
      </c>
      <c r="M42" s="18" t="str">
        <f aca="false">+VLOOKUP(K42,'Correl CIIU'!$A$1:$F$26,3,FALSE())</f>
        <v>Suministro de agua</v>
      </c>
      <c r="N42" s="18" t="str">
        <f aca="false">+VLOOKUP(K42,'Correl CIIU'!$A$1:$F$26,4,FALSE())</f>
        <v>Water supply; sewerage, waste management and remediation activities</v>
      </c>
      <c r="O42" s="18" t="n">
        <v>2</v>
      </c>
      <c r="P42" s="19" t="str">
        <f aca="false">+VLOOKUP(O42,bio!$A$2:$B$4,2,FALSE())</f>
        <v>Bioeconomía extendida</v>
      </c>
    </row>
    <row r="43" customFormat="false" ht="14.25" hidden="false" customHeight="false" outlineLevel="0" collapsed="false">
      <c r="A43" s="16" t="s">
        <v>869</v>
      </c>
      <c r="B43" s="17" t="s">
        <v>1430</v>
      </c>
      <c r="C43" s="17" t="str">
        <f aca="false">+VLOOKUP(B43,transacciones!$A$1:$I$39,2,FALSE())</f>
        <v>ATC01</v>
      </c>
      <c r="D43" s="17" t="str">
        <f aca="false">+VLOOKUP($B43,transacciones!$A$1:$I$39,4,FALSE())</f>
        <v>Producción de mercado</v>
      </c>
      <c r="E43" s="17" t="str">
        <f aca="false">+VLOOKUP($B43,transacciones!$A$1:$I$39,4,FALSE())</f>
        <v>Producción de mercado</v>
      </c>
      <c r="F43" s="17" t="n">
        <f aca="false">+VLOOKUP(B43,transacciones!$A$2:$I$39,5,FALSE())</f>
        <v>1</v>
      </c>
      <c r="G43" s="17" t="str">
        <f aca="false">+VLOOKUP(B43,transacciones!$A$2:$I$39,6,FALSE())</f>
        <v>P1</v>
      </c>
      <c r="H43" s="17" t="str">
        <f aca="false">+VLOOKUP(B43,transacciones!$A$1:$I$39,7,FALSE())</f>
        <v>Producción</v>
      </c>
      <c r="I43" s="1" t="s">
        <v>1518</v>
      </c>
      <c r="J43" s="1" t="s">
        <v>1519</v>
      </c>
      <c r="K43" s="18" t="s">
        <v>1520</v>
      </c>
      <c r="L43" s="18" t="str">
        <f aca="false">+VLOOKUP(K43,'Correl CIIU'!$A$1:$F$26,2,FALSE())</f>
        <v>Construcción</v>
      </c>
      <c r="M43" s="18" t="str">
        <f aca="false">+VLOOKUP(K43,'Correl CIIU'!$A$1:$F$26,3,FALSE())</f>
        <v>Construcción</v>
      </c>
      <c r="N43" s="18" t="str">
        <f aca="false">+VLOOKUP(K43,'Correl CIIU'!$A$1:$F$26,4,FALSE())</f>
        <v>Construction</v>
      </c>
      <c r="O43" s="18" t="n">
        <v>3</v>
      </c>
      <c r="P43" s="19" t="str">
        <f aca="false">+VLOOKUP(O43,bio!$A$2:$B$4,2,FALSE())</f>
        <v>No bioeconomía</v>
      </c>
    </row>
    <row r="44" customFormat="false" ht="14.25" hidden="false" customHeight="false" outlineLevel="0" collapsed="false">
      <c r="A44" s="16" t="s">
        <v>871</v>
      </c>
      <c r="B44" s="17" t="s">
        <v>1430</v>
      </c>
      <c r="C44" s="17" t="str">
        <f aca="false">+VLOOKUP(B44,transacciones!$A$1:$I$39,2,FALSE())</f>
        <v>ATC01</v>
      </c>
      <c r="D44" s="17" t="str">
        <f aca="false">+VLOOKUP($B44,transacciones!$A$1:$I$39,4,FALSE())</f>
        <v>Producción de mercado</v>
      </c>
      <c r="E44" s="17" t="str">
        <f aca="false">+VLOOKUP($B44,transacciones!$A$1:$I$39,4,FALSE())</f>
        <v>Producción de mercado</v>
      </c>
      <c r="F44" s="17" t="n">
        <f aca="false">+VLOOKUP(B44,transacciones!$A$2:$I$39,5,FALSE())</f>
        <v>1</v>
      </c>
      <c r="G44" s="17" t="str">
        <f aca="false">+VLOOKUP(B44,transacciones!$A$2:$I$39,6,FALSE())</f>
        <v>P1</v>
      </c>
      <c r="H44" s="17" t="str">
        <f aca="false">+VLOOKUP(B44,transacciones!$A$1:$I$39,7,FALSE())</f>
        <v>Producción</v>
      </c>
      <c r="I44" s="1" t="s">
        <v>1521</v>
      </c>
      <c r="J44" s="1" t="s">
        <v>1522</v>
      </c>
      <c r="K44" s="18" t="s">
        <v>1523</v>
      </c>
      <c r="L44" s="18" t="str">
        <f aca="false">+VLOOKUP(K44,'Correl CIIU'!$A$1:$F$26,2,FALSE())</f>
        <v>Comercio al por mayor y al por menor; reparación de vehículos automotores y motocicletas</v>
      </c>
      <c r="M44" s="18" t="str">
        <f aca="false">+VLOOKUP(K44,'Correl CIIU'!$A$1:$F$26,3,FALSE())</f>
        <v>Comercio</v>
      </c>
      <c r="N44" s="18" t="str">
        <f aca="false">+VLOOKUP(K44,'Correl CIIU'!$A$1:$F$26,4,FALSE())</f>
        <v>Wholesale and retail trade; repair of motor vehicles and motorcycles</v>
      </c>
      <c r="O44" s="18" t="n">
        <v>3</v>
      </c>
      <c r="P44" s="19" t="str">
        <f aca="false">+VLOOKUP(O44,bio!$A$2:$B$4,2,FALSE())</f>
        <v>No bioeconomía</v>
      </c>
    </row>
    <row r="45" customFormat="false" ht="14.25" hidden="false" customHeight="false" outlineLevel="0" collapsed="false">
      <c r="A45" s="16" t="s">
        <v>873</v>
      </c>
      <c r="B45" s="17" t="s">
        <v>1430</v>
      </c>
      <c r="C45" s="17" t="str">
        <f aca="false">+VLOOKUP(B45,transacciones!$A$1:$I$39,2,FALSE())</f>
        <v>ATC01</v>
      </c>
      <c r="D45" s="17" t="str">
        <f aca="false">+VLOOKUP($B45,transacciones!$A$1:$I$39,4,FALSE())</f>
        <v>Producción de mercado</v>
      </c>
      <c r="E45" s="17" t="str">
        <f aca="false">+VLOOKUP($B45,transacciones!$A$1:$I$39,4,FALSE())</f>
        <v>Producción de mercado</v>
      </c>
      <c r="F45" s="17" t="n">
        <f aca="false">+VLOOKUP(B45,transacciones!$A$2:$I$39,5,FALSE())</f>
        <v>1</v>
      </c>
      <c r="G45" s="17" t="str">
        <f aca="false">+VLOOKUP(B45,transacciones!$A$2:$I$39,6,FALSE())</f>
        <v>P1</v>
      </c>
      <c r="H45" s="17" t="str">
        <f aca="false">+VLOOKUP(B45,transacciones!$A$1:$I$39,7,FALSE())</f>
        <v>Producción</v>
      </c>
      <c r="I45" s="1" t="s">
        <v>1524</v>
      </c>
      <c r="J45" s="1" t="s">
        <v>1525</v>
      </c>
      <c r="K45" s="18" t="s">
        <v>1523</v>
      </c>
      <c r="L45" s="18" t="str">
        <f aca="false">+VLOOKUP(K45,'Correl CIIU'!$A$1:$F$26,2,FALSE())</f>
        <v>Comercio al por mayor y al por menor; reparación de vehículos automotores y motocicletas</v>
      </c>
      <c r="M45" s="18" t="str">
        <f aca="false">+VLOOKUP(K45,'Correl CIIU'!$A$1:$F$26,3,FALSE())</f>
        <v>Comercio</v>
      </c>
      <c r="N45" s="18" t="str">
        <f aca="false">+VLOOKUP(K45,'Correl CIIU'!$A$1:$F$26,4,FALSE())</f>
        <v>Wholesale and retail trade; repair of motor vehicles and motorcycles</v>
      </c>
      <c r="O45" s="18" t="n">
        <v>3</v>
      </c>
      <c r="P45" s="19" t="str">
        <f aca="false">+VLOOKUP(O45,bio!$A$2:$B$4,2,FALSE())</f>
        <v>No bioeconomía</v>
      </c>
    </row>
    <row r="46" customFormat="false" ht="14.25" hidden="false" customHeight="false" outlineLevel="0" collapsed="false">
      <c r="A46" s="16" t="s">
        <v>875</v>
      </c>
      <c r="B46" s="17" t="s">
        <v>1430</v>
      </c>
      <c r="C46" s="17" t="str">
        <f aca="false">+VLOOKUP(B46,transacciones!$A$1:$I$39,2,FALSE())</f>
        <v>ATC01</v>
      </c>
      <c r="D46" s="17" t="str">
        <f aca="false">+VLOOKUP($B46,transacciones!$A$1:$I$39,4,FALSE())</f>
        <v>Producción de mercado</v>
      </c>
      <c r="E46" s="17" t="str">
        <f aca="false">+VLOOKUP($B46,transacciones!$A$1:$I$39,4,FALSE())</f>
        <v>Producción de mercado</v>
      </c>
      <c r="F46" s="17" t="n">
        <f aca="false">+VLOOKUP(B46,transacciones!$A$2:$I$39,5,FALSE())</f>
        <v>1</v>
      </c>
      <c r="G46" s="17" t="str">
        <f aca="false">+VLOOKUP(B46,transacciones!$A$2:$I$39,6,FALSE())</f>
        <v>P1</v>
      </c>
      <c r="H46" s="17" t="str">
        <f aca="false">+VLOOKUP(B46,transacciones!$A$1:$I$39,7,FALSE())</f>
        <v>Producción</v>
      </c>
      <c r="I46" s="1" t="s">
        <v>1526</v>
      </c>
      <c r="J46" s="1" t="s">
        <v>1527</v>
      </c>
      <c r="K46" s="18" t="s">
        <v>1523</v>
      </c>
      <c r="L46" s="18" t="str">
        <f aca="false">+VLOOKUP(K46,'Correl CIIU'!$A$1:$F$26,2,FALSE())</f>
        <v>Comercio al por mayor y al por menor; reparación de vehículos automotores y motocicletas</v>
      </c>
      <c r="M46" s="18" t="str">
        <f aca="false">+VLOOKUP(K46,'Correl CIIU'!$A$1:$F$26,3,FALSE())</f>
        <v>Comercio</v>
      </c>
      <c r="N46" s="18" t="str">
        <f aca="false">+VLOOKUP(K46,'Correl CIIU'!$A$1:$F$26,4,FALSE())</f>
        <v>Wholesale and retail trade; repair of motor vehicles and motorcycles</v>
      </c>
      <c r="O46" s="18" t="n">
        <v>3</v>
      </c>
      <c r="P46" s="19" t="str">
        <f aca="false">+VLOOKUP(O46,bio!$A$2:$B$4,2,FALSE())</f>
        <v>No bioeconomía</v>
      </c>
    </row>
    <row r="47" customFormat="false" ht="14.25" hidden="false" customHeight="false" outlineLevel="0" collapsed="false">
      <c r="A47" s="16" t="s">
        <v>877</v>
      </c>
      <c r="B47" s="17" t="s">
        <v>1430</v>
      </c>
      <c r="C47" s="17" t="str">
        <f aca="false">+VLOOKUP(B47,transacciones!$A$1:$I$39,2,FALSE())</f>
        <v>ATC01</v>
      </c>
      <c r="D47" s="17" t="str">
        <f aca="false">+VLOOKUP($B47,transacciones!$A$1:$I$39,4,FALSE())</f>
        <v>Producción de mercado</v>
      </c>
      <c r="E47" s="17" t="str">
        <f aca="false">+VLOOKUP($B47,transacciones!$A$1:$I$39,4,FALSE())</f>
        <v>Producción de mercado</v>
      </c>
      <c r="F47" s="17" t="n">
        <f aca="false">+VLOOKUP(B47,transacciones!$A$2:$I$39,5,FALSE())</f>
        <v>1</v>
      </c>
      <c r="G47" s="17" t="str">
        <f aca="false">+VLOOKUP(B47,transacciones!$A$2:$I$39,6,FALSE())</f>
        <v>P1</v>
      </c>
      <c r="H47" s="17" t="str">
        <f aca="false">+VLOOKUP(B47,transacciones!$A$1:$I$39,7,FALSE())</f>
        <v>Producción</v>
      </c>
      <c r="I47" s="1" t="s">
        <v>1528</v>
      </c>
      <c r="J47" s="1" t="s">
        <v>1529</v>
      </c>
      <c r="K47" s="18" t="s">
        <v>1530</v>
      </c>
      <c r="L47" s="18" t="str">
        <f aca="false">+VLOOKUP(K47,'Correl CIIU'!$A$1:$F$26,2,FALSE())</f>
        <v>Transporte y almacenamiento</v>
      </c>
      <c r="M47" s="18" t="str">
        <f aca="false">+VLOOKUP(K47,'Correl CIIU'!$A$1:$F$26,3,FALSE())</f>
        <v>Transporte y almacenamiento</v>
      </c>
      <c r="N47" s="18" t="str">
        <f aca="false">+VLOOKUP(K47,'Correl CIIU'!$A$1:$F$26,4,FALSE())</f>
        <v>Transportation and storage</v>
      </c>
      <c r="O47" s="18" t="n">
        <v>3</v>
      </c>
      <c r="P47" s="19" t="str">
        <f aca="false">+VLOOKUP(O47,bio!$A$2:$B$4,2,FALSE())</f>
        <v>No bioeconomía</v>
      </c>
    </row>
    <row r="48" customFormat="false" ht="14.25" hidden="false" customHeight="false" outlineLevel="0" collapsed="false">
      <c r="A48" s="16" t="s">
        <v>879</v>
      </c>
      <c r="B48" s="17" t="s">
        <v>1430</v>
      </c>
      <c r="C48" s="17" t="str">
        <f aca="false">+VLOOKUP(B48,transacciones!$A$1:$I$39,2,FALSE())</f>
        <v>ATC01</v>
      </c>
      <c r="D48" s="17" t="str">
        <f aca="false">+VLOOKUP($B48,transacciones!$A$1:$I$39,4,FALSE())</f>
        <v>Producción de mercado</v>
      </c>
      <c r="E48" s="17" t="str">
        <f aca="false">+VLOOKUP($B48,transacciones!$A$1:$I$39,4,FALSE())</f>
        <v>Producción de mercado</v>
      </c>
      <c r="F48" s="17" t="n">
        <f aca="false">+VLOOKUP(B48,transacciones!$A$2:$I$39,5,FALSE())</f>
        <v>1</v>
      </c>
      <c r="G48" s="17" t="str">
        <f aca="false">+VLOOKUP(B48,transacciones!$A$2:$I$39,6,FALSE())</f>
        <v>P1</v>
      </c>
      <c r="H48" s="17" t="str">
        <f aca="false">+VLOOKUP(B48,transacciones!$A$1:$I$39,7,FALSE())</f>
        <v>Producción</v>
      </c>
      <c r="I48" s="1" t="s">
        <v>1531</v>
      </c>
      <c r="J48" s="1" t="s">
        <v>1532</v>
      </c>
      <c r="K48" s="18" t="s">
        <v>1530</v>
      </c>
      <c r="L48" s="18" t="str">
        <f aca="false">+VLOOKUP(K48,'Correl CIIU'!$A$1:$F$26,2,FALSE())</f>
        <v>Transporte y almacenamiento</v>
      </c>
      <c r="M48" s="18" t="str">
        <f aca="false">+VLOOKUP(K48,'Correl CIIU'!$A$1:$F$26,3,FALSE())</f>
        <v>Transporte y almacenamiento</v>
      </c>
      <c r="N48" s="18" t="str">
        <f aca="false">+VLOOKUP(K48,'Correl CIIU'!$A$1:$F$26,4,FALSE())</f>
        <v>Transportation and storage</v>
      </c>
      <c r="O48" s="18" t="n">
        <v>3</v>
      </c>
      <c r="P48" s="19" t="str">
        <f aca="false">+VLOOKUP(O48,bio!$A$2:$B$4,2,FALSE())</f>
        <v>No bioeconomía</v>
      </c>
    </row>
    <row r="49" customFormat="false" ht="14.25" hidden="false" customHeight="false" outlineLevel="0" collapsed="false">
      <c r="A49" s="16" t="s">
        <v>881</v>
      </c>
      <c r="B49" s="17" t="s">
        <v>1430</v>
      </c>
      <c r="C49" s="17" t="str">
        <f aca="false">+VLOOKUP(B49,transacciones!$A$1:$I$39,2,FALSE())</f>
        <v>ATC01</v>
      </c>
      <c r="D49" s="17" t="str">
        <f aca="false">+VLOOKUP($B49,transacciones!$A$1:$I$39,4,FALSE())</f>
        <v>Producción de mercado</v>
      </c>
      <c r="E49" s="17" t="str">
        <f aca="false">+VLOOKUP($B49,transacciones!$A$1:$I$39,4,FALSE())</f>
        <v>Producción de mercado</v>
      </c>
      <c r="F49" s="17" t="n">
        <f aca="false">+VLOOKUP(B49,transacciones!$A$2:$I$39,5,FALSE())</f>
        <v>1</v>
      </c>
      <c r="G49" s="17" t="str">
        <f aca="false">+VLOOKUP(B49,transacciones!$A$2:$I$39,6,FALSE())</f>
        <v>P1</v>
      </c>
      <c r="H49" s="17" t="str">
        <f aca="false">+VLOOKUP(B49,transacciones!$A$1:$I$39,7,FALSE())</f>
        <v>Producción</v>
      </c>
      <c r="I49" s="1" t="n">
        <v>39.2</v>
      </c>
      <c r="J49" s="1" t="s">
        <v>1533</v>
      </c>
      <c r="K49" s="18" t="s">
        <v>1530</v>
      </c>
      <c r="L49" s="18" t="str">
        <f aca="false">+VLOOKUP(K49,'Correl CIIU'!$A$1:$F$26,2,FALSE())</f>
        <v>Transporte y almacenamiento</v>
      </c>
      <c r="M49" s="18" t="str">
        <f aca="false">+VLOOKUP(K49,'Correl CIIU'!$A$1:$F$26,3,FALSE())</f>
        <v>Transporte y almacenamiento</v>
      </c>
      <c r="N49" s="18" t="str">
        <f aca="false">+VLOOKUP(K49,'Correl CIIU'!$A$1:$F$26,4,FALSE())</f>
        <v>Transportation and storage</v>
      </c>
      <c r="O49" s="18" t="n">
        <v>3</v>
      </c>
      <c r="P49" s="19" t="str">
        <f aca="false">+VLOOKUP(O49,bio!$A$2:$B$4,2,FALSE())</f>
        <v>No bioeconomía</v>
      </c>
    </row>
    <row r="50" customFormat="false" ht="14.25" hidden="false" customHeight="false" outlineLevel="0" collapsed="false">
      <c r="A50" s="16" t="s">
        <v>883</v>
      </c>
      <c r="B50" s="17" t="s">
        <v>1430</v>
      </c>
      <c r="C50" s="17" t="str">
        <f aca="false">+VLOOKUP(B50,transacciones!$A$1:$I$39,2,FALSE())</f>
        <v>ATC01</v>
      </c>
      <c r="D50" s="17" t="str">
        <f aca="false">+VLOOKUP($B50,transacciones!$A$1:$I$39,4,FALSE())</f>
        <v>Producción de mercado</v>
      </c>
      <c r="E50" s="17" t="str">
        <f aca="false">+VLOOKUP($B50,transacciones!$A$1:$I$39,4,FALSE())</f>
        <v>Producción de mercado</v>
      </c>
      <c r="F50" s="17" t="n">
        <f aca="false">+VLOOKUP(B50,transacciones!$A$2:$I$39,5,FALSE())</f>
        <v>1</v>
      </c>
      <c r="G50" s="17" t="str">
        <f aca="false">+VLOOKUP(B50,transacciones!$A$2:$I$39,6,FALSE())</f>
        <v>P1</v>
      </c>
      <c r="H50" s="17" t="str">
        <f aca="false">+VLOOKUP(B50,transacciones!$A$1:$I$39,7,FALSE())</f>
        <v>Producción</v>
      </c>
      <c r="I50" s="1" t="s">
        <v>1534</v>
      </c>
      <c r="J50" s="1" t="s">
        <v>1535</v>
      </c>
      <c r="K50" s="18" t="s">
        <v>1530</v>
      </c>
      <c r="L50" s="18" t="str">
        <f aca="false">+VLOOKUP(K50,'Correl CIIU'!$A$1:$F$26,2,FALSE())</f>
        <v>Transporte y almacenamiento</v>
      </c>
      <c r="M50" s="18" t="str">
        <f aca="false">+VLOOKUP(K50,'Correl CIIU'!$A$1:$F$26,3,FALSE())</f>
        <v>Transporte y almacenamiento</v>
      </c>
      <c r="N50" s="18" t="str">
        <f aca="false">+VLOOKUP(K50,'Correl CIIU'!$A$1:$F$26,4,FALSE())</f>
        <v>Transportation and storage</v>
      </c>
      <c r="O50" s="18" t="n">
        <v>3</v>
      </c>
      <c r="P50" s="19" t="str">
        <f aca="false">+VLOOKUP(O50,bio!$A$2:$B$4,2,FALSE())</f>
        <v>No bioeconomía</v>
      </c>
    </row>
    <row r="51" customFormat="false" ht="14.25" hidden="false" customHeight="false" outlineLevel="0" collapsed="false">
      <c r="A51" s="16" t="s">
        <v>885</v>
      </c>
      <c r="B51" s="17" t="s">
        <v>1430</v>
      </c>
      <c r="C51" s="17" t="str">
        <f aca="false">+VLOOKUP(B51,transacciones!$A$1:$I$39,2,FALSE())</f>
        <v>ATC01</v>
      </c>
      <c r="D51" s="17" t="str">
        <f aca="false">+VLOOKUP(B51,transacciones!$A$1:$I$39,3,FALSE())</f>
        <v>Producción / Consumo intermedio</v>
      </c>
      <c r="E51" s="17" t="str">
        <f aca="false">+VLOOKUP($B51,transacciones!$A$1:$I$39,4,FALSE())</f>
        <v>Producción de mercado</v>
      </c>
      <c r="F51" s="17" t="n">
        <f aca="false">+VLOOKUP(B51,transacciones!$A$2:$I$39,5,FALSE())</f>
        <v>1</v>
      </c>
      <c r="G51" s="17" t="str">
        <f aca="false">+VLOOKUP(B51,transacciones!$A$2:$I$39,6,FALSE())</f>
        <v>P1</v>
      </c>
      <c r="H51" s="17" t="str">
        <f aca="false">+VLOOKUP(B51,transacciones!$A$1:$I$39,7,FALSE())</f>
        <v>Producción</v>
      </c>
      <c r="I51" s="1" t="s">
        <v>1536</v>
      </c>
      <c r="J51" s="1" t="s">
        <v>1537</v>
      </c>
      <c r="K51" s="18" t="s">
        <v>1530</v>
      </c>
      <c r="L51" s="18" t="str">
        <f aca="false">+VLOOKUP(K51,'Correl CIIU'!$A$1:$F$26,2,FALSE())</f>
        <v>Transporte y almacenamiento</v>
      </c>
      <c r="M51" s="18" t="str">
        <f aca="false">+VLOOKUP(K51,'Correl CIIU'!$A$1:$F$26,3,FALSE())</f>
        <v>Transporte y almacenamiento</v>
      </c>
      <c r="N51" s="18" t="str">
        <f aca="false">+VLOOKUP(K51,'Correl CIIU'!$A$1:$F$26,4,FALSE())</f>
        <v>Transportation and storage</v>
      </c>
      <c r="O51" s="18" t="n">
        <v>3</v>
      </c>
      <c r="P51" s="19" t="str">
        <f aca="false">+VLOOKUP(O51,bio!$A$2:$B$4,2,FALSE())</f>
        <v>No bioeconomía</v>
      </c>
    </row>
    <row r="52" customFormat="false" ht="14.25" hidden="false" customHeight="false" outlineLevel="0" collapsed="false">
      <c r="A52" s="16" t="s">
        <v>887</v>
      </c>
      <c r="B52" s="17" t="s">
        <v>1430</v>
      </c>
      <c r="C52" s="17" t="str">
        <f aca="false">+VLOOKUP(B52,transacciones!$A$1:$I$39,2,FALSE())</f>
        <v>ATC01</v>
      </c>
      <c r="D52" s="17" t="str">
        <f aca="false">+VLOOKUP(B52,transacciones!$A$1:$I$39,3,FALSE())</f>
        <v>Producción / Consumo intermedio</v>
      </c>
      <c r="E52" s="17" t="str">
        <f aca="false">+VLOOKUP($B52,transacciones!$A$1:$I$39,4,FALSE())</f>
        <v>Producción de mercado</v>
      </c>
      <c r="F52" s="17" t="n">
        <f aca="false">+VLOOKUP(B52,transacciones!$A$2:$I$39,5,FALSE())</f>
        <v>1</v>
      </c>
      <c r="G52" s="17" t="str">
        <f aca="false">+VLOOKUP(B52,transacciones!$A$2:$I$39,6,FALSE())</f>
        <v>P1</v>
      </c>
      <c r="H52" s="17" t="str">
        <f aca="false">+VLOOKUP(B52,transacciones!$A$1:$I$39,7,FALSE())</f>
        <v>Producción</v>
      </c>
      <c r="I52" s="1" t="s">
        <v>1538</v>
      </c>
      <c r="J52" s="1" t="s">
        <v>1539</v>
      </c>
      <c r="K52" s="18" t="s">
        <v>1530</v>
      </c>
      <c r="L52" s="18" t="str">
        <f aca="false">+VLOOKUP(K52,'Correl CIIU'!$A$1:$F$26,2,FALSE())</f>
        <v>Transporte y almacenamiento</v>
      </c>
      <c r="M52" s="18" t="str">
        <f aca="false">+VLOOKUP(K52,'Correl CIIU'!$A$1:$F$26,3,FALSE())</f>
        <v>Transporte y almacenamiento</v>
      </c>
      <c r="N52" s="18" t="str">
        <f aca="false">+VLOOKUP(K52,'Correl CIIU'!$A$1:$F$26,4,FALSE())</f>
        <v>Transportation and storage</v>
      </c>
      <c r="O52" s="18" t="n">
        <v>3</v>
      </c>
      <c r="P52" s="19" t="str">
        <f aca="false">+VLOOKUP(O52,bio!$A$2:$B$4,2,FALSE())</f>
        <v>No bioeconomía</v>
      </c>
    </row>
    <row r="53" customFormat="false" ht="14.25" hidden="false" customHeight="false" outlineLevel="0" collapsed="false">
      <c r="A53" s="16" t="s">
        <v>889</v>
      </c>
      <c r="B53" s="17" t="s">
        <v>1430</v>
      </c>
      <c r="C53" s="17" t="str">
        <f aca="false">+VLOOKUP(B53,transacciones!$A$1:$I$39,2,FALSE())</f>
        <v>ATC01</v>
      </c>
      <c r="D53" s="17" t="str">
        <f aca="false">+VLOOKUP(B53,transacciones!$A$1:$I$39,3,FALSE())</f>
        <v>Producción / Consumo intermedio</v>
      </c>
      <c r="E53" s="17" t="str">
        <f aca="false">+VLOOKUP($B53,transacciones!$A$1:$I$39,4,FALSE())</f>
        <v>Producción de mercado</v>
      </c>
      <c r="F53" s="17" t="n">
        <f aca="false">+VLOOKUP(B53,transacciones!$A$2:$I$39,5,FALSE())</f>
        <v>1</v>
      </c>
      <c r="G53" s="17" t="str">
        <f aca="false">+VLOOKUP(B53,transacciones!$A$2:$I$39,6,FALSE())</f>
        <v>P1</v>
      </c>
      <c r="H53" s="17" t="str">
        <f aca="false">+VLOOKUP(B53,transacciones!$A$1:$I$39,7,FALSE())</f>
        <v>Producción</v>
      </c>
      <c r="I53" s="1" t="s">
        <v>1540</v>
      </c>
      <c r="J53" s="1" t="s">
        <v>1541</v>
      </c>
      <c r="K53" s="18" t="s">
        <v>1530</v>
      </c>
      <c r="L53" s="18" t="str">
        <f aca="false">+VLOOKUP(K53,'Correl CIIU'!$A$1:$F$26,2,FALSE())</f>
        <v>Transporte y almacenamiento</v>
      </c>
      <c r="M53" s="18" t="str">
        <f aca="false">+VLOOKUP(K53,'Correl CIIU'!$A$1:$F$26,3,FALSE())</f>
        <v>Transporte y almacenamiento</v>
      </c>
      <c r="N53" s="18" t="str">
        <f aca="false">+VLOOKUP(K53,'Correl CIIU'!$A$1:$F$26,4,FALSE())</f>
        <v>Transportation and storage</v>
      </c>
      <c r="O53" s="18" t="n">
        <v>3</v>
      </c>
      <c r="P53" s="19" t="str">
        <f aca="false">+VLOOKUP(O53,bio!$A$2:$B$4,2,FALSE())</f>
        <v>No bioeconomía</v>
      </c>
    </row>
    <row r="54" customFormat="false" ht="14.25" hidden="false" customHeight="false" outlineLevel="0" collapsed="false">
      <c r="A54" s="16" t="s">
        <v>891</v>
      </c>
      <c r="B54" s="17" t="s">
        <v>1430</v>
      </c>
      <c r="C54" s="17" t="str">
        <f aca="false">+VLOOKUP(B54,transacciones!$A$1:$I$39,2,FALSE())</f>
        <v>ATC01</v>
      </c>
      <c r="D54" s="17" t="str">
        <f aca="false">+VLOOKUP($B54,transacciones!$A$1:$I$39,4,FALSE())</f>
        <v>Producción de mercado</v>
      </c>
      <c r="E54" s="17" t="str">
        <f aca="false">+VLOOKUP($B54,transacciones!$A$1:$I$39,4,FALSE())</f>
        <v>Producción de mercado</v>
      </c>
      <c r="F54" s="17" t="n">
        <f aca="false">+VLOOKUP(B54,transacciones!$A$2:$I$39,5,FALSE())</f>
        <v>1</v>
      </c>
      <c r="G54" s="17" t="str">
        <f aca="false">+VLOOKUP(B54,transacciones!$A$2:$I$39,6,FALSE())</f>
        <v>P1</v>
      </c>
      <c r="H54" s="17" t="str">
        <f aca="false">+VLOOKUP(B54,transacciones!$A$1:$I$39,7,FALSE())</f>
        <v>Producción</v>
      </c>
      <c r="I54" s="1" t="s">
        <v>1542</v>
      </c>
      <c r="J54" s="1" t="s">
        <v>1543</v>
      </c>
      <c r="K54" s="18" t="s">
        <v>1530</v>
      </c>
      <c r="L54" s="18" t="str">
        <f aca="false">+VLOOKUP(K54,'Correl CIIU'!$A$1:$F$26,2,FALSE())</f>
        <v>Transporte y almacenamiento</v>
      </c>
      <c r="M54" s="18" t="str">
        <f aca="false">+VLOOKUP(K54,'Correl CIIU'!$A$1:$F$26,3,FALSE())</f>
        <v>Transporte y almacenamiento</v>
      </c>
      <c r="N54" s="18" t="str">
        <f aca="false">+VLOOKUP(K54,'Correl CIIU'!$A$1:$F$26,4,FALSE())</f>
        <v>Transportation and storage</v>
      </c>
      <c r="O54" s="18" t="n">
        <v>3</v>
      </c>
      <c r="P54" s="19" t="str">
        <f aca="false">+VLOOKUP(O54,bio!$A$2:$B$4,2,FALSE())</f>
        <v>No bioeconomía</v>
      </c>
    </row>
    <row r="55" customFormat="false" ht="14.25" hidden="false" customHeight="false" outlineLevel="0" collapsed="false">
      <c r="A55" s="16" t="s">
        <v>893</v>
      </c>
      <c r="B55" s="17" t="s">
        <v>1430</v>
      </c>
      <c r="C55" s="17" t="str">
        <f aca="false">+VLOOKUP(B55,transacciones!$A$1:$I$39,2,FALSE())</f>
        <v>ATC01</v>
      </c>
      <c r="D55" s="17" t="str">
        <f aca="false">+VLOOKUP($B55,transacciones!$A$1:$I$39,4,FALSE())</f>
        <v>Producción de mercado</v>
      </c>
      <c r="E55" s="17" t="str">
        <f aca="false">+VLOOKUP($B55,transacciones!$A$1:$I$39,4,FALSE())</f>
        <v>Producción de mercado</v>
      </c>
      <c r="F55" s="17" t="n">
        <f aca="false">+VLOOKUP(B55,transacciones!$A$2:$I$39,5,FALSE())</f>
        <v>1</v>
      </c>
      <c r="G55" s="17" t="str">
        <f aca="false">+VLOOKUP(B55,transacciones!$A$2:$I$39,6,FALSE())</f>
        <v>P1</v>
      </c>
      <c r="H55" s="17" t="str">
        <f aca="false">+VLOOKUP(B55,transacciones!$A$1:$I$39,7,FALSE())</f>
        <v>Producción</v>
      </c>
      <c r="I55" s="1" t="s">
        <v>1544</v>
      </c>
      <c r="J55" s="1" t="s">
        <v>1545</v>
      </c>
      <c r="K55" s="18" t="s">
        <v>1530</v>
      </c>
      <c r="L55" s="18" t="str">
        <f aca="false">+VLOOKUP(K55,'Correl CIIU'!$A$1:$F$26,2,FALSE())</f>
        <v>Transporte y almacenamiento</v>
      </c>
      <c r="M55" s="18" t="str">
        <f aca="false">+VLOOKUP(K55,'Correl CIIU'!$A$1:$F$26,3,FALSE())</f>
        <v>Transporte y almacenamiento</v>
      </c>
      <c r="N55" s="18" t="str">
        <f aca="false">+VLOOKUP(K55,'Correl CIIU'!$A$1:$F$26,4,FALSE())</f>
        <v>Transportation and storage</v>
      </c>
      <c r="O55" s="18" t="n">
        <v>3</v>
      </c>
      <c r="P55" s="19" t="str">
        <f aca="false">+VLOOKUP(O55,bio!$A$2:$B$4,2,FALSE())</f>
        <v>No bioeconomía</v>
      </c>
    </row>
    <row r="56" customFormat="false" ht="14.25" hidden="false" customHeight="false" outlineLevel="0" collapsed="false">
      <c r="A56" s="16" t="s">
        <v>895</v>
      </c>
      <c r="B56" s="17" t="s">
        <v>1430</v>
      </c>
      <c r="C56" s="17" t="str">
        <f aca="false">+VLOOKUP(B56,transacciones!$A$1:$I$39,2,FALSE())</f>
        <v>ATC01</v>
      </c>
      <c r="D56" s="17" t="str">
        <f aca="false">+VLOOKUP($B56,transacciones!$A$1:$I$39,4,FALSE())</f>
        <v>Producción de mercado</v>
      </c>
      <c r="E56" s="17" t="str">
        <f aca="false">+VLOOKUP($B56,transacciones!$A$1:$I$39,4,FALSE())</f>
        <v>Producción de mercado</v>
      </c>
      <c r="F56" s="17" t="n">
        <f aca="false">+VLOOKUP(B56,transacciones!$A$2:$I$39,5,FALSE())</f>
        <v>1</v>
      </c>
      <c r="G56" s="17" t="str">
        <f aca="false">+VLOOKUP(B56,transacciones!$A$2:$I$39,6,FALSE())</f>
        <v>P1</v>
      </c>
      <c r="H56" s="17" t="str">
        <f aca="false">+VLOOKUP(B56,transacciones!$A$1:$I$39,7,FALSE())</f>
        <v>Producción</v>
      </c>
      <c r="I56" s="1" t="s">
        <v>1546</v>
      </c>
      <c r="J56" s="1" t="s">
        <v>1547</v>
      </c>
      <c r="K56" s="20" t="s">
        <v>1548</v>
      </c>
      <c r="L56" s="20" t="s">
        <v>1549</v>
      </c>
      <c r="M56" s="20" t="s">
        <v>1549</v>
      </c>
      <c r="N56" s="20" t="s">
        <v>1550</v>
      </c>
      <c r="O56" s="18" t="n">
        <v>3</v>
      </c>
      <c r="P56" s="19" t="str">
        <f aca="false">+VLOOKUP(O56,bio!$A$2:$B$4,2,FALSE())</f>
        <v>No bioeconomía</v>
      </c>
    </row>
    <row r="57" customFormat="false" ht="14.25" hidden="false" customHeight="false" outlineLevel="0" collapsed="false">
      <c r="A57" s="16" t="s">
        <v>897</v>
      </c>
      <c r="B57" s="17" t="s">
        <v>1430</v>
      </c>
      <c r="C57" s="17" t="str">
        <f aca="false">+VLOOKUP(B57,transacciones!$A$1:$I$39,2,FALSE())</f>
        <v>ATC01</v>
      </c>
      <c r="D57" s="17" t="str">
        <f aca="false">+VLOOKUP($B57,transacciones!$A$1:$I$39,4,FALSE())</f>
        <v>Producción de mercado</v>
      </c>
      <c r="E57" s="17" t="str">
        <f aca="false">+VLOOKUP($B57,transacciones!$A$1:$I$39,4,FALSE())</f>
        <v>Producción de mercado</v>
      </c>
      <c r="F57" s="17" t="n">
        <f aca="false">+VLOOKUP(B57,transacciones!$A$2:$I$39,5,FALSE())</f>
        <v>1</v>
      </c>
      <c r="G57" s="17" t="str">
        <f aca="false">+VLOOKUP(B57,transacciones!$A$2:$I$39,6,FALSE())</f>
        <v>P1</v>
      </c>
      <c r="H57" s="17" t="str">
        <f aca="false">+VLOOKUP(B57,transacciones!$A$1:$I$39,7,FALSE())</f>
        <v>Producción</v>
      </c>
      <c r="I57" s="1" t="s">
        <v>1551</v>
      </c>
      <c r="J57" s="1" t="s">
        <v>1552</v>
      </c>
      <c r="K57" s="18" t="s">
        <v>1553</v>
      </c>
      <c r="L57" s="18" t="str">
        <f aca="false">+VLOOKUP(K57,'Correl CIIU'!$A$1:$F$26,2,FALSE())</f>
        <v>Actividades de alojamiento y de servicio de comidas</v>
      </c>
      <c r="M57" s="18" t="str">
        <f aca="false">+VLOOKUP(K57,'Correl CIIU'!$A$1:$F$26,3,FALSE())</f>
        <v>Alojamiento y alimentación</v>
      </c>
      <c r="N57" s="18" t="str">
        <f aca="false">+VLOOKUP(K57,'Correl CIIU'!$A$1:$F$26,4,FALSE())</f>
        <v>Accommodation and food service activities</v>
      </c>
      <c r="O57" s="18" t="n">
        <v>3</v>
      </c>
      <c r="P57" s="19" t="str">
        <f aca="false">+VLOOKUP(O57,bio!$A$2:$B$4,2,FALSE())</f>
        <v>No bioeconomía</v>
      </c>
    </row>
    <row r="58" customFormat="false" ht="14.25" hidden="false" customHeight="false" outlineLevel="0" collapsed="false">
      <c r="A58" s="16" t="s">
        <v>899</v>
      </c>
      <c r="B58" s="17" t="s">
        <v>1430</v>
      </c>
      <c r="C58" s="17" t="str">
        <f aca="false">+VLOOKUP(B58,transacciones!$A$1:$I$39,2,FALSE())</f>
        <v>ATC01</v>
      </c>
      <c r="D58" s="17" t="str">
        <f aca="false">+VLOOKUP($B58,transacciones!$A$1:$I$39,4,FALSE())</f>
        <v>Producción de mercado</v>
      </c>
      <c r="E58" s="17" t="str">
        <f aca="false">+VLOOKUP($B58,transacciones!$A$1:$I$39,4,FALSE())</f>
        <v>Producción de mercado</v>
      </c>
      <c r="F58" s="17" t="n">
        <f aca="false">+VLOOKUP(B58,transacciones!$A$2:$I$39,5,FALSE())</f>
        <v>1</v>
      </c>
      <c r="G58" s="17" t="str">
        <f aca="false">+VLOOKUP(B58,transacciones!$A$2:$I$39,6,FALSE())</f>
        <v>P1</v>
      </c>
      <c r="H58" s="17" t="str">
        <f aca="false">+VLOOKUP(B58,transacciones!$A$1:$I$39,7,FALSE())</f>
        <v>Producción</v>
      </c>
      <c r="I58" s="1" t="s">
        <v>1554</v>
      </c>
      <c r="J58" s="1" t="s">
        <v>1555</v>
      </c>
      <c r="K58" s="18" t="s">
        <v>1553</v>
      </c>
      <c r="L58" s="18" t="str">
        <f aca="false">+VLOOKUP(K58,'Correl CIIU'!$A$1:$F$26,2,FALSE())</f>
        <v>Actividades de alojamiento y de servicio de comidas</v>
      </c>
      <c r="M58" s="18" t="str">
        <f aca="false">+VLOOKUP(K58,'Correl CIIU'!$A$1:$F$26,3,FALSE())</f>
        <v>Alojamiento y alimentación</v>
      </c>
      <c r="N58" s="18" t="str">
        <f aca="false">+VLOOKUP(K58,'Correl CIIU'!$A$1:$F$26,4,FALSE())</f>
        <v>Accommodation and food service activities</v>
      </c>
      <c r="O58" s="18" t="n">
        <v>2</v>
      </c>
      <c r="P58" s="19" t="str">
        <f aca="false">+VLOOKUP(O58,bio!$A$2:$B$4,2,FALSE())</f>
        <v>Bioeconomía extendida</v>
      </c>
    </row>
    <row r="59" customFormat="false" ht="14.25" hidden="false" customHeight="false" outlineLevel="0" collapsed="false">
      <c r="A59" s="16" t="s">
        <v>901</v>
      </c>
      <c r="B59" s="17" t="s">
        <v>1430</v>
      </c>
      <c r="C59" s="17" t="str">
        <f aca="false">+VLOOKUP(B59,transacciones!$A$1:$I$39,2,FALSE())</f>
        <v>ATC01</v>
      </c>
      <c r="D59" s="17" t="str">
        <f aca="false">+VLOOKUP($B59,transacciones!$A$1:$I$39,4,FALSE())</f>
        <v>Producción de mercado</v>
      </c>
      <c r="E59" s="17" t="str">
        <f aca="false">+VLOOKUP($B59,transacciones!$A$1:$I$39,4,FALSE())</f>
        <v>Producción de mercado</v>
      </c>
      <c r="F59" s="17" t="n">
        <f aca="false">+VLOOKUP(B59,transacciones!$A$2:$I$39,5,FALSE())</f>
        <v>1</v>
      </c>
      <c r="G59" s="17" t="str">
        <f aca="false">+VLOOKUP(B59,transacciones!$A$2:$I$39,6,FALSE())</f>
        <v>P1</v>
      </c>
      <c r="H59" s="17" t="str">
        <f aca="false">+VLOOKUP(B59,transacciones!$A$1:$I$39,7,FALSE())</f>
        <v>Producción</v>
      </c>
      <c r="I59" s="1" t="s">
        <v>1556</v>
      </c>
      <c r="J59" s="1" t="s">
        <v>1557</v>
      </c>
      <c r="K59" s="20" t="s">
        <v>1548</v>
      </c>
      <c r="L59" s="20" t="s">
        <v>1549</v>
      </c>
      <c r="M59" s="20" t="s">
        <v>1549</v>
      </c>
      <c r="N59" s="20" t="s">
        <v>1550</v>
      </c>
      <c r="O59" s="18" t="n">
        <v>3</v>
      </c>
      <c r="P59" s="19" t="str">
        <f aca="false">+VLOOKUP(O59,bio!$A$2:$B$4,2,FALSE())</f>
        <v>No bioeconomía</v>
      </c>
    </row>
    <row r="60" customFormat="false" ht="14.25" hidden="false" customHeight="false" outlineLevel="0" collapsed="false">
      <c r="A60" s="16" t="s">
        <v>903</v>
      </c>
      <c r="B60" s="17" t="s">
        <v>1430</v>
      </c>
      <c r="C60" s="17" t="str">
        <f aca="false">+VLOOKUP(B60,transacciones!$A$1:$I$39,2,FALSE())</f>
        <v>ATC01</v>
      </c>
      <c r="D60" s="17" t="str">
        <f aca="false">+VLOOKUP($B60,transacciones!$A$1:$I$39,4,FALSE())</f>
        <v>Producción de mercado</v>
      </c>
      <c r="E60" s="17" t="str">
        <f aca="false">+VLOOKUP($B60,transacciones!$A$1:$I$39,4,FALSE())</f>
        <v>Producción de mercado</v>
      </c>
      <c r="F60" s="17" t="n">
        <f aca="false">+VLOOKUP(B60,transacciones!$A$2:$I$39,5,FALSE())</f>
        <v>1</v>
      </c>
      <c r="G60" s="17" t="str">
        <f aca="false">+VLOOKUP(B60,transacciones!$A$2:$I$39,6,FALSE())</f>
        <v>P1</v>
      </c>
      <c r="H60" s="17" t="str">
        <f aca="false">+VLOOKUP(B60,transacciones!$A$1:$I$39,7,FALSE())</f>
        <v>Producción</v>
      </c>
      <c r="I60" s="1" t="s">
        <v>1558</v>
      </c>
      <c r="J60" s="1" t="s">
        <v>1559</v>
      </c>
      <c r="K60" s="18" t="s">
        <v>1548</v>
      </c>
      <c r="L60" s="18" t="str">
        <f aca="false">+VLOOKUP(K60,'Correl CIIU'!$A$1:$F$26,2,FALSE())</f>
        <v>Información y comunicaciones</v>
      </c>
      <c r="M60" s="18" t="str">
        <f aca="false">+VLOOKUP(K60,'Correl CIIU'!$A$1:$F$26,3,FALSE())</f>
        <v>Información y comunicaciones</v>
      </c>
      <c r="N60" s="18" t="str">
        <f aca="false">+VLOOKUP(K60,'Correl CIIU'!$A$1:$F$26,4,FALSE())</f>
        <v>Information and communication</v>
      </c>
      <c r="O60" s="18" t="n">
        <v>3</v>
      </c>
      <c r="P60" s="19" t="str">
        <f aca="false">+VLOOKUP(O60,bio!$A$2:$B$4,2,FALSE())</f>
        <v>No bioeconomía</v>
      </c>
    </row>
    <row r="61" customFormat="false" ht="14.25" hidden="false" customHeight="false" outlineLevel="0" collapsed="false">
      <c r="A61" s="16" t="s">
        <v>905</v>
      </c>
      <c r="B61" s="17" t="s">
        <v>1430</v>
      </c>
      <c r="C61" s="17" t="str">
        <f aca="false">+VLOOKUP(B61,transacciones!$A$1:$I$39,2,FALSE())</f>
        <v>ATC01</v>
      </c>
      <c r="D61" s="17" t="str">
        <f aca="false">+VLOOKUP($B61,transacciones!$A$1:$I$39,4,FALSE())</f>
        <v>Producción de mercado</v>
      </c>
      <c r="E61" s="17" t="str">
        <f aca="false">+VLOOKUP($B61,transacciones!$A$1:$I$39,4,FALSE())</f>
        <v>Producción de mercado</v>
      </c>
      <c r="F61" s="17" t="n">
        <f aca="false">+VLOOKUP(B61,transacciones!$A$2:$I$39,5,FALSE())</f>
        <v>1</v>
      </c>
      <c r="G61" s="17" t="str">
        <f aca="false">+VLOOKUP(B61,transacciones!$A$2:$I$39,6,FALSE())</f>
        <v>P1</v>
      </c>
      <c r="H61" s="17" t="str">
        <f aca="false">+VLOOKUP(B61,transacciones!$A$1:$I$39,7,FALSE())</f>
        <v>Producción</v>
      </c>
      <c r="I61" s="1" t="s">
        <v>1560</v>
      </c>
      <c r="J61" s="1" t="s">
        <v>1561</v>
      </c>
      <c r="K61" s="18" t="s">
        <v>1562</v>
      </c>
      <c r="L61" s="18" t="str">
        <f aca="false">+VLOOKUP(K61,'Correl CIIU'!$A$1:$F$26,2,FALSE())</f>
        <v>Actividades financieras y de seguros</v>
      </c>
      <c r="M61" s="18" t="str">
        <f aca="false">+VLOOKUP(K61,'Correl CIIU'!$A$1:$F$26,3,FALSE())</f>
        <v>Finanzas y seguros</v>
      </c>
      <c r="N61" s="18" t="str">
        <f aca="false">+VLOOKUP(K61,'Correl CIIU'!$A$1:$F$26,4,FALSE())</f>
        <v>Financial and insurance activities</v>
      </c>
      <c r="O61" s="18" t="n">
        <v>3</v>
      </c>
      <c r="P61" s="19" t="str">
        <f aca="false">+VLOOKUP(O61,bio!$A$2:$B$4,2,FALSE())</f>
        <v>No bioeconomía</v>
      </c>
    </row>
    <row r="62" customFormat="false" ht="14.25" hidden="false" customHeight="false" outlineLevel="0" collapsed="false">
      <c r="A62" s="16" t="s">
        <v>907</v>
      </c>
      <c r="B62" s="17" t="s">
        <v>1430</v>
      </c>
      <c r="C62" s="17" t="str">
        <f aca="false">+VLOOKUP(B62,transacciones!$A$1:$I$39,2,FALSE())</f>
        <v>ATC01</v>
      </c>
      <c r="D62" s="17" t="str">
        <f aca="false">+VLOOKUP(B62,transacciones!$A$1:$I$39,3,FALSE())</f>
        <v>Producción / Consumo intermedio</v>
      </c>
      <c r="E62" s="17" t="str">
        <f aca="false">+VLOOKUP($B62,transacciones!$A$1:$I$39,4,FALSE())</f>
        <v>Producción de mercado</v>
      </c>
      <c r="F62" s="17" t="n">
        <f aca="false">+VLOOKUP(B62,transacciones!$A$2:$I$39,5,FALSE())</f>
        <v>1</v>
      </c>
      <c r="G62" s="17" t="str">
        <f aca="false">+VLOOKUP(B62,transacciones!$A$2:$I$39,6,FALSE())</f>
        <v>P1</v>
      </c>
      <c r="H62" s="17" t="str">
        <f aca="false">+VLOOKUP(B62,transacciones!$A$1:$I$39,7,FALSE())</f>
        <v>Producción</v>
      </c>
      <c r="I62" s="1" t="s">
        <v>1563</v>
      </c>
      <c r="J62" s="1" t="s">
        <v>1564</v>
      </c>
      <c r="K62" s="18" t="s">
        <v>1562</v>
      </c>
      <c r="L62" s="18" t="str">
        <f aca="false">+VLOOKUP(K62,'Correl CIIU'!$A$1:$F$26,2,FALSE())</f>
        <v>Actividades financieras y de seguros</v>
      </c>
      <c r="M62" s="18" t="str">
        <f aca="false">+VLOOKUP(K62,'Correl CIIU'!$A$1:$F$26,3,FALSE())</f>
        <v>Finanzas y seguros</v>
      </c>
      <c r="N62" s="18" t="str">
        <f aca="false">+VLOOKUP(K62,'Correl CIIU'!$A$1:$F$26,4,FALSE())</f>
        <v>Financial and insurance activities</v>
      </c>
      <c r="O62" s="18" t="n">
        <v>3</v>
      </c>
      <c r="P62" s="19" t="str">
        <f aca="false">+VLOOKUP(O62,bio!$A$2:$B$4,2,FALSE())</f>
        <v>No bioeconomía</v>
      </c>
    </row>
    <row r="63" customFormat="false" ht="14.25" hidden="false" customHeight="false" outlineLevel="0" collapsed="false">
      <c r="A63" s="16" t="s">
        <v>909</v>
      </c>
      <c r="B63" s="17" t="s">
        <v>1430</v>
      </c>
      <c r="C63" s="17" t="str">
        <f aca="false">+VLOOKUP(B63,transacciones!$A$1:$I$39,2,FALSE())</f>
        <v>ATC01</v>
      </c>
      <c r="D63" s="17" t="str">
        <f aca="false">+VLOOKUP(B63,transacciones!$A$1:$I$39,3,FALSE())</f>
        <v>Producción / Consumo intermedio</v>
      </c>
      <c r="E63" s="17" t="str">
        <f aca="false">+VLOOKUP($B63,transacciones!$A$1:$I$39,4,FALSE())</f>
        <v>Producción de mercado</v>
      </c>
      <c r="F63" s="17" t="n">
        <f aca="false">+VLOOKUP(B63,transacciones!$A$2:$I$39,5,FALSE())</f>
        <v>1</v>
      </c>
      <c r="G63" s="17" t="str">
        <f aca="false">+VLOOKUP(B63,transacciones!$A$2:$I$39,6,FALSE())</f>
        <v>P1</v>
      </c>
      <c r="H63" s="17" t="str">
        <f aca="false">+VLOOKUP(B63,transacciones!$A$1:$I$39,7,FALSE())</f>
        <v>Producción</v>
      </c>
      <c r="I63" s="1" t="s">
        <v>1565</v>
      </c>
      <c r="J63" s="1" t="s">
        <v>1566</v>
      </c>
      <c r="K63" s="18" t="s">
        <v>1562</v>
      </c>
      <c r="L63" s="18" t="str">
        <f aca="false">+VLOOKUP(K63,'Correl CIIU'!$A$1:$F$26,2,FALSE())</f>
        <v>Actividades financieras y de seguros</v>
      </c>
      <c r="M63" s="18" t="str">
        <f aca="false">+VLOOKUP(K63,'Correl CIIU'!$A$1:$F$26,3,FALSE())</f>
        <v>Finanzas y seguros</v>
      </c>
      <c r="N63" s="18" t="str">
        <f aca="false">+VLOOKUP(K63,'Correl CIIU'!$A$1:$F$26,4,FALSE())</f>
        <v>Financial and insurance activities</v>
      </c>
      <c r="O63" s="18" t="n">
        <v>3</v>
      </c>
      <c r="P63" s="19" t="str">
        <f aca="false">+VLOOKUP(O63,bio!$A$2:$B$4,2,FALSE())</f>
        <v>No bioeconomía</v>
      </c>
    </row>
    <row r="64" customFormat="false" ht="14.25" hidden="false" customHeight="false" outlineLevel="0" collapsed="false">
      <c r="A64" s="16" t="s">
        <v>911</v>
      </c>
      <c r="B64" s="17" t="s">
        <v>1430</v>
      </c>
      <c r="C64" s="17" t="str">
        <f aca="false">+VLOOKUP(B64,transacciones!$A$1:$I$39,2,FALSE())</f>
        <v>ATC01</v>
      </c>
      <c r="D64" s="17" t="str">
        <f aca="false">+VLOOKUP(B64,transacciones!$A$1:$I$39,3,FALSE())</f>
        <v>Producción / Consumo intermedio</v>
      </c>
      <c r="E64" s="17" t="str">
        <f aca="false">+VLOOKUP($B64,transacciones!$A$1:$I$39,4,FALSE())</f>
        <v>Producción de mercado</v>
      </c>
      <c r="F64" s="17" t="n">
        <f aca="false">+VLOOKUP(B64,transacciones!$A$2:$I$39,5,FALSE())</f>
        <v>1</v>
      </c>
      <c r="G64" s="17" t="str">
        <f aca="false">+VLOOKUP(B64,transacciones!$A$2:$I$39,6,FALSE())</f>
        <v>P1</v>
      </c>
      <c r="H64" s="17" t="str">
        <f aca="false">+VLOOKUP(B64,transacciones!$A$1:$I$39,7,FALSE())</f>
        <v>Producción</v>
      </c>
      <c r="I64" s="1" t="s">
        <v>1567</v>
      </c>
      <c r="J64" s="1" t="s">
        <v>1568</v>
      </c>
      <c r="K64" s="18" t="s">
        <v>1569</v>
      </c>
      <c r="L64" s="18" t="str">
        <f aca="false">+VLOOKUP(K64,'Correl CIIU'!$A$1:$F$26,2,FALSE())</f>
        <v>Actividades inmobiliarias</v>
      </c>
      <c r="M64" s="18" t="str">
        <f aca="false">+VLOOKUP(K64,'Correl CIIU'!$A$1:$F$26,3,FALSE())</f>
        <v>Inmobiliarios</v>
      </c>
      <c r="N64" s="18" t="str">
        <f aca="false">+VLOOKUP(K64,'Correl CIIU'!$A$1:$F$26,4,FALSE())</f>
        <v>Real estate activities</v>
      </c>
      <c r="O64" s="18" t="n">
        <v>3</v>
      </c>
      <c r="P64" s="19" t="str">
        <f aca="false">+VLOOKUP(O64,bio!$A$2:$B$4,2,FALSE())</f>
        <v>No bioeconomía</v>
      </c>
    </row>
    <row r="65" customFormat="false" ht="14.25" hidden="false" customHeight="false" outlineLevel="0" collapsed="false">
      <c r="A65" s="16" t="s">
        <v>913</v>
      </c>
      <c r="B65" s="17" t="s">
        <v>1430</v>
      </c>
      <c r="C65" s="17" t="str">
        <f aca="false">+VLOOKUP(B65,transacciones!$A$1:$I$39,2,FALSE())</f>
        <v>ATC01</v>
      </c>
      <c r="D65" s="17" t="str">
        <f aca="false">+VLOOKUP(B65,transacciones!$A$1:$I$39,3,FALSE())</f>
        <v>Producción / Consumo intermedio</v>
      </c>
      <c r="E65" s="17" t="str">
        <f aca="false">+VLOOKUP($B65,transacciones!$A$1:$I$39,4,FALSE())</f>
        <v>Producción de mercado</v>
      </c>
      <c r="F65" s="17" t="n">
        <f aca="false">+VLOOKUP(B65,transacciones!$A$2:$I$39,5,FALSE())</f>
        <v>1</v>
      </c>
      <c r="G65" s="17" t="str">
        <f aca="false">+VLOOKUP(B65,transacciones!$A$2:$I$39,6,FALSE())</f>
        <v>P1</v>
      </c>
      <c r="H65" s="17" t="str">
        <f aca="false">+VLOOKUP(B65,transacciones!$A$1:$I$39,7,FALSE())</f>
        <v>Producción</v>
      </c>
      <c r="I65" s="1" t="s">
        <v>1570</v>
      </c>
      <c r="J65" s="1" t="s">
        <v>1571</v>
      </c>
      <c r="K65" s="18" t="s">
        <v>1569</v>
      </c>
      <c r="L65" s="18" t="str">
        <f aca="false">+VLOOKUP(K65,'Correl CIIU'!$A$1:$F$26,2,FALSE())</f>
        <v>Actividades inmobiliarias</v>
      </c>
      <c r="M65" s="18" t="str">
        <f aca="false">+VLOOKUP(K65,'Correl CIIU'!$A$1:$F$26,3,FALSE())</f>
        <v>Inmobiliarios</v>
      </c>
      <c r="N65" s="18" t="str">
        <f aca="false">+VLOOKUP(K65,'Correl CIIU'!$A$1:$F$26,4,FALSE())</f>
        <v>Real estate activities</v>
      </c>
      <c r="O65" s="18" t="n">
        <v>3</v>
      </c>
      <c r="P65" s="19" t="str">
        <f aca="false">+VLOOKUP(O65,bio!$A$2:$B$4,2,FALSE())</f>
        <v>No bioeconomía</v>
      </c>
    </row>
    <row r="66" customFormat="false" ht="14.25" hidden="false" customHeight="false" outlineLevel="0" collapsed="false">
      <c r="A66" s="16" t="s">
        <v>915</v>
      </c>
      <c r="B66" s="17" t="s">
        <v>1430</v>
      </c>
      <c r="C66" s="17" t="str">
        <f aca="false">+VLOOKUP(B66,transacciones!$A$1:$I$39,2,FALSE())</f>
        <v>ATC01</v>
      </c>
      <c r="D66" s="17" t="str">
        <f aca="false">+VLOOKUP($B66,transacciones!$A$1:$I$39,4,FALSE())</f>
        <v>Producción de mercado</v>
      </c>
      <c r="E66" s="17" t="str">
        <f aca="false">+VLOOKUP($B66,transacciones!$A$1:$I$39,4,FALSE())</f>
        <v>Producción de mercado</v>
      </c>
      <c r="F66" s="17" t="n">
        <f aca="false">+VLOOKUP(B66,transacciones!$A$2:$I$39,5,FALSE())</f>
        <v>1</v>
      </c>
      <c r="G66" s="17" t="str">
        <f aca="false">+VLOOKUP(B66,transacciones!$A$2:$I$39,6,FALSE())</f>
        <v>P1</v>
      </c>
      <c r="H66" s="17" t="str">
        <f aca="false">+VLOOKUP(B66,transacciones!$A$1:$I$39,7,FALSE())</f>
        <v>Producción</v>
      </c>
      <c r="I66" s="1" t="s">
        <v>1572</v>
      </c>
      <c r="J66" s="1" t="s">
        <v>1573</v>
      </c>
      <c r="K66" s="18" t="s">
        <v>1574</v>
      </c>
      <c r="L66" s="18" t="str">
        <f aca="false">+VLOOKUP(K66,'Correl CIIU'!$A$1:$F$26,2,FALSE())</f>
        <v>Actividades profesionales, científicas y técnicas</v>
      </c>
      <c r="M66" s="18" t="str">
        <f aca="false">+VLOOKUP(K66,'Correl CIIU'!$A$1:$F$26,3,FALSE())</f>
        <v>Servicios profesionales</v>
      </c>
      <c r="N66" s="18" t="str">
        <f aca="false">+VLOOKUP(K66,'Correl CIIU'!$A$1:$F$26,4,FALSE())</f>
        <v>Professional, scientific and technical activities</v>
      </c>
      <c r="O66" s="18" t="n">
        <v>3</v>
      </c>
      <c r="P66" s="19" t="str">
        <f aca="false">+VLOOKUP(O66,bio!$A$2:$B$4,2,FALSE())</f>
        <v>No bioeconomía</v>
      </c>
    </row>
    <row r="67" customFormat="false" ht="14.25" hidden="false" customHeight="false" outlineLevel="0" collapsed="false">
      <c r="A67" s="16" t="s">
        <v>917</v>
      </c>
      <c r="B67" s="17" t="s">
        <v>1430</v>
      </c>
      <c r="C67" s="17" t="str">
        <f aca="false">+VLOOKUP(B67,transacciones!$A$1:$I$39,2,FALSE())</f>
        <v>ATC01</v>
      </c>
      <c r="D67" s="17" t="str">
        <f aca="false">+VLOOKUP($B67,transacciones!$A$1:$I$39,4,FALSE())</f>
        <v>Producción de mercado</v>
      </c>
      <c r="E67" s="17" t="str">
        <f aca="false">+VLOOKUP($B67,transacciones!$A$1:$I$39,4,FALSE())</f>
        <v>Producción de mercado</v>
      </c>
      <c r="F67" s="17" t="n">
        <f aca="false">+VLOOKUP(B67,transacciones!$A$2:$I$39,5,FALSE())</f>
        <v>1</v>
      </c>
      <c r="G67" s="17" t="str">
        <f aca="false">+VLOOKUP(B67,transacciones!$A$2:$I$39,6,FALSE())</f>
        <v>P1</v>
      </c>
      <c r="H67" s="17" t="str">
        <f aca="false">+VLOOKUP(B67,transacciones!$A$1:$I$39,7,FALSE())</f>
        <v>Producción</v>
      </c>
      <c r="I67" s="1" t="s">
        <v>1575</v>
      </c>
      <c r="J67" s="1" t="s">
        <v>1576</v>
      </c>
      <c r="K67" s="18" t="s">
        <v>1574</v>
      </c>
      <c r="L67" s="18" t="str">
        <f aca="false">+VLOOKUP(K67,'Correl CIIU'!$A$1:$F$26,2,FALSE())</f>
        <v>Actividades profesionales, científicas y técnicas</v>
      </c>
      <c r="M67" s="18" t="str">
        <f aca="false">+VLOOKUP(K67,'Correl CIIU'!$A$1:$F$26,3,FALSE())</f>
        <v>Servicios profesionales</v>
      </c>
      <c r="N67" s="18" t="str">
        <f aca="false">+VLOOKUP(K67,'Correl CIIU'!$A$1:$F$26,4,FALSE())</f>
        <v>Professional, scientific and technical activities</v>
      </c>
      <c r="O67" s="18" t="n">
        <v>3</v>
      </c>
      <c r="P67" s="19" t="str">
        <f aca="false">+VLOOKUP(O67,bio!$A$2:$B$4,2,FALSE())</f>
        <v>No bioeconomía</v>
      </c>
    </row>
    <row r="68" customFormat="false" ht="14.25" hidden="false" customHeight="false" outlineLevel="0" collapsed="false">
      <c r="A68" s="16" t="s">
        <v>919</v>
      </c>
      <c r="B68" s="17" t="s">
        <v>1430</v>
      </c>
      <c r="C68" s="17" t="str">
        <f aca="false">+VLOOKUP(B68,transacciones!$A$1:$I$39,2,FALSE())</f>
        <v>ATC01</v>
      </c>
      <c r="D68" s="17" t="str">
        <f aca="false">+VLOOKUP($B68,transacciones!$A$1:$I$39,4,FALSE())</f>
        <v>Producción de mercado</v>
      </c>
      <c r="E68" s="17" t="str">
        <f aca="false">+VLOOKUP($B68,transacciones!$A$1:$I$39,4,FALSE())</f>
        <v>Producción de mercado</v>
      </c>
      <c r="F68" s="17" t="n">
        <f aca="false">+VLOOKUP(B68,transacciones!$A$2:$I$39,5,FALSE())</f>
        <v>1</v>
      </c>
      <c r="G68" s="17" t="str">
        <f aca="false">+VLOOKUP(B68,transacciones!$A$2:$I$39,6,FALSE())</f>
        <v>P1</v>
      </c>
      <c r="H68" s="17" t="str">
        <f aca="false">+VLOOKUP(B68,transacciones!$A$1:$I$39,7,FALSE())</f>
        <v>Producción</v>
      </c>
      <c r="I68" s="1" t="s">
        <v>1577</v>
      </c>
      <c r="J68" s="1" t="s">
        <v>1578</v>
      </c>
      <c r="K68" s="18" t="s">
        <v>1574</v>
      </c>
      <c r="L68" s="18" t="str">
        <f aca="false">+VLOOKUP(K68,'Correl CIIU'!$A$1:$F$26,2,FALSE())</f>
        <v>Actividades profesionales, científicas y técnicas</v>
      </c>
      <c r="M68" s="18" t="str">
        <f aca="false">+VLOOKUP(K68,'Correl CIIU'!$A$1:$F$26,3,FALSE())</f>
        <v>Servicios profesionales</v>
      </c>
      <c r="N68" s="18" t="str">
        <f aca="false">+VLOOKUP(K68,'Correl CIIU'!$A$1:$F$26,4,FALSE())</f>
        <v>Professional, scientific and technical activities</v>
      </c>
      <c r="O68" s="18" t="n">
        <v>2</v>
      </c>
      <c r="P68" s="19" t="str">
        <f aca="false">+VLOOKUP(O68,bio!$A$2:$B$4,2,FALSE())</f>
        <v>Bioeconomía extendida</v>
      </c>
    </row>
    <row r="69" customFormat="false" ht="14.25" hidden="false" customHeight="false" outlineLevel="0" collapsed="false">
      <c r="A69" s="16" t="s">
        <v>921</v>
      </c>
      <c r="B69" s="17" t="s">
        <v>1430</v>
      </c>
      <c r="C69" s="17" t="str">
        <f aca="false">+VLOOKUP(B69,transacciones!$A$1:$I$39,2,FALSE())</f>
        <v>ATC01</v>
      </c>
      <c r="D69" s="17" t="str">
        <f aca="false">+VLOOKUP($B69,transacciones!$A$1:$I$39,4,FALSE())</f>
        <v>Producción de mercado</v>
      </c>
      <c r="E69" s="17" t="str">
        <f aca="false">+VLOOKUP($B69,transacciones!$A$1:$I$39,4,FALSE())</f>
        <v>Producción de mercado</v>
      </c>
      <c r="F69" s="17" t="n">
        <f aca="false">+VLOOKUP(B69,transacciones!$A$2:$I$39,5,FALSE())</f>
        <v>1</v>
      </c>
      <c r="G69" s="17" t="str">
        <f aca="false">+VLOOKUP(B69,transacciones!$A$2:$I$39,6,FALSE())</f>
        <v>P1</v>
      </c>
      <c r="H69" s="17" t="str">
        <f aca="false">+VLOOKUP(B69,transacciones!$A$1:$I$39,7,FALSE())</f>
        <v>Producción</v>
      </c>
      <c r="I69" s="1" t="s">
        <v>1579</v>
      </c>
      <c r="J69" s="1" t="s">
        <v>1580</v>
      </c>
      <c r="K69" s="18" t="s">
        <v>1581</v>
      </c>
      <c r="L69" s="18" t="str">
        <f aca="false">+VLOOKUP(K69,'Correl CIIU'!$A$1:$F$26,2,FALSE())</f>
        <v>Actividades de servicios administrativos y de apoyo</v>
      </c>
      <c r="M69" s="18" t="str">
        <f aca="false">+VLOOKUP(K69,'Correl CIIU'!$A$1:$F$26,3,FALSE())</f>
        <v>Servicios administrativos</v>
      </c>
      <c r="N69" s="18" t="str">
        <f aca="false">+VLOOKUP(K69,'Correl CIIU'!$A$1:$F$26,4,FALSE())</f>
        <v>Administrative and support service activities</v>
      </c>
      <c r="O69" s="18" t="n">
        <v>3</v>
      </c>
      <c r="P69" s="19" t="str">
        <f aca="false">+VLOOKUP(O69,bio!$A$2:$B$4,2,FALSE())</f>
        <v>No bioeconomía</v>
      </c>
    </row>
    <row r="70" customFormat="false" ht="14.25" hidden="false" customHeight="false" outlineLevel="0" collapsed="false">
      <c r="A70" s="16" t="s">
        <v>923</v>
      </c>
      <c r="B70" s="17" t="s">
        <v>1430</v>
      </c>
      <c r="C70" s="17" t="str">
        <f aca="false">+VLOOKUP(B70,transacciones!$A$1:$I$39,2,FALSE())</f>
        <v>ATC01</v>
      </c>
      <c r="D70" s="17" t="str">
        <f aca="false">+VLOOKUP($B70,transacciones!$A$1:$I$39,4,FALSE())</f>
        <v>Producción de mercado</v>
      </c>
      <c r="E70" s="17" t="str">
        <f aca="false">+VLOOKUP($B70,transacciones!$A$1:$I$39,4,FALSE())</f>
        <v>Producción de mercado</v>
      </c>
      <c r="F70" s="17" t="n">
        <f aca="false">+VLOOKUP(B70,transacciones!$A$2:$I$39,5,FALSE())</f>
        <v>1</v>
      </c>
      <c r="G70" s="17" t="str">
        <f aca="false">+VLOOKUP(B70,transacciones!$A$2:$I$39,6,FALSE())</f>
        <v>P1</v>
      </c>
      <c r="H70" s="17" t="str">
        <f aca="false">+VLOOKUP(B70,transacciones!$A$1:$I$39,7,FALSE())</f>
        <v>Producción</v>
      </c>
      <c r="I70" s="1" t="s">
        <v>1582</v>
      </c>
      <c r="J70" s="1" t="s">
        <v>1583</v>
      </c>
      <c r="K70" s="18" t="s">
        <v>1574</v>
      </c>
      <c r="L70" s="18" t="str">
        <f aca="false">+VLOOKUP(K70,'Correl CIIU'!$A$1:$F$26,2,FALSE())</f>
        <v>Actividades profesionales, científicas y técnicas</v>
      </c>
      <c r="M70" s="18" t="str">
        <f aca="false">+VLOOKUP(K70,'Correl CIIU'!$A$1:$F$26,3,FALSE())</f>
        <v>Servicios profesionales</v>
      </c>
      <c r="N70" s="18" t="str">
        <f aca="false">+VLOOKUP(K70,'Correl CIIU'!$A$1:$F$26,4,FALSE())</f>
        <v>Professional, scientific and technical activities</v>
      </c>
      <c r="O70" s="18" t="n">
        <v>2</v>
      </c>
      <c r="P70" s="19" t="str">
        <f aca="false">+VLOOKUP(O70,bio!$A$2:$B$4,2,FALSE())</f>
        <v>Bioeconomía extendida</v>
      </c>
    </row>
    <row r="71" customFormat="false" ht="14.25" hidden="false" customHeight="false" outlineLevel="0" collapsed="false">
      <c r="A71" s="16" t="s">
        <v>925</v>
      </c>
      <c r="B71" s="17" t="s">
        <v>1430</v>
      </c>
      <c r="C71" s="17" t="str">
        <f aca="false">+VLOOKUP(B71,transacciones!$A$1:$I$39,2,FALSE())</f>
        <v>ATC01</v>
      </c>
      <c r="D71" s="17" t="str">
        <f aca="false">+VLOOKUP($B71,transacciones!$A$1:$I$39,4,FALSE())</f>
        <v>Producción de mercado</v>
      </c>
      <c r="E71" s="17" t="str">
        <f aca="false">+VLOOKUP($B71,transacciones!$A$1:$I$39,4,FALSE())</f>
        <v>Producción de mercado</v>
      </c>
      <c r="F71" s="17" t="n">
        <f aca="false">+VLOOKUP(B71,transacciones!$A$2:$I$39,5,FALSE())</f>
        <v>1</v>
      </c>
      <c r="G71" s="17" t="str">
        <f aca="false">+VLOOKUP(B71,transacciones!$A$2:$I$39,6,FALSE())</f>
        <v>P1</v>
      </c>
      <c r="H71" s="17" t="str">
        <f aca="false">+VLOOKUP(B71,transacciones!$A$1:$I$39,7,FALSE())</f>
        <v>Producción</v>
      </c>
      <c r="I71" s="1" t="s">
        <v>1584</v>
      </c>
      <c r="J71" s="1" t="s">
        <v>1585</v>
      </c>
      <c r="K71" s="18" t="s">
        <v>1574</v>
      </c>
      <c r="L71" s="18" t="str">
        <f aca="false">+VLOOKUP(K71,'Correl CIIU'!$A$1:$F$26,2,FALSE())</f>
        <v>Actividades profesionales, científicas y técnicas</v>
      </c>
      <c r="M71" s="18" t="str">
        <f aca="false">+VLOOKUP(K71,'Correl CIIU'!$A$1:$F$26,3,FALSE())</f>
        <v>Servicios profesionales</v>
      </c>
      <c r="N71" s="18" t="str">
        <f aca="false">+VLOOKUP(K71,'Correl CIIU'!$A$1:$F$26,4,FALSE())</f>
        <v>Professional, scientific and technical activities</v>
      </c>
      <c r="O71" s="18" t="n">
        <v>3</v>
      </c>
      <c r="P71" s="19" t="str">
        <f aca="false">+VLOOKUP(O71,bio!$A$2:$B$4,2,FALSE())</f>
        <v>No bioeconomía</v>
      </c>
    </row>
    <row r="72" customFormat="false" ht="14.25" hidden="false" customHeight="false" outlineLevel="0" collapsed="false">
      <c r="A72" s="16" t="s">
        <v>927</v>
      </c>
      <c r="B72" s="17" t="s">
        <v>1430</v>
      </c>
      <c r="C72" s="17" t="str">
        <f aca="false">+VLOOKUP(B72,transacciones!$A$1:$I$39,2,FALSE())</f>
        <v>ATC01</v>
      </c>
      <c r="D72" s="17" t="str">
        <f aca="false">+VLOOKUP($B72,transacciones!$A$1:$I$39,4,FALSE())</f>
        <v>Producción de mercado</v>
      </c>
      <c r="E72" s="17" t="str">
        <f aca="false">+VLOOKUP($B72,transacciones!$A$1:$I$39,4,FALSE())</f>
        <v>Producción de mercado</v>
      </c>
      <c r="F72" s="17" t="n">
        <f aca="false">+VLOOKUP(B72,transacciones!$A$2:$I$39,5,FALSE())</f>
        <v>1</v>
      </c>
      <c r="G72" s="17" t="str">
        <f aca="false">+VLOOKUP(B72,transacciones!$A$2:$I$39,6,FALSE())</f>
        <v>P1</v>
      </c>
      <c r="H72" s="17" t="str">
        <f aca="false">+VLOOKUP(B72,transacciones!$A$1:$I$39,7,FALSE())</f>
        <v>Producción</v>
      </c>
      <c r="I72" s="1" t="s">
        <v>1586</v>
      </c>
      <c r="J72" s="1" t="s">
        <v>1587</v>
      </c>
      <c r="K72" s="18" t="s">
        <v>1588</v>
      </c>
      <c r="L72" s="18" t="str">
        <f aca="false">+VLOOKUP(K72,'Correl CIIU'!$A$1:$F$26,2,FALSE())</f>
        <v>Enseñanza</v>
      </c>
      <c r="M72" s="18" t="str">
        <f aca="false">+VLOOKUP(K72,'Correl CIIU'!$A$1:$F$26,3,FALSE())</f>
        <v>Enseñanza</v>
      </c>
      <c r="N72" s="18" t="str">
        <f aca="false">+VLOOKUP(K72,'Correl CIIU'!$A$1:$F$26,4,FALSE())</f>
        <v>Education</v>
      </c>
      <c r="O72" s="18" t="n">
        <v>3</v>
      </c>
      <c r="P72" s="19" t="str">
        <f aca="false">+VLOOKUP(O72,bio!$A$2:$B$4,2,FALSE())</f>
        <v>No bioeconomía</v>
      </c>
    </row>
    <row r="73" customFormat="false" ht="14.25" hidden="false" customHeight="false" outlineLevel="0" collapsed="false">
      <c r="A73" s="16" t="s">
        <v>929</v>
      </c>
      <c r="B73" s="17" t="s">
        <v>1430</v>
      </c>
      <c r="C73" s="17" t="str">
        <f aca="false">+VLOOKUP(B73,transacciones!$A$1:$I$39,2,FALSE())</f>
        <v>ATC01</v>
      </c>
      <c r="D73" s="17" t="str">
        <f aca="false">+VLOOKUP($B73,transacciones!$A$1:$I$39,4,FALSE())</f>
        <v>Producción de mercado</v>
      </c>
      <c r="E73" s="17" t="str">
        <f aca="false">+VLOOKUP($B73,transacciones!$A$1:$I$39,4,FALSE())</f>
        <v>Producción de mercado</v>
      </c>
      <c r="F73" s="17" t="n">
        <f aca="false">+VLOOKUP(B73,transacciones!$A$2:$I$39,5,FALSE())</f>
        <v>1</v>
      </c>
      <c r="G73" s="17" t="str">
        <f aca="false">+VLOOKUP(B73,transacciones!$A$2:$I$39,6,FALSE())</f>
        <v>P1</v>
      </c>
      <c r="H73" s="17" t="str">
        <f aca="false">+VLOOKUP(B73,transacciones!$A$1:$I$39,7,FALSE())</f>
        <v>Producción</v>
      </c>
      <c r="I73" s="1" t="s">
        <v>1589</v>
      </c>
      <c r="J73" s="1" t="s">
        <v>1590</v>
      </c>
      <c r="K73" s="18" t="s">
        <v>1591</v>
      </c>
      <c r="L73" s="18" t="str">
        <f aca="false">+VLOOKUP(K73,'Correl CIIU'!$A$1:$F$26,2,FALSE())</f>
        <v>Actividades de atención de la salud humana y de asistencia social</v>
      </c>
      <c r="M73" s="18" t="str">
        <f aca="false">+VLOOKUP(K73,'Correl CIIU'!$A$1:$F$26,3,FALSE())</f>
        <v>Salud</v>
      </c>
      <c r="N73" s="18" t="str">
        <f aca="false">+VLOOKUP(K73,'Correl CIIU'!$A$1:$F$26,4,FALSE())</f>
        <v>Human health and social work activities</v>
      </c>
      <c r="O73" s="18" t="n">
        <v>3</v>
      </c>
      <c r="P73" s="19" t="str">
        <f aca="false">+VLOOKUP(O73,bio!$A$2:$B$4,2,FALSE())</f>
        <v>No bioeconomía</v>
      </c>
    </row>
    <row r="74" customFormat="false" ht="14.25" hidden="false" customHeight="false" outlineLevel="0" collapsed="false">
      <c r="A74" s="16" t="s">
        <v>931</v>
      </c>
      <c r="B74" s="17" t="s">
        <v>1430</v>
      </c>
      <c r="C74" s="17" t="str">
        <f aca="false">+VLOOKUP(B74,transacciones!$A$1:$I$39,2,FALSE())</f>
        <v>ATC01</v>
      </c>
      <c r="D74" s="17" t="str">
        <f aca="false">+VLOOKUP($B74,transacciones!$A$1:$I$39,4,FALSE())</f>
        <v>Producción de mercado</v>
      </c>
      <c r="E74" s="17" t="str">
        <f aca="false">+VLOOKUP($B74,transacciones!$A$1:$I$39,4,FALSE())</f>
        <v>Producción de mercado</v>
      </c>
      <c r="F74" s="17" t="n">
        <f aca="false">+VLOOKUP(B74,transacciones!$A$2:$I$39,5,FALSE())</f>
        <v>1</v>
      </c>
      <c r="G74" s="17" t="str">
        <f aca="false">+VLOOKUP(B74,transacciones!$A$2:$I$39,6,FALSE())</f>
        <v>P1</v>
      </c>
      <c r="H74" s="17" t="str">
        <f aca="false">+VLOOKUP(B74,transacciones!$A$1:$I$39,7,FALSE())</f>
        <v>Producción</v>
      </c>
      <c r="I74" s="1" t="s">
        <v>1592</v>
      </c>
      <c r="J74" s="1" t="s">
        <v>1593</v>
      </c>
      <c r="K74" s="18" t="s">
        <v>1594</v>
      </c>
      <c r="L74" s="18" t="str">
        <f aca="false">+VLOOKUP(K74,'Correl CIIU'!$A$1:$F$26,2,FALSE())</f>
        <v>Otras actividades de servicios</v>
      </c>
      <c r="M74" s="18" t="str">
        <f aca="false">+VLOOKUP(K74,'Correl CIIU'!$A$1:$F$26,3,FALSE())</f>
        <v>Otros servicios</v>
      </c>
      <c r="N74" s="18" t="str">
        <f aca="false">+VLOOKUP(K74,'Correl CIIU'!$A$1:$F$26,4,FALSE())</f>
        <v>Other service activities</v>
      </c>
      <c r="O74" s="18" t="n">
        <v>3</v>
      </c>
      <c r="P74" s="19" t="str">
        <f aca="false">+VLOOKUP(O74,bio!$A$2:$B$4,2,FALSE())</f>
        <v>No bioeconomía</v>
      </c>
    </row>
    <row r="75" customFormat="false" ht="14.25" hidden="false" customHeight="false" outlineLevel="0" collapsed="false">
      <c r="A75" s="16" t="s">
        <v>933</v>
      </c>
      <c r="B75" s="17" t="s">
        <v>1430</v>
      </c>
      <c r="C75" s="17" t="str">
        <f aca="false">+VLOOKUP(B75,transacciones!$A$1:$I$39,2,FALSE())</f>
        <v>ATC01</v>
      </c>
      <c r="D75" s="17" t="str">
        <f aca="false">+VLOOKUP(B75,transacciones!$A$1:$I$39,3,FALSE())</f>
        <v>Producción / Consumo intermedio</v>
      </c>
      <c r="E75" s="17" t="str">
        <f aca="false">+VLOOKUP($B75,transacciones!$A$1:$I$39,4,FALSE())</f>
        <v>Producción de mercado</v>
      </c>
      <c r="F75" s="17" t="n">
        <f aca="false">+VLOOKUP(B75,transacciones!$A$2:$I$39,5,FALSE())</f>
        <v>1</v>
      </c>
      <c r="G75" s="17" t="str">
        <f aca="false">+VLOOKUP(B75,transacciones!$A$2:$I$39,6,FALSE())</f>
        <v>P1</v>
      </c>
      <c r="H75" s="17" t="str">
        <f aca="false">+VLOOKUP(B75,transacciones!$A$1:$I$39,7,FALSE())</f>
        <v>Producción</v>
      </c>
      <c r="I75" s="1" t="s">
        <v>1595</v>
      </c>
      <c r="J75" s="1" t="s">
        <v>1596</v>
      </c>
      <c r="K75" s="18" t="s">
        <v>1594</v>
      </c>
      <c r="L75" s="18" t="str">
        <f aca="false">+VLOOKUP(K75,'Correl CIIU'!$A$1:$F$26,2,FALSE())</f>
        <v>Otras actividades de servicios</v>
      </c>
      <c r="M75" s="18" t="str">
        <f aca="false">+VLOOKUP(K75,'Correl CIIU'!$A$1:$F$26,3,FALSE())</f>
        <v>Otros servicios</v>
      </c>
      <c r="N75" s="18" t="str">
        <f aca="false">+VLOOKUP(K75,'Correl CIIU'!$A$1:$F$26,4,FALSE())</f>
        <v>Other service activities</v>
      </c>
      <c r="O75" s="18" t="n">
        <v>3</v>
      </c>
      <c r="P75" s="19" t="str">
        <f aca="false">+VLOOKUP(O75,bio!$A$2:$B$4,2,FALSE())</f>
        <v>No bioeconomía</v>
      </c>
      <c r="XFD75" s="21"/>
    </row>
    <row r="76" s="21" customFormat="true" ht="14.25" hidden="false" customHeight="false" outlineLevel="0" collapsed="false">
      <c r="A76" s="22" t="s">
        <v>935</v>
      </c>
      <c r="B76" s="23"/>
      <c r="C76" s="23"/>
      <c r="D76" s="23"/>
      <c r="E76" s="23"/>
      <c r="F76" s="23"/>
      <c r="G76" s="23"/>
      <c r="H76" s="23"/>
      <c r="I76" s="24"/>
      <c r="J76" s="24" t="s">
        <v>1597</v>
      </c>
      <c r="K76" s="25"/>
      <c r="L76" s="25"/>
      <c r="M76" s="25"/>
      <c r="N76" s="25"/>
      <c r="O76" s="25"/>
      <c r="P76" s="26"/>
      <c r="XFD76" s="1"/>
    </row>
    <row r="77" customFormat="false" ht="14.25" hidden="false" customHeight="false" outlineLevel="0" collapsed="false">
      <c r="A77" s="16" t="s">
        <v>937</v>
      </c>
      <c r="B77" s="17" t="s">
        <v>1598</v>
      </c>
      <c r="C77" s="17" t="str">
        <f aca="false">+VLOOKUP(B77,transacciones!$A$1:$I$39,2,FALSE())</f>
        <v>ATC01</v>
      </c>
      <c r="D77" s="17" t="str">
        <f aca="false">+VLOOKUP(B77,transacciones!$A$1:$I$39,3,FALSE())</f>
        <v>Producción / Consumo intermedio</v>
      </c>
      <c r="E77" s="17" t="str">
        <f aca="false">+VLOOKUP($B77,transacciones!$A$1:$I$39,4,FALSE())</f>
        <v>Producción para uso final propio</v>
      </c>
      <c r="F77" s="17" t="n">
        <f aca="false">+VLOOKUP(B77,transacciones!$A$2:$I$39,5,FALSE())</f>
        <v>1</v>
      </c>
      <c r="G77" s="17" t="str">
        <f aca="false">+VLOOKUP(B77,transacciones!$A$2:$I$39,6,FALSE())</f>
        <v>P1</v>
      </c>
      <c r="H77" s="17" t="str">
        <f aca="false">+VLOOKUP(B77,transacciones!$A$1:$I$39,7,FALSE())</f>
        <v>Producción</v>
      </c>
      <c r="I77" s="1" t="s">
        <v>1599</v>
      </c>
      <c r="J77" s="1" t="s">
        <v>1519</v>
      </c>
      <c r="K77" s="20" t="s">
        <v>1520</v>
      </c>
      <c r="L77" s="20" t="s">
        <v>1600</v>
      </c>
      <c r="M77" s="20" t="s">
        <v>1600</v>
      </c>
      <c r="N77" s="20" t="s">
        <v>1601</v>
      </c>
      <c r="O77" s="20" t="n">
        <v>3</v>
      </c>
      <c r="P77" s="27" t="s">
        <v>1602</v>
      </c>
    </row>
    <row r="78" customFormat="false" ht="14.25" hidden="false" customHeight="false" outlineLevel="0" collapsed="false">
      <c r="A78" s="16" t="s">
        <v>939</v>
      </c>
      <c r="B78" s="17" t="s">
        <v>1598</v>
      </c>
      <c r="C78" s="17" t="str">
        <f aca="false">+VLOOKUP(B78,transacciones!$A$1:$I$39,2,FALSE())</f>
        <v>ATC01</v>
      </c>
      <c r="D78" s="17" t="str">
        <f aca="false">+VLOOKUP(B78,transacciones!$A$1:$I$39,3,FALSE())</f>
        <v>Producción / Consumo intermedio</v>
      </c>
      <c r="E78" s="17" t="str">
        <f aca="false">+VLOOKUP($B78,transacciones!$A$1:$I$39,4,FALSE())</f>
        <v>Producción para uso final propio</v>
      </c>
      <c r="F78" s="17" t="n">
        <f aca="false">+VLOOKUP(B78,transacciones!$A$2:$I$39,5,FALSE())</f>
        <v>1</v>
      </c>
      <c r="G78" s="17" t="str">
        <f aca="false">+VLOOKUP(B78,transacciones!$A$2:$I$39,6,FALSE())</f>
        <v>P1</v>
      </c>
      <c r="H78" s="17" t="str">
        <f aca="false">+VLOOKUP(B78,transacciones!$A$1:$I$39,7,FALSE())</f>
        <v>Producción</v>
      </c>
      <c r="I78" s="1" t="s">
        <v>1603</v>
      </c>
      <c r="J78" s="1" t="s">
        <v>1568</v>
      </c>
      <c r="K78" s="20" t="s">
        <v>1569</v>
      </c>
      <c r="L78" s="20" t="s">
        <v>1604</v>
      </c>
      <c r="M78" s="20" t="s">
        <v>1605</v>
      </c>
      <c r="N78" s="20" t="s">
        <v>1606</v>
      </c>
      <c r="O78" s="20" t="n">
        <v>3</v>
      </c>
      <c r="P78" s="27" t="s">
        <v>1602</v>
      </c>
    </row>
    <row r="79" customFormat="false" ht="14.25" hidden="false" customHeight="false" outlineLevel="0" collapsed="false">
      <c r="A79" s="16" t="s">
        <v>941</v>
      </c>
      <c r="B79" s="17" t="s">
        <v>1598</v>
      </c>
      <c r="C79" s="17" t="str">
        <f aca="false">+VLOOKUP(B79,transacciones!$A$1:$I$39,2,FALSE())</f>
        <v>ATC01</v>
      </c>
      <c r="D79" s="17" t="str">
        <f aca="false">+VLOOKUP(B79,transacciones!$A$1:$I$39,3,FALSE())</f>
        <v>Producción / Consumo intermedio</v>
      </c>
      <c r="E79" s="17" t="str">
        <f aca="false">+VLOOKUP($B79,transacciones!$A$1:$I$39,4,FALSE())</f>
        <v>Producción para uso final propio</v>
      </c>
      <c r="F79" s="17" t="n">
        <f aca="false">+VLOOKUP(B79,transacciones!$A$2:$I$39,5,FALSE())</f>
        <v>1</v>
      </c>
      <c r="G79" s="17" t="str">
        <f aca="false">+VLOOKUP(B79,transacciones!$A$2:$I$39,6,FALSE())</f>
        <v>P1</v>
      </c>
      <c r="H79" s="17" t="str">
        <f aca="false">+VLOOKUP(B79,transacciones!$A$1:$I$39,7,FALSE())</f>
        <v>Producción</v>
      </c>
      <c r="I79" s="1" t="n">
        <v>49.1</v>
      </c>
      <c r="J79" s="1" t="s">
        <v>1607</v>
      </c>
      <c r="K79" s="20" t="s">
        <v>1608</v>
      </c>
      <c r="L79" s="20" t="s">
        <v>1609</v>
      </c>
      <c r="M79" s="20" t="s">
        <v>1610</v>
      </c>
      <c r="N79" s="20" t="s">
        <v>1611</v>
      </c>
      <c r="O79" s="20" t="n">
        <v>3</v>
      </c>
      <c r="P79" s="27" t="s">
        <v>1602</v>
      </c>
      <c r="XFD79" s="21"/>
    </row>
    <row r="80" s="21" customFormat="true" ht="14.25" hidden="false" customHeight="false" outlineLevel="0" collapsed="false">
      <c r="A80" s="22" t="s">
        <v>943</v>
      </c>
      <c r="B80" s="23"/>
      <c r="C80" s="23"/>
      <c r="D80" s="23"/>
      <c r="E80" s="23"/>
      <c r="F80" s="23"/>
      <c r="G80" s="23"/>
      <c r="H80" s="23"/>
      <c r="I80" s="24"/>
      <c r="J80" s="24" t="s">
        <v>1612</v>
      </c>
      <c r="K80" s="25"/>
      <c r="L80" s="25"/>
      <c r="M80" s="25"/>
      <c r="N80" s="25"/>
      <c r="O80" s="25"/>
      <c r="P80" s="26"/>
      <c r="XFD80" s="1"/>
    </row>
    <row r="81" customFormat="false" ht="14.25" hidden="false" customHeight="false" outlineLevel="0" collapsed="false">
      <c r="A81" s="16" t="s">
        <v>945</v>
      </c>
      <c r="B81" s="1" t="s">
        <v>1613</v>
      </c>
      <c r="C81" s="1" t="s">
        <v>1614</v>
      </c>
      <c r="D81" s="1" t="s">
        <v>1615</v>
      </c>
      <c r="E81" s="1" t="s">
        <v>1615</v>
      </c>
      <c r="F81" s="1" t="n">
        <v>1</v>
      </c>
      <c r="G81" s="1" t="s">
        <v>1616</v>
      </c>
      <c r="H81" s="1" t="s">
        <v>1617</v>
      </c>
      <c r="I81" s="1" t="s">
        <v>1618</v>
      </c>
      <c r="J81" s="1" t="s">
        <v>1517</v>
      </c>
      <c r="K81" s="18" t="s">
        <v>1515</v>
      </c>
      <c r="L81" s="18" t="str">
        <f aca="false">+VLOOKUP(K81,'Correl CIIU'!$A$1:$F$26,2,FALSE())</f>
        <v>Suministro de agua; evacuación de aguas residuales, gestión de desechos y descontaminación</v>
      </c>
      <c r="M81" s="18" t="str">
        <f aca="false">+VLOOKUP(K81,'Correl CIIU'!$A$1:$F$26,3,FALSE())</f>
        <v>Suministro de agua</v>
      </c>
      <c r="N81" s="18" t="str">
        <f aca="false">+VLOOKUP(K81,'Correl CIIU'!$A$1:$F$26,4,FALSE())</f>
        <v>Water supply; sewerage, waste management and remediation activities</v>
      </c>
      <c r="O81" s="18" t="n">
        <v>2</v>
      </c>
      <c r="P81" s="19" t="str">
        <f aca="false">+VLOOKUP(O81,bio!$A$2:$B$4,2,FALSE())</f>
        <v>Bioeconomía extendida</v>
      </c>
    </row>
    <row r="82" customFormat="false" ht="14.25" hidden="false" customHeight="false" outlineLevel="0" collapsed="false">
      <c r="A82" s="16" t="s">
        <v>947</v>
      </c>
      <c r="B82" s="1" t="s">
        <v>1613</v>
      </c>
      <c r="C82" s="1" t="s">
        <v>1614</v>
      </c>
      <c r="D82" s="1" t="s">
        <v>1615</v>
      </c>
      <c r="E82" s="1" t="s">
        <v>1615</v>
      </c>
      <c r="F82" s="1" t="n">
        <v>1</v>
      </c>
      <c r="G82" s="1" t="s">
        <v>1616</v>
      </c>
      <c r="H82" s="1" t="s">
        <v>1617</v>
      </c>
      <c r="I82" s="1" t="s">
        <v>1619</v>
      </c>
      <c r="J82" s="1" t="s">
        <v>1557</v>
      </c>
      <c r="K82" s="20" t="s">
        <v>1548</v>
      </c>
      <c r="L82" s="20" t="s">
        <v>1549</v>
      </c>
      <c r="M82" s="20" t="s">
        <v>1549</v>
      </c>
      <c r="N82" s="20" t="s">
        <v>1550</v>
      </c>
      <c r="O82" s="20" t="n">
        <v>3</v>
      </c>
      <c r="P82" s="27" t="s">
        <v>1602</v>
      </c>
    </row>
    <row r="83" customFormat="false" ht="14.25" hidden="false" customHeight="false" outlineLevel="0" collapsed="false">
      <c r="A83" s="16" t="s">
        <v>949</v>
      </c>
      <c r="B83" s="1" t="s">
        <v>1613</v>
      </c>
      <c r="C83" s="1" t="s">
        <v>1614</v>
      </c>
      <c r="D83" s="1" t="s">
        <v>1615</v>
      </c>
      <c r="E83" s="1" t="s">
        <v>1615</v>
      </c>
      <c r="F83" s="1" t="n">
        <v>1</v>
      </c>
      <c r="G83" s="1" t="s">
        <v>1616</v>
      </c>
      <c r="H83" s="1" t="s">
        <v>1617</v>
      </c>
      <c r="I83" s="1" t="s">
        <v>1620</v>
      </c>
      <c r="J83" s="1" t="s">
        <v>1578</v>
      </c>
      <c r="K83" s="18" t="s">
        <v>1574</v>
      </c>
      <c r="L83" s="18" t="str">
        <f aca="false">+VLOOKUP(K83,'Correl CIIU'!$A$1:$F$26,2,FALSE())</f>
        <v>Actividades profesionales, científicas y técnicas</v>
      </c>
      <c r="M83" s="18" t="str">
        <f aca="false">+VLOOKUP(K83,'Correl CIIU'!$A$1:$F$26,3,FALSE())</f>
        <v>Servicios profesionales</v>
      </c>
      <c r="N83" s="18" t="str">
        <f aca="false">+VLOOKUP(K83,'Correl CIIU'!$A$1:$F$26,4,FALSE())</f>
        <v>Professional, scientific and technical activities</v>
      </c>
      <c r="O83" s="18" t="n">
        <v>2</v>
      </c>
      <c r="P83" s="19" t="str">
        <f aca="false">+VLOOKUP(O83,bio!$A$2:$B$4,2,FALSE())</f>
        <v>Bioeconomía extendida</v>
      </c>
    </row>
    <row r="84" customFormat="false" ht="14.25" hidden="false" customHeight="false" outlineLevel="0" collapsed="false">
      <c r="A84" s="16" t="s">
        <v>951</v>
      </c>
      <c r="B84" s="1" t="s">
        <v>1613</v>
      </c>
      <c r="C84" s="1" t="s">
        <v>1614</v>
      </c>
      <c r="D84" s="1" t="s">
        <v>1615</v>
      </c>
      <c r="E84" s="1" t="s">
        <v>1615</v>
      </c>
      <c r="F84" s="1" t="n">
        <v>1</v>
      </c>
      <c r="G84" s="1" t="s">
        <v>1616</v>
      </c>
      <c r="H84" s="1" t="s">
        <v>1617</v>
      </c>
      <c r="I84" s="1" t="n">
        <v>50.1</v>
      </c>
      <c r="J84" s="1" t="s">
        <v>1621</v>
      </c>
      <c r="K84" s="18" t="s">
        <v>1622</v>
      </c>
      <c r="L84" s="18" t="str">
        <f aca="false">+VLOOKUP(K84,'Correl CIIU'!$A$1:$F$26,2,FALSE())</f>
        <v>Administración pública y defensa; planes de seguridad social de afiliación obligatoria</v>
      </c>
      <c r="M84" s="18" t="str">
        <f aca="false">+VLOOKUP(K84,'Correl CIIU'!$A$1:$F$26,3,FALSE())</f>
        <v>Administración pública</v>
      </c>
      <c r="N84" s="18" t="str">
        <f aca="false">+VLOOKUP(K84,'Correl CIIU'!$A$1:$F$26,4,FALSE())</f>
        <v>Public administration and defence; compulsory social security</v>
      </c>
      <c r="O84" s="18" t="n">
        <v>3</v>
      </c>
      <c r="P84" s="19" t="str">
        <f aca="false">+VLOOKUP(O84,bio!$A$2:$B$4,2,FALSE())</f>
        <v>No bioeconomía</v>
      </c>
    </row>
    <row r="85" customFormat="false" ht="14.25" hidden="false" customHeight="false" outlineLevel="0" collapsed="false">
      <c r="A85" s="16" t="s">
        <v>953</v>
      </c>
      <c r="B85" s="1" t="s">
        <v>1613</v>
      </c>
      <c r="C85" s="1" t="s">
        <v>1614</v>
      </c>
      <c r="D85" s="1" t="s">
        <v>1615</v>
      </c>
      <c r="E85" s="1" t="s">
        <v>1615</v>
      </c>
      <c r="F85" s="1" t="n">
        <v>1</v>
      </c>
      <c r="G85" s="1" t="s">
        <v>1616</v>
      </c>
      <c r="H85" s="1" t="s">
        <v>1617</v>
      </c>
      <c r="I85" s="1" t="n">
        <v>50.2</v>
      </c>
      <c r="J85" s="1" t="s">
        <v>1623</v>
      </c>
      <c r="K85" s="18" t="s">
        <v>1624</v>
      </c>
      <c r="L85" s="18" t="str">
        <f aca="false">+VLOOKUP(K85,'Correl CIIU'!$A$1:$F$26,2,FALSE())</f>
        <v>Actividades artísticas, de entretenimiento y recreativas</v>
      </c>
      <c r="M85" s="18" t="str">
        <f aca="false">+VLOOKUP(K85,'Correl CIIU'!$A$1:$F$26,3,FALSE())</f>
        <v>Recreación</v>
      </c>
      <c r="N85" s="18" t="str">
        <f aca="false">+VLOOKUP(K85,'Correl CIIU'!$A$1:$F$26,4,FALSE())</f>
        <v>Arts, entertainment and recreation</v>
      </c>
      <c r="O85" s="18" t="n">
        <v>3</v>
      </c>
      <c r="P85" s="19" t="str">
        <f aca="false">+VLOOKUP(O85,bio!$A$2:$B$4,2,FALSE())</f>
        <v>No bioeconomía</v>
      </c>
    </row>
    <row r="86" customFormat="false" ht="14.25" hidden="false" customHeight="false" outlineLevel="0" collapsed="false">
      <c r="A86" s="16" t="s">
        <v>955</v>
      </c>
      <c r="B86" s="1" t="s">
        <v>1613</v>
      </c>
      <c r="C86" s="1" t="s">
        <v>1614</v>
      </c>
      <c r="D86" s="1" t="s">
        <v>1615</v>
      </c>
      <c r="E86" s="1" t="s">
        <v>1615</v>
      </c>
      <c r="F86" s="1" t="n">
        <v>1</v>
      </c>
      <c r="G86" s="1" t="s">
        <v>1616</v>
      </c>
      <c r="H86" s="1" t="s">
        <v>1617</v>
      </c>
      <c r="I86" s="1" t="n">
        <v>50.3</v>
      </c>
      <c r="J86" s="1" t="s">
        <v>1625</v>
      </c>
      <c r="K86" s="18" t="s">
        <v>1622</v>
      </c>
      <c r="L86" s="18" t="str">
        <f aca="false">+VLOOKUP(K86,'Correl CIIU'!$A$1:$F$26,2,FALSE())</f>
        <v>Administración pública y defensa; planes de seguridad social de afiliación obligatoria</v>
      </c>
      <c r="M86" s="18" t="str">
        <f aca="false">+VLOOKUP(K86,'Correl CIIU'!$A$1:$F$26,3,FALSE())</f>
        <v>Administración pública</v>
      </c>
      <c r="N86" s="18" t="str">
        <f aca="false">+VLOOKUP(K86,'Correl CIIU'!$A$1:$F$26,4,FALSE())</f>
        <v>Public administration and defence; compulsory social security</v>
      </c>
      <c r="O86" s="18" t="n">
        <v>3</v>
      </c>
      <c r="P86" s="19" t="str">
        <f aca="false">+VLOOKUP(O86,bio!$A$2:$B$4,2,FALSE())</f>
        <v>No bioeconomía</v>
      </c>
    </row>
    <row r="87" customFormat="false" ht="14.25" hidden="false" customHeight="false" outlineLevel="0" collapsed="false">
      <c r="A87" s="16" t="s">
        <v>957</v>
      </c>
      <c r="B87" s="1" t="s">
        <v>1613</v>
      </c>
      <c r="C87" s="1" t="s">
        <v>1614</v>
      </c>
      <c r="D87" s="1" t="s">
        <v>1615</v>
      </c>
      <c r="E87" s="1" t="s">
        <v>1615</v>
      </c>
      <c r="F87" s="1" t="n">
        <v>1</v>
      </c>
      <c r="G87" s="1" t="s">
        <v>1616</v>
      </c>
      <c r="H87" s="1" t="s">
        <v>1617</v>
      </c>
      <c r="I87" s="1" t="s">
        <v>1626</v>
      </c>
      <c r="J87" s="1" t="s">
        <v>1587</v>
      </c>
      <c r="K87" s="18" t="s">
        <v>1588</v>
      </c>
      <c r="L87" s="18" t="str">
        <f aca="false">+VLOOKUP(K87,'Correl CIIU'!$A$1:$F$26,2,FALSE())</f>
        <v>Enseñanza</v>
      </c>
      <c r="M87" s="18" t="str">
        <f aca="false">+VLOOKUP(K87,'Correl CIIU'!$A$1:$F$26,3,FALSE())</f>
        <v>Enseñanza</v>
      </c>
      <c r="N87" s="18" t="str">
        <f aca="false">+VLOOKUP(K87,'Correl CIIU'!$A$1:$F$26,4,FALSE())</f>
        <v>Education</v>
      </c>
      <c r="O87" s="18" t="n">
        <v>3</v>
      </c>
      <c r="P87" s="19" t="str">
        <f aca="false">+VLOOKUP(O87,bio!$A$2:$B$4,2,FALSE())</f>
        <v>No bioeconomía</v>
      </c>
      <c r="XFD87" s="21"/>
    </row>
    <row r="88" customFormat="false" ht="14.25" hidden="false" customHeight="false" outlineLevel="0" collapsed="false">
      <c r="A88" s="16" t="s">
        <v>959</v>
      </c>
      <c r="B88" s="1" t="s">
        <v>1613</v>
      </c>
      <c r="C88" s="1" t="s">
        <v>1614</v>
      </c>
      <c r="D88" s="1" t="s">
        <v>1615</v>
      </c>
      <c r="E88" s="1" t="s">
        <v>1615</v>
      </c>
      <c r="F88" s="1" t="n">
        <v>1</v>
      </c>
      <c r="G88" s="1" t="s">
        <v>1616</v>
      </c>
      <c r="H88" s="1" t="s">
        <v>1617</v>
      </c>
      <c r="I88" s="1" t="s">
        <v>1627</v>
      </c>
      <c r="J88" s="1" t="s">
        <v>1590</v>
      </c>
      <c r="K88" s="18" t="s">
        <v>1591</v>
      </c>
      <c r="L88" s="18" t="str">
        <f aca="false">+VLOOKUP(K88,'Correl CIIU'!$A$1:$F$26,2,FALSE())</f>
        <v>Actividades de atención de la salud humana y de asistencia social</v>
      </c>
      <c r="M88" s="18" t="str">
        <f aca="false">+VLOOKUP(K88,'Correl CIIU'!$A$1:$F$26,3,FALSE())</f>
        <v>Salud</v>
      </c>
      <c r="N88" s="18" t="str">
        <f aca="false">+VLOOKUP(K88,'Correl CIIU'!$A$1:$F$26,4,FALSE())</f>
        <v>Human health and social work activities</v>
      </c>
      <c r="O88" s="18" t="n">
        <v>3</v>
      </c>
      <c r="P88" s="19" t="str">
        <f aca="false">+VLOOKUP(O88,bio!$A$2:$B$4,2,FALSE())</f>
        <v>No bioeconomía</v>
      </c>
      <c r="XFD88" s="1"/>
    </row>
    <row r="89" customFormat="false" ht="14.25" hidden="false" customHeight="false" outlineLevel="0" collapsed="false">
      <c r="A89" s="16" t="s">
        <v>961</v>
      </c>
      <c r="B89" s="1" t="s">
        <v>1613</v>
      </c>
      <c r="C89" s="1" t="s">
        <v>1614</v>
      </c>
      <c r="D89" s="1" t="s">
        <v>1615</v>
      </c>
      <c r="E89" s="1" t="s">
        <v>1615</v>
      </c>
      <c r="F89" s="1" t="n">
        <v>1</v>
      </c>
      <c r="G89" s="1" t="s">
        <v>1616</v>
      </c>
      <c r="H89" s="1" t="s">
        <v>1617</v>
      </c>
      <c r="I89" s="1" t="s">
        <v>1628</v>
      </c>
      <c r="J89" s="1" t="s">
        <v>1593</v>
      </c>
      <c r="K89" s="18" t="s">
        <v>1594</v>
      </c>
      <c r="L89" s="18" t="str">
        <f aca="false">+VLOOKUP(K89,'Correl CIIU'!$A$1:$F$26,2,FALSE())</f>
        <v>Otras actividades de servicios</v>
      </c>
      <c r="M89" s="18" t="str">
        <f aca="false">+VLOOKUP(K89,'Correl CIIU'!$A$1:$F$26,3,FALSE())</f>
        <v>Otros servicios</v>
      </c>
      <c r="N89" s="18" t="str">
        <f aca="false">+VLOOKUP(K89,'Correl CIIU'!$A$1:$F$26,4,FALSE())</f>
        <v>Other service activities</v>
      </c>
      <c r="O89" s="18" t="n">
        <v>3</v>
      </c>
      <c r="P89" s="19" t="str">
        <f aca="false">+VLOOKUP(O89,bio!$A$2:$B$4,2,FALSE())</f>
        <v>No bioeconomía</v>
      </c>
      <c r="XFD89" s="21"/>
    </row>
    <row r="90" customFormat="false" ht="14.25" hidden="false" customHeight="false" outlineLevel="0" collapsed="false">
      <c r="A90" s="16" t="s">
        <v>963</v>
      </c>
      <c r="B90" s="1" t="s">
        <v>1613</v>
      </c>
      <c r="C90" s="1" t="s">
        <v>1614</v>
      </c>
      <c r="D90" s="1" t="s">
        <v>1615</v>
      </c>
      <c r="E90" s="1" t="s">
        <v>1615</v>
      </c>
      <c r="F90" s="1" t="n">
        <v>1</v>
      </c>
      <c r="G90" s="1" t="s">
        <v>1616</v>
      </c>
      <c r="H90" s="1" t="s">
        <v>1617</v>
      </c>
      <c r="I90" s="1" t="s">
        <v>1629</v>
      </c>
      <c r="J90" s="1" t="s">
        <v>1596</v>
      </c>
      <c r="K90" s="18" t="s">
        <v>1594</v>
      </c>
      <c r="L90" s="18" t="str">
        <f aca="false">+VLOOKUP(K90,'Correl CIIU'!$A$1:$F$26,2,FALSE())</f>
        <v>Otras actividades de servicios</v>
      </c>
      <c r="M90" s="18" t="str">
        <f aca="false">+VLOOKUP(K90,'Correl CIIU'!$A$1:$F$26,3,FALSE())</f>
        <v>Otros servicios</v>
      </c>
      <c r="N90" s="18" t="str">
        <f aca="false">+VLOOKUP(K90,'Correl CIIU'!$A$1:$F$26,4,FALSE())</f>
        <v>Other service activities</v>
      </c>
      <c r="O90" s="18" t="n">
        <v>3</v>
      </c>
      <c r="P90" s="19" t="str">
        <f aca="false">+VLOOKUP(O90,bio!$A$2:$B$4,2,FALSE())</f>
        <v>No bioeconomía</v>
      </c>
    </row>
    <row r="91" s="21" customFormat="true" ht="14.25" hidden="false" customHeight="false" outlineLevel="0" collapsed="false">
      <c r="A91" s="22" t="s">
        <v>965</v>
      </c>
      <c r="B91" s="23"/>
      <c r="C91" s="23"/>
      <c r="D91" s="23"/>
      <c r="E91" s="23"/>
      <c r="F91" s="23"/>
      <c r="G91" s="23"/>
      <c r="H91" s="23"/>
      <c r="I91" s="24"/>
      <c r="J91" s="24" t="s">
        <v>1630</v>
      </c>
      <c r="K91" s="25" t="s">
        <v>1631</v>
      </c>
      <c r="L91" s="25" t="s">
        <v>1631</v>
      </c>
      <c r="M91" s="25" t="s">
        <v>1631</v>
      </c>
      <c r="N91" s="25" t="s">
        <v>1631</v>
      </c>
      <c r="O91" s="25" t="s">
        <v>1631</v>
      </c>
      <c r="P91" s="26" t="s">
        <v>1631</v>
      </c>
      <c r="XFD91" s="1"/>
    </row>
    <row r="92" s="21" customFormat="true" ht="14.25" hidden="false" customHeight="false" outlineLevel="0" collapsed="false">
      <c r="A92" s="22" t="s">
        <v>967</v>
      </c>
      <c r="B92" s="23"/>
      <c r="C92" s="23"/>
      <c r="D92" s="23"/>
      <c r="E92" s="23"/>
      <c r="F92" s="23"/>
      <c r="G92" s="23"/>
      <c r="H92" s="23"/>
      <c r="I92" s="24"/>
      <c r="J92" s="24" t="s">
        <v>1632</v>
      </c>
      <c r="K92" s="25"/>
      <c r="L92" s="25"/>
      <c r="M92" s="25"/>
      <c r="N92" s="25"/>
      <c r="O92" s="25"/>
      <c r="P92" s="26"/>
      <c r="XFD92" s="1"/>
    </row>
    <row r="93" customFormat="false" ht="14.25" hidden="false" customHeight="false" outlineLevel="0" collapsed="false">
      <c r="A93" s="17" t="s">
        <v>971</v>
      </c>
      <c r="B93" s="17" t="s">
        <v>1633</v>
      </c>
      <c r="C93" s="17" t="str">
        <f aca="false">+VLOOKUP(B93,transacciones!$A$1:$I$39,2,FALSE())</f>
        <v>ATC02</v>
      </c>
      <c r="D93" s="17" t="str">
        <f aca="false">+VLOOKUP($B93,transacciones!$A$1:$I$39,4,FALSE())</f>
        <v>Importaciones de bienes</v>
      </c>
      <c r="E93" s="17" t="str">
        <f aca="false">+VLOOKUP($B93,transacciones!$A$1:$I$39,4,FALSE())</f>
        <v>Importaciones de bienes</v>
      </c>
      <c r="F93" s="17" t="n">
        <f aca="false">+VLOOKUP(B93,transacciones!$A$2:$I$39,5,FALSE())</f>
        <v>7</v>
      </c>
      <c r="G93" s="17" t="str">
        <f aca="false">+VLOOKUP(B93,transacciones!$A$2:$I$39,6,FALSE())</f>
        <v>P7</v>
      </c>
      <c r="H93" s="17" t="str">
        <f aca="false">+VLOOKUP(B93,transacciones!$A$1:$I$39,7,FALSE())</f>
        <v>Importaciones de bienes y servicios</v>
      </c>
      <c r="I93" s="21" t="s">
        <v>1634</v>
      </c>
      <c r="J93" s="1" t="s">
        <v>1635</v>
      </c>
      <c r="K93" s="18" t="s">
        <v>1631</v>
      </c>
      <c r="L93" s="18" t="s">
        <v>1631</v>
      </c>
      <c r="M93" s="18" t="s">
        <v>1631</v>
      </c>
      <c r="N93" s="18" t="s">
        <v>1631</v>
      </c>
      <c r="O93" s="18" t="s">
        <v>1631</v>
      </c>
      <c r="P93" s="19" t="s">
        <v>1631</v>
      </c>
    </row>
    <row r="94" customFormat="false" ht="14.25" hidden="false" customHeight="false" outlineLevel="0" collapsed="false">
      <c r="A94" s="16" t="s">
        <v>973</v>
      </c>
      <c r="B94" s="17" t="s">
        <v>1636</v>
      </c>
      <c r="C94" s="17" t="str">
        <f aca="false">+VLOOKUP(B94,transacciones!$A$1:$I$39,2,FALSE())</f>
        <v>ATC02</v>
      </c>
      <c r="D94" s="17" t="str">
        <f aca="false">+VLOOKUP($B94,transacciones!$A$1:$I$39,4,FALSE())</f>
        <v>Importaciones de servicios</v>
      </c>
      <c r="E94" s="17" t="str">
        <f aca="false">+VLOOKUP($B94,transacciones!$A$1:$I$39,4,FALSE())</f>
        <v>Importaciones de servicios</v>
      </c>
      <c r="F94" s="17" t="n">
        <f aca="false">+VLOOKUP(B94,transacciones!$A$2:$I$39,5,FALSE())</f>
        <v>7</v>
      </c>
      <c r="G94" s="17" t="str">
        <f aca="false">+VLOOKUP(B94,transacciones!$A$2:$I$39,6,FALSE())</f>
        <v>P7</v>
      </c>
      <c r="H94" s="17" t="str">
        <f aca="false">+VLOOKUP(B94,transacciones!$A$1:$I$39,7,FALSE())</f>
        <v>Importaciones de bienes y servicios</v>
      </c>
      <c r="I94" s="21" t="s">
        <v>1634</v>
      </c>
      <c r="J94" s="1" t="s">
        <v>1637</v>
      </c>
      <c r="K94" s="18" t="s">
        <v>1631</v>
      </c>
      <c r="L94" s="18" t="s">
        <v>1631</v>
      </c>
      <c r="M94" s="18" t="s">
        <v>1631</v>
      </c>
      <c r="N94" s="18" t="s">
        <v>1631</v>
      </c>
      <c r="O94" s="18" t="s">
        <v>1631</v>
      </c>
      <c r="P94" s="19" t="s">
        <v>1631</v>
      </c>
    </row>
    <row r="95" s="21" customFormat="true" ht="14.25" hidden="false" customHeight="false" outlineLevel="0" collapsed="false">
      <c r="A95" s="22" t="s">
        <v>975</v>
      </c>
      <c r="B95" s="23"/>
      <c r="C95" s="23"/>
      <c r="D95" s="23"/>
      <c r="E95" s="23"/>
      <c r="F95" s="23"/>
      <c r="G95" s="23"/>
      <c r="H95" s="23"/>
      <c r="I95" s="24"/>
      <c r="J95" s="24" t="s">
        <v>1638</v>
      </c>
      <c r="K95" s="25" t="s">
        <v>1631</v>
      </c>
      <c r="L95" s="25" t="s">
        <v>1631</v>
      </c>
      <c r="M95" s="25" t="s">
        <v>1631</v>
      </c>
      <c r="N95" s="25" t="s">
        <v>1631</v>
      </c>
      <c r="O95" s="25" t="s">
        <v>1631</v>
      </c>
      <c r="P95" s="26" t="s">
        <v>1631</v>
      </c>
      <c r="XFD95" s="1"/>
    </row>
    <row r="96" customFormat="false" ht="14.25" hidden="false" customHeight="false" outlineLevel="0" collapsed="false">
      <c r="A96" s="16" t="s">
        <v>977</v>
      </c>
      <c r="B96" s="17" t="s">
        <v>1639</v>
      </c>
      <c r="C96" s="17" t="str">
        <f aca="false">+VLOOKUP(B96,transacciones!$A$1:$I$39,2,FALSE())</f>
        <v>ATC03</v>
      </c>
      <c r="D96" s="17" t="str">
        <f aca="false">+VLOOKUP($B96,transacciones!$A$1:$I$39,4,FALSE())</f>
        <v>Ajuste CIF/FOB sobre importaciones</v>
      </c>
      <c r="E96" s="17" t="str">
        <f aca="false">+VLOOKUP($B96,transacciones!$A$1:$I$39,4,FALSE())</f>
        <v>Ajuste CIF/FOB sobre importaciones</v>
      </c>
      <c r="F96" s="17" t="n">
        <f aca="false">+VLOOKUP(B96,transacciones!$A$2:$I$39,5,FALSE())</f>
        <v>8</v>
      </c>
      <c r="G96" s="17" t="str">
        <f aca="false">+VLOOKUP(B96,transacciones!$A$2:$I$39,6,FALSE())</f>
        <v>CIF</v>
      </c>
      <c r="H96" s="17" t="str">
        <f aca="false">+VLOOKUP(B96,transacciones!$A$1:$I$39,7,FALSE())</f>
        <v>Ajuste CIF/FOB sobre importaciones</v>
      </c>
      <c r="I96" s="1" t="s">
        <v>1640</v>
      </c>
      <c r="J96" s="1" t="s">
        <v>1640</v>
      </c>
      <c r="K96" s="18" t="s">
        <v>1631</v>
      </c>
      <c r="L96" s="18" t="s">
        <v>1631</v>
      </c>
      <c r="M96" s="18" t="s">
        <v>1631</v>
      </c>
      <c r="N96" s="18" t="s">
        <v>1631</v>
      </c>
      <c r="O96" s="18" t="s">
        <v>1631</v>
      </c>
      <c r="P96" s="19" t="s">
        <v>1631</v>
      </c>
    </row>
    <row r="97" customFormat="false" ht="14.25" hidden="false" customHeight="false" outlineLevel="0" collapsed="false">
      <c r="A97" s="22" t="s">
        <v>979</v>
      </c>
      <c r="B97" s="23"/>
      <c r="C97" s="23"/>
      <c r="D97" s="23"/>
      <c r="E97" s="23"/>
      <c r="F97" s="23"/>
      <c r="G97" s="23"/>
      <c r="H97" s="23"/>
      <c r="I97" s="24"/>
      <c r="J97" s="24" t="s">
        <v>1641</v>
      </c>
      <c r="K97" s="25" t="s">
        <v>1631</v>
      </c>
      <c r="L97" s="25" t="s">
        <v>1631</v>
      </c>
      <c r="M97" s="25" t="s">
        <v>1631</v>
      </c>
      <c r="N97" s="25" t="s">
        <v>1631</v>
      </c>
      <c r="O97" s="25" t="s">
        <v>1631</v>
      </c>
      <c r="P97" s="26" t="s">
        <v>1631</v>
      </c>
    </row>
    <row r="98" customFormat="false" ht="14.25" hidden="false" customHeight="false" outlineLevel="0" collapsed="false">
      <c r="A98" s="16" t="s">
        <v>981</v>
      </c>
      <c r="B98" s="17" t="s">
        <v>1642</v>
      </c>
      <c r="C98" s="17" t="str">
        <f aca="false">+VLOOKUP(B98,transacciones!$A$1:$I$39,2,FALSE())</f>
        <v>ATC04</v>
      </c>
      <c r="D98" s="17" t="str">
        <f aca="false">+VLOOKUP($B98,transacciones!$A$1:$I$39,4,FALSE())</f>
        <v>Impuestos tipo valor agregado (IVA)</v>
      </c>
      <c r="E98" s="17" t="str">
        <f aca="false">+VLOOKUP($B98,transacciones!$A$1:$I$39,4,FALSE())</f>
        <v>Impuestos tipo valor agregado (IVA)</v>
      </c>
      <c r="F98" s="17" t="n">
        <f aca="false">+VLOOKUP(B98,transacciones!$A$2:$I$39,5,FALSE())</f>
        <v>9</v>
      </c>
      <c r="G98" s="17" t="str">
        <f aca="false">+VLOOKUP(B98,transacciones!$A$2:$I$39,6,FALSE())</f>
        <v>D2</v>
      </c>
      <c r="H98" s="17" t="str">
        <f aca="false">+VLOOKUP(B98,transacciones!$A$1:$I$39,7,FALSE())</f>
        <v>Impuestos sobre la producción y las importaciones</v>
      </c>
      <c r="I98" s="1" t="s">
        <v>1643</v>
      </c>
      <c r="J98" s="1" t="s">
        <v>1644</v>
      </c>
      <c r="K98" s="18" t="s">
        <v>1631</v>
      </c>
      <c r="L98" s="18" t="s">
        <v>1631</v>
      </c>
      <c r="M98" s="18" t="s">
        <v>1631</v>
      </c>
      <c r="N98" s="18" t="s">
        <v>1631</v>
      </c>
      <c r="O98" s="18" t="s">
        <v>1631</v>
      </c>
      <c r="P98" s="19" t="s">
        <v>1631</v>
      </c>
    </row>
    <row r="99" customFormat="false" ht="14.25" hidden="false" customHeight="false" outlineLevel="0" collapsed="false">
      <c r="A99" s="16" t="s">
        <v>983</v>
      </c>
      <c r="B99" s="17" t="s">
        <v>1645</v>
      </c>
      <c r="C99" s="17" t="str">
        <f aca="false">+VLOOKUP(B99,transacciones!$A$1:$I$39,2,FALSE())</f>
        <v>ATC04</v>
      </c>
      <c r="D99" s="17" t="str">
        <f aca="false">+VLOOKUP($B99,transacciones!$A$1:$I$39,4,FALSE())</f>
        <v>Impuestos y derechos sobre las importaciones excepto IVA</v>
      </c>
      <c r="E99" s="17" t="str">
        <f aca="false">+VLOOKUP($B99,transacciones!$A$1:$I$39,4,FALSE())</f>
        <v>Impuestos y derechos sobre las importaciones excepto IVA</v>
      </c>
      <c r="F99" s="17" t="n">
        <f aca="false">+VLOOKUP(B99,transacciones!$A$2:$I$39,5,FALSE())</f>
        <v>9</v>
      </c>
      <c r="G99" s="17" t="str">
        <f aca="false">+VLOOKUP(B99,transacciones!$A$2:$I$39,6,FALSE())</f>
        <v>D2</v>
      </c>
      <c r="H99" s="17" t="str">
        <f aca="false">+VLOOKUP(B99,transacciones!$A$1:$I$39,7,FALSE())</f>
        <v>Impuestos sobre la producción y las importaciones</v>
      </c>
      <c r="I99" s="1" t="s">
        <v>1646</v>
      </c>
      <c r="J99" s="1" t="s">
        <v>1647</v>
      </c>
      <c r="K99" s="18" t="s">
        <v>1631</v>
      </c>
      <c r="L99" s="18" t="s">
        <v>1631</v>
      </c>
      <c r="M99" s="18" t="s">
        <v>1631</v>
      </c>
      <c r="N99" s="18" t="s">
        <v>1631</v>
      </c>
      <c r="O99" s="18" t="s">
        <v>1631</v>
      </c>
      <c r="P99" s="19" t="s">
        <v>1631</v>
      </c>
    </row>
    <row r="100" customFormat="false" ht="14.25" hidden="false" customHeight="false" outlineLevel="0" collapsed="false">
      <c r="A100" s="16" t="s">
        <v>985</v>
      </c>
      <c r="B100" s="17" t="s">
        <v>1648</v>
      </c>
      <c r="C100" s="17" t="str">
        <f aca="false">+VLOOKUP(B100,transacciones!$A$1:$I$39,2,FALSE())</f>
        <v>ATC04</v>
      </c>
      <c r="D100" s="17" t="str">
        <f aca="false">+VLOOKUP($B100,transacciones!$A$1:$I$39,4,FALSE())</f>
        <v>Impuestos sobre las exportaciones</v>
      </c>
      <c r="E100" s="17" t="str">
        <f aca="false">+VLOOKUP($B100,transacciones!$A$1:$I$39,4,FALSE())</f>
        <v>Impuestos sobre las exportaciones</v>
      </c>
      <c r="F100" s="17" t="n">
        <f aca="false">+VLOOKUP(B100,transacciones!$A$2:$I$39,5,FALSE())</f>
        <v>9</v>
      </c>
      <c r="G100" s="17" t="str">
        <f aca="false">+VLOOKUP(B100,transacciones!$A$2:$I$39,6,FALSE())</f>
        <v>D2</v>
      </c>
      <c r="H100" s="17" t="str">
        <f aca="false">+VLOOKUP(B100,transacciones!$A$1:$I$39,7,FALSE())</f>
        <v>Impuestos sobre la producción y las importaciones</v>
      </c>
      <c r="I100" s="1" t="s">
        <v>1649</v>
      </c>
      <c r="J100" s="1" t="s">
        <v>1650</v>
      </c>
      <c r="K100" s="18" t="s">
        <v>1631</v>
      </c>
      <c r="L100" s="18" t="s">
        <v>1631</v>
      </c>
      <c r="M100" s="18" t="s">
        <v>1631</v>
      </c>
      <c r="N100" s="18" t="s">
        <v>1631</v>
      </c>
      <c r="O100" s="18" t="s">
        <v>1631</v>
      </c>
      <c r="P100" s="19" t="s">
        <v>1631</v>
      </c>
    </row>
    <row r="101" customFormat="false" ht="14.25" hidden="false" customHeight="false" outlineLevel="0" collapsed="false">
      <c r="A101" s="17" t="s">
        <v>987</v>
      </c>
      <c r="B101" s="17" t="s">
        <v>1651</v>
      </c>
      <c r="C101" s="17" t="str">
        <f aca="false">+VLOOKUP(B101,transacciones!$A$1:$I$39,2,FALSE())</f>
        <v>ATC04</v>
      </c>
      <c r="D101" s="17" t="str">
        <f aca="false">+VLOOKUP($B101,transacciones!$A$1:$I$39,4,FALSE())</f>
        <v>Impuestos sobre los productos, excepto IVA e impuestos sobre las importaciones </v>
      </c>
      <c r="E101" s="17" t="str">
        <f aca="false">+VLOOKUP($B101,transacciones!$A$1:$I$39,4,FALSE())</f>
        <v>Impuestos sobre los productos, excepto IVA e impuestos sobre las importaciones </v>
      </c>
      <c r="F101" s="17" t="n">
        <f aca="false">+VLOOKUP(B101,transacciones!$A$2:$I$39,5,FALSE())</f>
        <v>9</v>
      </c>
      <c r="G101" s="17" t="str">
        <f aca="false">+VLOOKUP(B101,transacciones!$A$2:$I$39,6,FALSE())</f>
        <v>D2</v>
      </c>
      <c r="H101" s="17" t="str">
        <f aca="false">+VLOOKUP(B101,transacciones!$A$1:$I$39,7,FALSE())</f>
        <v>Impuestos sobre la producción y las importaciones</v>
      </c>
      <c r="I101" s="1" t="s">
        <v>1652</v>
      </c>
      <c r="J101" s="1" t="s">
        <v>1652</v>
      </c>
      <c r="K101" s="18" t="s">
        <v>1631</v>
      </c>
      <c r="L101" s="18" t="s">
        <v>1631</v>
      </c>
      <c r="M101" s="18" t="s">
        <v>1631</v>
      </c>
      <c r="N101" s="18" t="s">
        <v>1631</v>
      </c>
      <c r="O101" s="18" t="s">
        <v>1631</v>
      </c>
      <c r="P101" s="19" t="s">
        <v>1631</v>
      </c>
    </row>
    <row r="102" customFormat="false" ht="14.25" hidden="false" customHeight="false" outlineLevel="0" collapsed="false">
      <c r="A102" s="22" t="s">
        <v>989</v>
      </c>
      <c r="B102" s="24"/>
      <c r="C102" s="24"/>
      <c r="D102" s="24"/>
      <c r="E102" s="24"/>
      <c r="F102" s="24"/>
      <c r="G102" s="24"/>
      <c r="H102" s="24"/>
      <c r="I102" s="24"/>
      <c r="J102" s="24" t="s">
        <v>1653</v>
      </c>
      <c r="K102" s="25" t="s">
        <v>1631</v>
      </c>
      <c r="L102" s="25" t="s">
        <v>1631</v>
      </c>
      <c r="M102" s="25" t="s">
        <v>1631</v>
      </c>
      <c r="N102" s="25" t="s">
        <v>1631</v>
      </c>
      <c r="O102" s="25" t="s">
        <v>1631</v>
      </c>
      <c r="P102" s="26" t="s">
        <v>1631</v>
      </c>
    </row>
    <row r="103" customFormat="false" ht="14.25" hidden="false" customHeight="false" outlineLevel="0" collapsed="false">
      <c r="A103" s="1" t="s">
        <v>991</v>
      </c>
      <c r="B103" s="17" t="s">
        <v>1654</v>
      </c>
      <c r="C103" s="17" t="str">
        <f aca="false">+VLOOKUP(B103,transacciones!$A$1:$I$39,2,FALSE())</f>
        <v>ATC04</v>
      </c>
      <c r="D103" s="17" t="str">
        <f aca="false">+VLOOKUP($B103,transacciones!$A$1:$I$39,4,FALSE())</f>
        <v>Subvenciones a los productos</v>
      </c>
      <c r="E103" s="17" t="str">
        <f aca="false">+VLOOKUP($B103,transacciones!$A$1:$I$39,4,FALSE())</f>
        <v>Subvenciones a los productos</v>
      </c>
      <c r="F103" s="17" t="n">
        <f aca="false">+VLOOKUP(B103,transacciones!$A$2:$I$39,5,FALSE())</f>
        <v>11</v>
      </c>
      <c r="G103" s="17" t="str">
        <f aca="false">+VLOOKUP(B103,transacciones!$A$2:$I$39,6,FALSE())</f>
        <v>D3</v>
      </c>
      <c r="H103" s="17" t="str">
        <f aca="false">+VLOOKUP(B103,transacciones!$A$1:$I$39,7,FALSE())</f>
        <v>Subvenciones</v>
      </c>
      <c r="I103" s="1" t="s">
        <v>1655</v>
      </c>
      <c r="J103" s="1" t="s">
        <v>1655</v>
      </c>
      <c r="K103" s="18" t="s">
        <v>1631</v>
      </c>
      <c r="L103" s="18" t="s">
        <v>1631</v>
      </c>
      <c r="M103" s="18" t="s">
        <v>1631</v>
      </c>
      <c r="N103" s="18" t="s">
        <v>1631</v>
      </c>
      <c r="O103" s="18" t="s">
        <v>1631</v>
      </c>
      <c r="P103" s="19" t="s">
        <v>1631</v>
      </c>
    </row>
    <row r="104" customFormat="false" ht="14.25" hidden="false" customHeight="false" outlineLevel="0" collapsed="false">
      <c r="A104" s="16" t="s">
        <v>993</v>
      </c>
      <c r="B104" s="1" t="s">
        <v>1656</v>
      </c>
      <c r="C104" s="1" t="s">
        <v>1657</v>
      </c>
      <c r="D104" s="1" t="s">
        <v>1658</v>
      </c>
      <c r="E104" s="1" t="s">
        <v>1659</v>
      </c>
      <c r="F104" s="1" t="n">
        <v>12</v>
      </c>
      <c r="G104" s="1" t="s">
        <v>1660</v>
      </c>
      <c r="H104" s="1" t="s">
        <v>1658</v>
      </c>
      <c r="I104" s="1" t="s">
        <v>1661</v>
      </c>
      <c r="J104" s="1" t="s">
        <v>1661</v>
      </c>
      <c r="K104" s="18" t="s">
        <v>1631</v>
      </c>
      <c r="L104" s="18" t="s">
        <v>1631</v>
      </c>
      <c r="M104" s="18" t="s">
        <v>1631</v>
      </c>
      <c r="N104" s="18" t="s">
        <v>1631</v>
      </c>
      <c r="O104" s="18" t="s">
        <v>1631</v>
      </c>
      <c r="P104" s="19" t="s">
        <v>1631</v>
      </c>
    </row>
    <row r="105" customFormat="false" ht="14.25" hidden="false" customHeight="false" outlineLevel="0" collapsed="false">
      <c r="A105" s="16" t="s">
        <v>995</v>
      </c>
      <c r="B105" s="1" t="s">
        <v>1662</v>
      </c>
      <c r="C105" s="1" t="s">
        <v>1657</v>
      </c>
      <c r="D105" s="1" t="s">
        <v>1658</v>
      </c>
      <c r="E105" s="1" t="s">
        <v>1663</v>
      </c>
      <c r="F105" s="1" t="n">
        <v>12</v>
      </c>
      <c r="G105" s="1" t="s">
        <v>1660</v>
      </c>
      <c r="H105" s="1" t="s">
        <v>1658</v>
      </c>
      <c r="I105" s="1" t="s">
        <v>1664</v>
      </c>
      <c r="J105" s="1" t="s">
        <v>1664</v>
      </c>
      <c r="K105" s="18" t="s">
        <v>1631</v>
      </c>
      <c r="L105" s="18" t="s">
        <v>1631</v>
      </c>
      <c r="M105" s="18" t="s">
        <v>1631</v>
      </c>
      <c r="N105" s="18" t="s">
        <v>1631</v>
      </c>
      <c r="O105" s="18" t="s">
        <v>1631</v>
      </c>
      <c r="P105" s="19" t="s">
        <v>1631</v>
      </c>
    </row>
    <row r="106" customFormat="false" ht="14.25" hidden="false" customHeight="false" outlineLevel="0" collapsed="false">
      <c r="A106" s="11" t="s">
        <v>999</v>
      </c>
      <c r="B106" s="12" t="s">
        <v>1665</v>
      </c>
      <c r="C106" s="12" t="str">
        <f aca="false">+VLOOKUP(B106,transacciones!$A$1:$I$39,2,FALSE())</f>
        <v>ATC01</v>
      </c>
      <c r="D106" s="12" t="str">
        <f aca="false">+VLOOKUP($B106,transacciones!$A$1:$I$39,4,FALSE())</f>
        <v>Consumo intermedio de mercado</v>
      </c>
      <c r="E106" s="12" t="str">
        <f aca="false">+VLOOKUP($B106,transacciones!$A$1:$I$39,4,FALSE())</f>
        <v>Consumo intermedio de mercado</v>
      </c>
      <c r="F106" s="12" t="n">
        <f aca="false">+VLOOKUP(B106,transacciones!$A$2:$I$39,5,FALSE())</f>
        <v>2</v>
      </c>
      <c r="G106" s="12" t="str">
        <f aca="false">+VLOOKUP(B106,transacciones!$A$2:$I$39,6,FALSE())</f>
        <v>P2</v>
      </c>
      <c r="H106" s="12" t="str">
        <f aca="false">+VLOOKUP(B106,transacciones!$A$1:$I$39,7,FALSE())</f>
        <v>Consumo intermedio</v>
      </c>
      <c r="I106" s="13" t="s">
        <v>1431</v>
      </c>
      <c r="J106" s="13" t="s">
        <v>1432</v>
      </c>
      <c r="K106" s="14" t="s">
        <v>1433</v>
      </c>
      <c r="L106" s="14" t="str">
        <f aca="false">+VLOOKUP(K106,'Correl CIIU'!$A$1:$F$26,2,FALSE())</f>
        <v>Agricultura, ganadería, silvicultura y pesca</v>
      </c>
      <c r="M106" s="14" t="str">
        <f aca="false">+VLOOKUP(K106,'Correl CIIU'!$A$1:$F$26,3,FALSE())</f>
        <v>Agricultura</v>
      </c>
      <c r="N106" s="14" t="str">
        <f aca="false">+VLOOKUP(K106,'Correl CIIU'!$A$1:$F$26,4,FALSE())</f>
        <v>Agriculture, forestry and fishing</v>
      </c>
      <c r="O106" s="14" t="n">
        <v>1</v>
      </c>
      <c r="P106" s="15" t="str">
        <f aca="false">+VLOOKUP(O106,bio!$A$2:$B$4,2,FALSE())</f>
        <v>Bioeconomía</v>
      </c>
    </row>
    <row r="107" customFormat="false" ht="14.25" hidden="false" customHeight="false" outlineLevel="0" collapsed="false">
      <c r="A107" s="16" t="s">
        <v>1001</v>
      </c>
      <c r="B107" s="17" t="s">
        <v>1665</v>
      </c>
      <c r="C107" s="17" t="str">
        <f aca="false">+VLOOKUP(B107,transacciones!$A$1:$I$39,2,FALSE())</f>
        <v>ATC01</v>
      </c>
      <c r="D107" s="17" t="str">
        <f aca="false">+VLOOKUP($B107,transacciones!$A$1:$I$39,4,FALSE())</f>
        <v>Consumo intermedio de mercado</v>
      </c>
      <c r="E107" s="17" t="str">
        <f aca="false">+VLOOKUP($B107,transacciones!$A$1:$I$39,4,FALSE())</f>
        <v>Consumo intermedio de mercado</v>
      </c>
      <c r="F107" s="17" t="n">
        <f aca="false">+VLOOKUP(B107,transacciones!$A$2:$I$39,5,FALSE())</f>
        <v>2</v>
      </c>
      <c r="G107" s="17" t="str">
        <f aca="false">+VLOOKUP(B107,transacciones!$A$2:$I$39,6,FALSE())</f>
        <v>P2</v>
      </c>
      <c r="H107" s="17" t="str">
        <f aca="false">+VLOOKUP(B107,transacciones!$A$1:$I$39,7,FALSE())</f>
        <v>Consumo intermedio</v>
      </c>
      <c r="I107" s="1" t="s">
        <v>1434</v>
      </c>
      <c r="J107" s="1" t="s">
        <v>1435</v>
      </c>
      <c r="K107" s="18" t="s">
        <v>1433</v>
      </c>
      <c r="L107" s="18" t="str">
        <f aca="false">+VLOOKUP(K107,'Correl CIIU'!$A$1:$F$26,2,FALSE())</f>
        <v>Agricultura, ganadería, silvicultura y pesca</v>
      </c>
      <c r="M107" s="18" t="str">
        <f aca="false">+VLOOKUP(K107,'Correl CIIU'!$A$1:$F$26,3,FALSE())</f>
        <v>Agricultura</v>
      </c>
      <c r="N107" s="18" t="str">
        <f aca="false">+VLOOKUP(K107,'Correl CIIU'!$A$1:$F$26,4,FALSE())</f>
        <v>Agriculture, forestry and fishing</v>
      </c>
      <c r="O107" s="18" t="n">
        <v>1</v>
      </c>
      <c r="P107" s="19" t="str">
        <f aca="false">+VLOOKUP(O107,bio!$A$2:$B$4,2,FALSE())</f>
        <v>Bioeconomía</v>
      </c>
    </row>
    <row r="108" customFormat="false" ht="14.25" hidden="false" customHeight="false" outlineLevel="0" collapsed="false">
      <c r="A108" s="16" t="s">
        <v>1003</v>
      </c>
      <c r="B108" s="17" t="s">
        <v>1665</v>
      </c>
      <c r="C108" s="17" t="str">
        <f aca="false">+VLOOKUP(B108,transacciones!$A$1:$I$39,2,FALSE())</f>
        <v>ATC01</v>
      </c>
      <c r="D108" s="17" t="str">
        <f aca="false">+VLOOKUP($B108,transacciones!$A$1:$I$39,4,FALSE())</f>
        <v>Consumo intermedio de mercado</v>
      </c>
      <c r="E108" s="17" t="str">
        <f aca="false">+VLOOKUP($B108,transacciones!$A$1:$I$39,4,FALSE())</f>
        <v>Consumo intermedio de mercado</v>
      </c>
      <c r="F108" s="17" t="n">
        <f aca="false">+VLOOKUP(B108,transacciones!$A$2:$I$39,5,FALSE())</f>
        <v>2</v>
      </c>
      <c r="G108" s="17" t="str">
        <f aca="false">+VLOOKUP(B108,transacciones!$A$2:$I$39,6,FALSE())</f>
        <v>P2</v>
      </c>
      <c r="H108" s="17" t="str">
        <f aca="false">+VLOOKUP(B108,transacciones!$A$1:$I$39,7,FALSE())</f>
        <v>Consumo intermedio</v>
      </c>
      <c r="I108" s="1" t="s">
        <v>1436</v>
      </c>
      <c r="J108" s="1" t="s">
        <v>1437</v>
      </c>
      <c r="K108" s="18" t="s">
        <v>1433</v>
      </c>
      <c r="L108" s="18" t="str">
        <f aca="false">+VLOOKUP(K108,'Correl CIIU'!$A$1:$F$26,2,FALSE())</f>
        <v>Agricultura, ganadería, silvicultura y pesca</v>
      </c>
      <c r="M108" s="18" t="str">
        <f aca="false">+VLOOKUP(K108,'Correl CIIU'!$A$1:$F$26,3,FALSE())</f>
        <v>Agricultura</v>
      </c>
      <c r="N108" s="18" t="str">
        <f aca="false">+VLOOKUP(K108,'Correl CIIU'!$A$1:$F$26,4,FALSE())</f>
        <v>Agriculture, forestry and fishing</v>
      </c>
      <c r="O108" s="18" t="n">
        <v>1</v>
      </c>
      <c r="P108" s="19" t="str">
        <f aca="false">+VLOOKUP(O108,bio!$A$2:$B$4,2,FALSE())</f>
        <v>Bioeconomía</v>
      </c>
    </row>
    <row r="109" customFormat="false" ht="14.25" hidden="false" customHeight="false" outlineLevel="0" collapsed="false">
      <c r="A109" s="16" t="s">
        <v>1005</v>
      </c>
      <c r="B109" s="17" t="s">
        <v>1665</v>
      </c>
      <c r="C109" s="17" t="str">
        <f aca="false">+VLOOKUP(B109,transacciones!$A$1:$I$39,2,FALSE())</f>
        <v>ATC01</v>
      </c>
      <c r="D109" s="17" t="str">
        <f aca="false">+VLOOKUP($B109,transacciones!$A$1:$I$39,4,FALSE())</f>
        <v>Consumo intermedio de mercado</v>
      </c>
      <c r="E109" s="17" t="str">
        <f aca="false">+VLOOKUP($B109,transacciones!$A$1:$I$39,4,FALSE())</f>
        <v>Consumo intermedio de mercado</v>
      </c>
      <c r="F109" s="17" t="n">
        <f aca="false">+VLOOKUP(B109,transacciones!$A$2:$I$39,5,FALSE())</f>
        <v>2</v>
      </c>
      <c r="G109" s="17" t="str">
        <f aca="false">+VLOOKUP(B109,transacciones!$A$2:$I$39,6,FALSE())</f>
        <v>P2</v>
      </c>
      <c r="H109" s="17" t="str">
        <f aca="false">+VLOOKUP(B109,transacciones!$A$1:$I$39,7,FALSE())</f>
        <v>Consumo intermedio</v>
      </c>
      <c r="I109" s="1" t="s">
        <v>1438</v>
      </c>
      <c r="J109" s="1" t="s">
        <v>1439</v>
      </c>
      <c r="K109" s="18" t="s">
        <v>1433</v>
      </c>
      <c r="L109" s="18" t="str">
        <f aca="false">+VLOOKUP(K109,'Correl CIIU'!$A$1:$F$26,2,FALSE())</f>
        <v>Agricultura, ganadería, silvicultura y pesca</v>
      </c>
      <c r="M109" s="18" t="str">
        <f aca="false">+VLOOKUP(K109,'Correl CIIU'!$A$1:$F$26,3,FALSE())</f>
        <v>Agricultura</v>
      </c>
      <c r="N109" s="18" t="str">
        <f aca="false">+VLOOKUP(K109,'Correl CIIU'!$A$1:$F$26,4,FALSE())</f>
        <v>Agriculture, forestry and fishing</v>
      </c>
      <c r="O109" s="18" t="n">
        <v>1</v>
      </c>
      <c r="P109" s="19" t="str">
        <f aca="false">+VLOOKUP(O109,bio!$A$2:$B$4,2,FALSE())</f>
        <v>Bioeconomía</v>
      </c>
    </row>
    <row r="110" customFormat="false" ht="14.25" hidden="false" customHeight="false" outlineLevel="0" collapsed="false">
      <c r="A110" s="16" t="s">
        <v>1007</v>
      </c>
      <c r="B110" s="17" t="s">
        <v>1665</v>
      </c>
      <c r="C110" s="17" t="str">
        <f aca="false">+VLOOKUP(B110,transacciones!$A$1:$I$39,2,FALSE())</f>
        <v>ATC01</v>
      </c>
      <c r="D110" s="17" t="str">
        <f aca="false">+VLOOKUP($B110,transacciones!$A$1:$I$39,4,FALSE())</f>
        <v>Consumo intermedio de mercado</v>
      </c>
      <c r="E110" s="17" t="str">
        <f aca="false">+VLOOKUP($B110,transacciones!$A$1:$I$39,4,FALSE())</f>
        <v>Consumo intermedio de mercado</v>
      </c>
      <c r="F110" s="17" t="n">
        <f aca="false">+VLOOKUP(B110,transacciones!$A$2:$I$39,5,FALSE())</f>
        <v>2</v>
      </c>
      <c r="G110" s="17" t="str">
        <f aca="false">+VLOOKUP(B110,transacciones!$A$2:$I$39,6,FALSE())</f>
        <v>P2</v>
      </c>
      <c r="H110" s="17" t="str">
        <f aca="false">+VLOOKUP(B110,transacciones!$A$1:$I$39,7,FALSE())</f>
        <v>Consumo intermedio</v>
      </c>
      <c r="I110" s="1" t="s">
        <v>1440</v>
      </c>
      <c r="J110" s="1" t="s">
        <v>1441</v>
      </c>
      <c r="K110" s="18" t="s">
        <v>1433</v>
      </c>
      <c r="L110" s="18" t="str">
        <f aca="false">+VLOOKUP(K110,'Correl CIIU'!$A$1:$F$26,2,FALSE())</f>
        <v>Agricultura, ganadería, silvicultura y pesca</v>
      </c>
      <c r="M110" s="18" t="str">
        <f aca="false">+VLOOKUP(K110,'Correl CIIU'!$A$1:$F$26,3,FALSE())</f>
        <v>Agricultura</v>
      </c>
      <c r="N110" s="18" t="str">
        <f aca="false">+VLOOKUP(K110,'Correl CIIU'!$A$1:$F$26,4,FALSE())</f>
        <v>Agriculture, forestry and fishing</v>
      </c>
      <c r="O110" s="18" t="n">
        <v>1</v>
      </c>
      <c r="P110" s="19" t="str">
        <f aca="false">+VLOOKUP(O110,bio!$A$2:$B$4,2,FALSE())</f>
        <v>Bioeconomía</v>
      </c>
    </row>
    <row r="111" customFormat="false" ht="14.25" hidden="false" customHeight="false" outlineLevel="0" collapsed="false">
      <c r="A111" s="16" t="s">
        <v>1009</v>
      </c>
      <c r="B111" s="17" t="s">
        <v>1665</v>
      </c>
      <c r="C111" s="17" t="str">
        <f aca="false">+VLOOKUP(B111,transacciones!$A$1:$I$39,2,FALSE())</f>
        <v>ATC01</v>
      </c>
      <c r="D111" s="17" t="str">
        <f aca="false">+VLOOKUP($B111,transacciones!$A$1:$I$39,4,FALSE())</f>
        <v>Consumo intermedio de mercado</v>
      </c>
      <c r="E111" s="17" t="str">
        <f aca="false">+VLOOKUP($B111,transacciones!$A$1:$I$39,4,FALSE())</f>
        <v>Consumo intermedio de mercado</v>
      </c>
      <c r="F111" s="17" t="n">
        <f aca="false">+VLOOKUP(B111,transacciones!$A$2:$I$39,5,FALSE())</f>
        <v>2</v>
      </c>
      <c r="G111" s="17" t="str">
        <f aca="false">+VLOOKUP(B111,transacciones!$A$2:$I$39,6,FALSE())</f>
        <v>P2</v>
      </c>
      <c r="H111" s="17" t="str">
        <f aca="false">+VLOOKUP(B111,transacciones!$A$1:$I$39,7,FALSE())</f>
        <v>Consumo intermedio</v>
      </c>
      <c r="I111" s="1" t="s">
        <v>1442</v>
      </c>
      <c r="J111" s="1" t="s">
        <v>1443</v>
      </c>
      <c r="K111" s="18" t="s">
        <v>1433</v>
      </c>
      <c r="L111" s="18" t="str">
        <f aca="false">+VLOOKUP(K111,'Correl CIIU'!$A$1:$F$26,2,FALSE())</f>
        <v>Agricultura, ganadería, silvicultura y pesca</v>
      </c>
      <c r="M111" s="18" t="str">
        <f aca="false">+VLOOKUP(K111,'Correl CIIU'!$A$1:$F$26,3,FALSE())</f>
        <v>Agricultura</v>
      </c>
      <c r="N111" s="18" t="str">
        <f aca="false">+VLOOKUP(K111,'Correl CIIU'!$A$1:$F$26,4,FALSE())</f>
        <v>Agriculture, forestry and fishing</v>
      </c>
      <c r="O111" s="18" t="n">
        <v>1</v>
      </c>
      <c r="P111" s="19" t="str">
        <f aca="false">+VLOOKUP(O111,bio!$A$2:$B$4,2,FALSE())</f>
        <v>Bioeconomía</v>
      </c>
    </row>
    <row r="112" customFormat="false" ht="14.25" hidden="false" customHeight="false" outlineLevel="0" collapsed="false">
      <c r="A112" s="16" t="s">
        <v>1011</v>
      </c>
      <c r="B112" s="17" t="s">
        <v>1665</v>
      </c>
      <c r="C112" s="17" t="str">
        <f aca="false">+VLOOKUP(B112,transacciones!$A$1:$I$39,2,FALSE())</f>
        <v>ATC01</v>
      </c>
      <c r="D112" s="17" t="str">
        <f aca="false">+VLOOKUP($B112,transacciones!$A$1:$I$39,4,FALSE())</f>
        <v>Consumo intermedio de mercado</v>
      </c>
      <c r="E112" s="17" t="str">
        <f aca="false">+VLOOKUP($B112,transacciones!$A$1:$I$39,4,FALSE())</f>
        <v>Consumo intermedio de mercado</v>
      </c>
      <c r="F112" s="17" t="n">
        <f aca="false">+VLOOKUP(B112,transacciones!$A$2:$I$39,5,FALSE())</f>
        <v>2</v>
      </c>
      <c r="G112" s="17" t="str">
        <f aca="false">+VLOOKUP(B112,transacciones!$A$2:$I$39,6,FALSE())</f>
        <v>P2</v>
      </c>
      <c r="H112" s="17" t="str">
        <f aca="false">+VLOOKUP(B112,transacciones!$A$1:$I$39,7,FALSE())</f>
        <v>Consumo intermedio</v>
      </c>
      <c r="I112" s="1" t="s">
        <v>1444</v>
      </c>
      <c r="J112" s="1" t="s">
        <v>1445</v>
      </c>
      <c r="K112" s="18" t="s">
        <v>1433</v>
      </c>
      <c r="L112" s="18" t="str">
        <f aca="false">+VLOOKUP(K112,'Correl CIIU'!$A$1:$F$26,2,FALSE())</f>
        <v>Agricultura, ganadería, silvicultura y pesca</v>
      </c>
      <c r="M112" s="18" t="str">
        <f aca="false">+VLOOKUP(K112,'Correl CIIU'!$A$1:$F$26,3,FALSE())</f>
        <v>Agricultura</v>
      </c>
      <c r="N112" s="18" t="str">
        <f aca="false">+VLOOKUP(K112,'Correl CIIU'!$A$1:$F$26,4,FALSE())</f>
        <v>Agriculture, forestry and fishing</v>
      </c>
      <c r="O112" s="18" t="n">
        <v>1</v>
      </c>
      <c r="P112" s="19" t="str">
        <f aca="false">+VLOOKUP(O112,bio!$A$2:$B$4,2,FALSE())</f>
        <v>Bioeconomía</v>
      </c>
    </row>
    <row r="113" customFormat="false" ht="14.25" hidden="false" customHeight="false" outlineLevel="0" collapsed="false">
      <c r="A113" s="16" t="s">
        <v>1013</v>
      </c>
      <c r="B113" s="17" t="s">
        <v>1665</v>
      </c>
      <c r="C113" s="17" t="str">
        <f aca="false">+VLOOKUP(B113,transacciones!$A$1:$I$39,2,FALSE())</f>
        <v>ATC01</v>
      </c>
      <c r="D113" s="17" t="str">
        <f aca="false">+VLOOKUP($B113,transacciones!$A$1:$I$39,4,FALSE())</f>
        <v>Consumo intermedio de mercado</v>
      </c>
      <c r="E113" s="17" t="str">
        <f aca="false">+VLOOKUP($B113,transacciones!$A$1:$I$39,4,FALSE())</f>
        <v>Consumo intermedio de mercado</v>
      </c>
      <c r="F113" s="17" t="n">
        <f aca="false">+VLOOKUP(B113,transacciones!$A$2:$I$39,5,FALSE())</f>
        <v>2</v>
      </c>
      <c r="G113" s="17" t="str">
        <f aca="false">+VLOOKUP(B113,transacciones!$A$2:$I$39,6,FALSE())</f>
        <v>P2</v>
      </c>
      <c r="H113" s="17" t="str">
        <f aca="false">+VLOOKUP(B113,transacciones!$A$1:$I$39,7,FALSE())</f>
        <v>Consumo intermedio</v>
      </c>
      <c r="I113" s="1" t="s">
        <v>1446</v>
      </c>
      <c r="J113" s="1" t="s">
        <v>1447</v>
      </c>
      <c r="K113" s="18" t="s">
        <v>1433</v>
      </c>
      <c r="L113" s="18" t="str">
        <f aca="false">+VLOOKUP(K113,'Correl CIIU'!$A$1:$F$26,2,FALSE())</f>
        <v>Agricultura, ganadería, silvicultura y pesca</v>
      </c>
      <c r="M113" s="18" t="str">
        <f aca="false">+VLOOKUP(K113,'Correl CIIU'!$A$1:$F$26,3,FALSE())</f>
        <v>Agricultura</v>
      </c>
      <c r="N113" s="18" t="str">
        <f aca="false">+VLOOKUP(K113,'Correl CIIU'!$A$1:$F$26,4,FALSE())</f>
        <v>Agriculture, forestry and fishing</v>
      </c>
      <c r="O113" s="18" t="n">
        <v>1</v>
      </c>
      <c r="P113" s="19" t="str">
        <f aca="false">+VLOOKUP(O113,bio!$A$2:$B$4,2,FALSE())</f>
        <v>Bioeconomía</v>
      </c>
    </row>
    <row r="114" customFormat="false" ht="14.25" hidden="false" customHeight="false" outlineLevel="0" collapsed="false">
      <c r="A114" s="16" t="s">
        <v>1015</v>
      </c>
      <c r="B114" s="17" t="s">
        <v>1665</v>
      </c>
      <c r="C114" s="17" t="str">
        <f aca="false">+VLOOKUP(B114,transacciones!$A$1:$I$39,2,FALSE())</f>
        <v>ATC01</v>
      </c>
      <c r="D114" s="17" t="str">
        <f aca="false">+VLOOKUP(B114,transacciones!$A$1:$I$39,3,FALSE())</f>
        <v>Producción / Consumo intermedio</v>
      </c>
      <c r="E114" s="17" t="str">
        <f aca="false">+VLOOKUP($B114,transacciones!$A$1:$I$39,4,FALSE())</f>
        <v>Consumo intermedio de mercado</v>
      </c>
      <c r="F114" s="17" t="n">
        <f aca="false">+VLOOKUP(B114,transacciones!$A$2:$I$39,5,FALSE())</f>
        <v>2</v>
      </c>
      <c r="G114" s="17" t="str">
        <f aca="false">+VLOOKUP(B114,transacciones!$A$2:$I$39,6,FALSE())</f>
        <v>P2</v>
      </c>
      <c r="H114" s="17" t="str">
        <f aca="false">+VLOOKUP(B114,transacciones!$A$1:$I$39,7,FALSE())</f>
        <v>Consumo intermedio</v>
      </c>
      <c r="I114" s="1" t="s">
        <v>1448</v>
      </c>
      <c r="J114" s="1" t="s">
        <v>1449</v>
      </c>
      <c r="K114" s="18" t="s">
        <v>1433</v>
      </c>
      <c r="L114" s="18" t="str">
        <f aca="false">+VLOOKUP(K114,'Correl CIIU'!$A$1:$F$26,2,FALSE())</f>
        <v>Agricultura, ganadería, silvicultura y pesca</v>
      </c>
      <c r="M114" s="18" t="str">
        <f aca="false">+VLOOKUP(K114,'Correl CIIU'!$A$1:$F$26,3,FALSE())</f>
        <v>Agricultura</v>
      </c>
      <c r="N114" s="18" t="str">
        <f aca="false">+VLOOKUP(K114,'Correl CIIU'!$A$1:$F$26,4,FALSE())</f>
        <v>Agriculture, forestry and fishing</v>
      </c>
      <c r="O114" s="18" t="n">
        <v>1</v>
      </c>
      <c r="P114" s="19" t="str">
        <f aca="false">+VLOOKUP(O114,bio!$A$2:$B$4,2,FALSE())</f>
        <v>Bioeconomía</v>
      </c>
    </row>
    <row r="115" customFormat="false" ht="14.25" hidden="false" customHeight="false" outlineLevel="0" collapsed="false">
      <c r="A115" s="16" t="s">
        <v>1017</v>
      </c>
      <c r="B115" s="17" t="s">
        <v>1665</v>
      </c>
      <c r="C115" s="17" t="str">
        <f aca="false">+VLOOKUP(B115,transacciones!$A$1:$I$39,2,FALSE())</f>
        <v>ATC01</v>
      </c>
      <c r="D115" s="17" t="str">
        <f aca="false">+VLOOKUP(B115,transacciones!$A$1:$I$39,3,FALSE())</f>
        <v>Producción / Consumo intermedio</v>
      </c>
      <c r="E115" s="17" t="str">
        <f aca="false">+VLOOKUP($B115,transacciones!$A$1:$I$39,4,FALSE())</f>
        <v>Consumo intermedio de mercado</v>
      </c>
      <c r="F115" s="17" t="n">
        <f aca="false">+VLOOKUP(B115,transacciones!$A$2:$I$39,5,FALSE())</f>
        <v>2</v>
      </c>
      <c r="G115" s="17" t="str">
        <f aca="false">+VLOOKUP(B115,transacciones!$A$2:$I$39,6,FALSE())</f>
        <v>P2</v>
      </c>
      <c r="H115" s="17" t="str">
        <f aca="false">+VLOOKUP(B115,transacciones!$A$1:$I$39,7,FALSE())</f>
        <v>Consumo intermedio</v>
      </c>
      <c r="I115" s="1" t="s">
        <v>1450</v>
      </c>
      <c r="J115" s="1" t="s">
        <v>1451</v>
      </c>
      <c r="K115" s="18" t="s">
        <v>1433</v>
      </c>
      <c r="L115" s="18" t="str">
        <f aca="false">+VLOOKUP(K115,'Correl CIIU'!$A$1:$F$26,2,FALSE())</f>
        <v>Agricultura, ganadería, silvicultura y pesca</v>
      </c>
      <c r="M115" s="18" t="str">
        <f aca="false">+VLOOKUP(K115,'Correl CIIU'!$A$1:$F$26,3,FALSE())</f>
        <v>Agricultura</v>
      </c>
      <c r="N115" s="18" t="str">
        <f aca="false">+VLOOKUP(K115,'Correl CIIU'!$A$1:$F$26,4,FALSE())</f>
        <v>Agriculture, forestry and fishing</v>
      </c>
      <c r="O115" s="18" t="n">
        <v>1</v>
      </c>
      <c r="P115" s="19" t="str">
        <f aca="false">+VLOOKUP(O115,bio!$A$2:$B$4,2,FALSE())</f>
        <v>Bioeconomía</v>
      </c>
    </row>
    <row r="116" customFormat="false" ht="14.25" hidden="false" customHeight="false" outlineLevel="0" collapsed="false">
      <c r="A116" s="16" t="s">
        <v>1019</v>
      </c>
      <c r="B116" s="17" t="s">
        <v>1665</v>
      </c>
      <c r="C116" s="17" t="str">
        <f aca="false">+VLOOKUP(B116,transacciones!$A$1:$I$39,2,FALSE())</f>
        <v>ATC01</v>
      </c>
      <c r="D116" s="17" t="str">
        <f aca="false">+VLOOKUP(B116,transacciones!$A$1:$I$39,3,FALSE())</f>
        <v>Producción / Consumo intermedio</v>
      </c>
      <c r="E116" s="17" t="str">
        <f aca="false">+VLOOKUP($B116,transacciones!$A$1:$I$39,4,FALSE())</f>
        <v>Consumo intermedio de mercado</v>
      </c>
      <c r="F116" s="17" t="n">
        <f aca="false">+VLOOKUP(B116,transacciones!$A$2:$I$39,5,FALSE())</f>
        <v>2</v>
      </c>
      <c r="G116" s="17" t="str">
        <f aca="false">+VLOOKUP(B116,transacciones!$A$2:$I$39,6,FALSE())</f>
        <v>P2</v>
      </c>
      <c r="H116" s="17" t="str">
        <f aca="false">+VLOOKUP(B116,transacciones!$A$1:$I$39,7,FALSE())</f>
        <v>Consumo intermedio</v>
      </c>
      <c r="I116" s="1" t="s">
        <v>1452</v>
      </c>
      <c r="J116" s="1" t="s">
        <v>1453</v>
      </c>
      <c r="K116" s="18" t="s">
        <v>1433</v>
      </c>
      <c r="L116" s="18" t="str">
        <f aca="false">+VLOOKUP(K116,'Correl CIIU'!$A$1:$F$26,2,FALSE())</f>
        <v>Agricultura, ganadería, silvicultura y pesca</v>
      </c>
      <c r="M116" s="18" t="str">
        <f aca="false">+VLOOKUP(K116,'Correl CIIU'!$A$1:$F$26,3,FALSE())</f>
        <v>Agricultura</v>
      </c>
      <c r="N116" s="18" t="str">
        <f aca="false">+VLOOKUP(K116,'Correl CIIU'!$A$1:$F$26,4,FALSE())</f>
        <v>Agriculture, forestry and fishing</v>
      </c>
      <c r="O116" s="18" t="n">
        <v>1</v>
      </c>
      <c r="P116" s="19" t="str">
        <f aca="false">+VLOOKUP(O116,bio!$A$2:$B$4,2,FALSE())</f>
        <v>Bioeconomía</v>
      </c>
    </row>
    <row r="117" customFormat="false" ht="14.25" hidden="false" customHeight="false" outlineLevel="0" collapsed="false">
      <c r="A117" s="16" t="s">
        <v>1021</v>
      </c>
      <c r="B117" s="17" t="s">
        <v>1665</v>
      </c>
      <c r="C117" s="17" t="str">
        <f aca="false">+VLOOKUP(B117,transacciones!$A$1:$I$39,2,FALSE())</f>
        <v>ATC01</v>
      </c>
      <c r="D117" s="17" t="str">
        <f aca="false">+VLOOKUP($B117,transacciones!$A$1:$I$39,4,FALSE())</f>
        <v>Consumo intermedio de mercado</v>
      </c>
      <c r="E117" s="17" t="str">
        <f aca="false">+VLOOKUP($B117,transacciones!$A$1:$I$39,4,FALSE())</f>
        <v>Consumo intermedio de mercado</v>
      </c>
      <c r="F117" s="17" t="n">
        <f aca="false">+VLOOKUP(B117,transacciones!$A$2:$I$39,5,FALSE())</f>
        <v>2</v>
      </c>
      <c r="G117" s="17" t="str">
        <f aca="false">+VLOOKUP(B117,transacciones!$A$2:$I$39,6,FALSE())</f>
        <v>P2</v>
      </c>
      <c r="H117" s="17" t="str">
        <f aca="false">+VLOOKUP(B117,transacciones!$A$1:$I$39,7,FALSE())</f>
        <v>Consumo intermedio</v>
      </c>
      <c r="I117" s="1" t="s">
        <v>1454</v>
      </c>
      <c r="J117" s="1" t="s">
        <v>1455</v>
      </c>
      <c r="K117" s="18" t="s">
        <v>1433</v>
      </c>
      <c r="L117" s="18" t="str">
        <f aca="false">+VLOOKUP(K117,'Correl CIIU'!$A$1:$F$26,2,FALSE())</f>
        <v>Agricultura, ganadería, silvicultura y pesca</v>
      </c>
      <c r="M117" s="18" t="str">
        <f aca="false">+VLOOKUP(K117,'Correl CIIU'!$A$1:$F$26,3,FALSE())</f>
        <v>Agricultura</v>
      </c>
      <c r="N117" s="18" t="str">
        <f aca="false">+VLOOKUP(K117,'Correl CIIU'!$A$1:$F$26,4,FALSE())</f>
        <v>Agriculture, forestry and fishing</v>
      </c>
      <c r="O117" s="18" t="n">
        <v>1</v>
      </c>
      <c r="P117" s="19" t="str">
        <f aca="false">+VLOOKUP(O117,bio!$A$2:$B$4,2,FALSE())</f>
        <v>Bioeconomía</v>
      </c>
    </row>
    <row r="118" customFormat="false" ht="14.25" hidden="false" customHeight="false" outlineLevel="0" collapsed="false">
      <c r="A118" s="16" t="s">
        <v>1023</v>
      </c>
      <c r="B118" s="17" t="s">
        <v>1665</v>
      </c>
      <c r="C118" s="17" t="str">
        <f aca="false">+VLOOKUP(B118,transacciones!$A$1:$I$39,2,FALSE())</f>
        <v>ATC01</v>
      </c>
      <c r="D118" s="17" t="str">
        <f aca="false">+VLOOKUP($B118,transacciones!$A$1:$I$39,4,FALSE())</f>
        <v>Consumo intermedio de mercado</v>
      </c>
      <c r="E118" s="17" t="str">
        <f aca="false">+VLOOKUP($B118,transacciones!$A$1:$I$39,4,FALSE())</f>
        <v>Consumo intermedio de mercado</v>
      </c>
      <c r="F118" s="17" t="n">
        <f aca="false">+VLOOKUP(B118,transacciones!$A$2:$I$39,5,FALSE())</f>
        <v>2</v>
      </c>
      <c r="G118" s="17" t="str">
        <f aca="false">+VLOOKUP(B118,transacciones!$A$2:$I$39,6,FALSE())</f>
        <v>P2</v>
      </c>
      <c r="H118" s="17" t="str">
        <f aca="false">+VLOOKUP(B118,transacciones!$A$1:$I$39,7,FALSE())</f>
        <v>Consumo intermedio</v>
      </c>
      <c r="I118" s="1" t="s">
        <v>1456</v>
      </c>
      <c r="J118" s="1" t="s">
        <v>1457</v>
      </c>
      <c r="K118" s="18" t="s">
        <v>1433</v>
      </c>
      <c r="L118" s="18" t="str">
        <f aca="false">+VLOOKUP(K118,'Correl CIIU'!$A$1:$F$26,2,FALSE())</f>
        <v>Agricultura, ganadería, silvicultura y pesca</v>
      </c>
      <c r="M118" s="18" t="str">
        <f aca="false">+VLOOKUP(K118,'Correl CIIU'!$A$1:$F$26,3,FALSE())</f>
        <v>Agricultura</v>
      </c>
      <c r="N118" s="18" t="str">
        <f aca="false">+VLOOKUP(K118,'Correl CIIU'!$A$1:$F$26,4,FALSE())</f>
        <v>Agriculture, forestry and fishing</v>
      </c>
      <c r="O118" s="18" t="n">
        <v>1</v>
      </c>
      <c r="P118" s="19" t="str">
        <f aca="false">+VLOOKUP(O118,bio!$A$2:$B$4,2,FALSE())</f>
        <v>Bioeconomía</v>
      </c>
    </row>
    <row r="119" customFormat="false" ht="14.25" hidden="false" customHeight="false" outlineLevel="0" collapsed="false">
      <c r="A119" s="16" t="s">
        <v>1025</v>
      </c>
      <c r="B119" s="17" t="s">
        <v>1665</v>
      </c>
      <c r="C119" s="17" t="str">
        <f aca="false">+VLOOKUP(B119,transacciones!$A$1:$I$39,2,FALSE())</f>
        <v>ATC01</v>
      </c>
      <c r="D119" s="17" t="str">
        <f aca="false">+VLOOKUP($B119,transacciones!$A$1:$I$39,4,FALSE())</f>
        <v>Consumo intermedio de mercado</v>
      </c>
      <c r="E119" s="17" t="str">
        <f aca="false">+VLOOKUP($B119,transacciones!$A$1:$I$39,4,FALSE())</f>
        <v>Consumo intermedio de mercado</v>
      </c>
      <c r="F119" s="17" t="n">
        <f aca="false">+VLOOKUP(B119,transacciones!$A$2:$I$39,5,FALSE())</f>
        <v>2</v>
      </c>
      <c r="G119" s="17" t="str">
        <f aca="false">+VLOOKUP(B119,transacciones!$A$2:$I$39,6,FALSE())</f>
        <v>P2</v>
      </c>
      <c r="H119" s="17" t="str">
        <f aca="false">+VLOOKUP(B119,transacciones!$A$1:$I$39,7,FALSE())</f>
        <v>Consumo intermedio</v>
      </c>
      <c r="I119" s="1" t="s">
        <v>1458</v>
      </c>
      <c r="J119" s="1" t="s">
        <v>1459</v>
      </c>
      <c r="K119" s="18" t="s">
        <v>1433</v>
      </c>
      <c r="L119" s="18" t="str">
        <f aca="false">+VLOOKUP(K119,'Correl CIIU'!$A$1:$F$26,2,FALSE())</f>
        <v>Agricultura, ganadería, silvicultura y pesca</v>
      </c>
      <c r="M119" s="18" t="str">
        <f aca="false">+VLOOKUP(K119,'Correl CIIU'!$A$1:$F$26,3,FALSE())</f>
        <v>Agricultura</v>
      </c>
      <c r="N119" s="18" t="str">
        <f aca="false">+VLOOKUP(K119,'Correl CIIU'!$A$1:$F$26,4,FALSE())</f>
        <v>Agriculture, forestry and fishing</v>
      </c>
      <c r="O119" s="18" t="n">
        <v>1</v>
      </c>
      <c r="P119" s="19" t="str">
        <f aca="false">+VLOOKUP(O119,bio!$A$2:$B$4,2,FALSE())</f>
        <v>Bioeconomía</v>
      </c>
    </row>
    <row r="120" customFormat="false" ht="14.25" hidden="false" customHeight="false" outlineLevel="0" collapsed="false">
      <c r="A120" s="16" t="s">
        <v>1027</v>
      </c>
      <c r="B120" s="17" t="s">
        <v>1665</v>
      </c>
      <c r="C120" s="17" t="str">
        <f aca="false">+VLOOKUP(B120,transacciones!$A$1:$I$39,2,FALSE())</f>
        <v>ATC01</v>
      </c>
      <c r="D120" s="17" t="str">
        <f aca="false">+VLOOKUP($B120,transacciones!$A$1:$I$39,4,FALSE())</f>
        <v>Consumo intermedio de mercado</v>
      </c>
      <c r="E120" s="17" t="str">
        <f aca="false">+VLOOKUP($B120,transacciones!$A$1:$I$39,4,FALSE())</f>
        <v>Consumo intermedio de mercado</v>
      </c>
      <c r="F120" s="17" t="n">
        <f aca="false">+VLOOKUP(B120,transacciones!$A$2:$I$39,5,FALSE())</f>
        <v>2</v>
      </c>
      <c r="G120" s="17" t="str">
        <f aca="false">+VLOOKUP(B120,transacciones!$A$2:$I$39,6,FALSE())</f>
        <v>P2</v>
      </c>
      <c r="H120" s="17" t="str">
        <f aca="false">+VLOOKUP(B120,transacciones!$A$1:$I$39,7,FALSE())</f>
        <v>Consumo intermedio</v>
      </c>
      <c r="I120" s="1" t="s">
        <v>1460</v>
      </c>
      <c r="J120" s="1" t="s">
        <v>1461</v>
      </c>
      <c r="K120" s="18" t="s">
        <v>1433</v>
      </c>
      <c r="L120" s="18" t="str">
        <f aca="false">+VLOOKUP(K120,'Correl CIIU'!$A$1:$F$26,2,FALSE())</f>
        <v>Agricultura, ganadería, silvicultura y pesca</v>
      </c>
      <c r="M120" s="18" t="str">
        <f aca="false">+VLOOKUP(K120,'Correl CIIU'!$A$1:$F$26,3,FALSE())</f>
        <v>Agricultura</v>
      </c>
      <c r="N120" s="18" t="str">
        <f aca="false">+VLOOKUP(K120,'Correl CIIU'!$A$1:$F$26,4,FALSE())</f>
        <v>Agriculture, forestry and fishing</v>
      </c>
      <c r="O120" s="18" t="n">
        <v>1</v>
      </c>
      <c r="P120" s="19" t="str">
        <f aca="false">+VLOOKUP(O120,bio!$A$2:$B$4,2,FALSE())</f>
        <v>Bioeconomía</v>
      </c>
    </row>
    <row r="121" customFormat="false" ht="14.25" hidden="false" customHeight="false" outlineLevel="0" collapsed="false">
      <c r="A121" s="16" t="s">
        <v>1029</v>
      </c>
      <c r="B121" s="17" t="s">
        <v>1665</v>
      </c>
      <c r="C121" s="17" t="str">
        <f aca="false">+VLOOKUP(B121,transacciones!$A$1:$I$39,2,FALSE())</f>
        <v>ATC01</v>
      </c>
      <c r="D121" s="17" t="str">
        <f aca="false">+VLOOKUP($B121,transacciones!$A$1:$I$39,4,FALSE())</f>
        <v>Consumo intermedio de mercado</v>
      </c>
      <c r="E121" s="17" t="str">
        <f aca="false">+VLOOKUP($B121,transacciones!$A$1:$I$39,4,FALSE())</f>
        <v>Consumo intermedio de mercado</v>
      </c>
      <c r="F121" s="17" t="n">
        <f aca="false">+VLOOKUP(B121,transacciones!$A$2:$I$39,5,FALSE())</f>
        <v>2</v>
      </c>
      <c r="G121" s="17" t="str">
        <f aca="false">+VLOOKUP(B121,transacciones!$A$2:$I$39,6,FALSE())</f>
        <v>P2</v>
      </c>
      <c r="H121" s="17" t="str">
        <f aca="false">+VLOOKUP(B121,transacciones!$A$1:$I$39,7,FALSE())</f>
        <v>Consumo intermedio</v>
      </c>
      <c r="I121" s="1" t="s">
        <v>1462</v>
      </c>
      <c r="J121" s="1" t="s">
        <v>1463</v>
      </c>
      <c r="K121" s="18" t="s">
        <v>1464</v>
      </c>
      <c r="L121" s="18" t="str">
        <f aca="false">+VLOOKUP(K121,'Correl CIIU'!$A$1:$F$26,2,FALSE())</f>
        <v>Explotación de minas y canteras</v>
      </c>
      <c r="M121" s="18" t="str">
        <f aca="false">+VLOOKUP(K121,'Correl CIIU'!$A$1:$F$26,3,FALSE())</f>
        <v>Minería</v>
      </c>
      <c r="N121" s="18" t="str">
        <f aca="false">+VLOOKUP(K121,'Correl CIIU'!$A$1:$F$26,4,FALSE())</f>
        <v>Mining and quarrying</v>
      </c>
      <c r="O121" s="18" t="n">
        <v>3</v>
      </c>
      <c r="P121" s="19" t="str">
        <f aca="false">+VLOOKUP(O121,bio!$A$2:$B$4,2,FALSE())</f>
        <v>No bioeconomía</v>
      </c>
    </row>
    <row r="122" customFormat="false" ht="14.25" hidden="false" customHeight="false" outlineLevel="0" collapsed="false">
      <c r="A122" s="16" t="s">
        <v>1031</v>
      </c>
      <c r="B122" s="17" t="s">
        <v>1665</v>
      </c>
      <c r="C122" s="17" t="str">
        <f aca="false">+VLOOKUP(B122,transacciones!$A$1:$I$39,2,FALSE())</f>
        <v>ATC01</v>
      </c>
      <c r="D122" s="17" t="str">
        <f aca="false">+VLOOKUP($B122,transacciones!$A$1:$I$39,4,FALSE())</f>
        <v>Consumo intermedio de mercado</v>
      </c>
      <c r="E122" s="17" t="str">
        <f aca="false">+VLOOKUP($B122,transacciones!$A$1:$I$39,4,FALSE())</f>
        <v>Consumo intermedio de mercado</v>
      </c>
      <c r="F122" s="17" t="n">
        <f aca="false">+VLOOKUP(B122,transacciones!$A$2:$I$39,5,FALSE())</f>
        <v>2</v>
      </c>
      <c r="G122" s="17" t="str">
        <f aca="false">+VLOOKUP(B122,transacciones!$A$2:$I$39,6,FALSE())</f>
        <v>P2</v>
      </c>
      <c r="H122" s="17" t="str">
        <f aca="false">+VLOOKUP(B122,transacciones!$A$1:$I$39,7,FALSE())</f>
        <v>Consumo intermedio</v>
      </c>
      <c r="I122" s="1" t="s">
        <v>1465</v>
      </c>
      <c r="J122" s="1" t="s">
        <v>1466</v>
      </c>
      <c r="K122" s="18" t="s">
        <v>1467</v>
      </c>
      <c r="L122" s="18" t="str">
        <f aca="false">+VLOOKUP(K122,'Correl CIIU'!$A$1:$F$26,2,FALSE())</f>
        <v>Industrias manufactureras</v>
      </c>
      <c r="M122" s="18" t="str">
        <f aca="false">+VLOOKUP(K122,'Correl CIIU'!$A$1:$F$26,3,FALSE())</f>
        <v>Manufacturas</v>
      </c>
      <c r="N122" s="18" t="str">
        <f aca="false">+VLOOKUP(K122,'Correl CIIU'!$A$1:$F$26,4,FALSE())</f>
        <v>Manufacturing</v>
      </c>
      <c r="O122" s="18" t="n">
        <v>1</v>
      </c>
      <c r="P122" s="19" t="str">
        <f aca="false">+VLOOKUP(O122,bio!$A$2:$B$4,2,FALSE())</f>
        <v>Bioeconomía</v>
      </c>
    </row>
    <row r="123" customFormat="false" ht="14.25" hidden="false" customHeight="false" outlineLevel="0" collapsed="false">
      <c r="A123" s="16" t="s">
        <v>1033</v>
      </c>
      <c r="B123" s="17" t="s">
        <v>1665</v>
      </c>
      <c r="C123" s="17" t="str">
        <f aca="false">+VLOOKUP(B123,transacciones!$A$1:$I$39,2,FALSE())</f>
        <v>ATC01</v>
      </c>
      <c r="D123" s="17" t="str">
        <f aca="false">+VLOOKUP($B123,transacciones!$A$1:$I$39,4,FALSE())</f>
        <v>Consumo intermedio de mercado</v>
      </c>
      <c r="E123" s="17" t="str">
        <f aca="false">+VLOOKUP($B123,transacciones!$A$1:$I$39,4,FALSE())</f>
        <v>Consumo intermedio de mercado</v>
      </c>
      <c r="F123" s="17" t="n">
        <f aca="false">+VLOOKUP(B123,transacciones!$A$2:$I$39,5,FALSE())</f>
        <v>2</v>
      </c>
      <c r="G123" s="17" t="str">
        <f aca="false">+VLOOKUP(B123,transacciones!$A$2:$I$39,6,FALSE())</f>
        <v>P2</v>
      </c>
      <c r="H123" s="17" t="str">
        <f aca="false">+VLOOKUP(B123,transacciones!$A$1:$I$39,7,FALSE())</f>
        <v>Consumo intermedio</v>
      </c>
      <c r="I123" s="1" t="s">
        <v>1468</v>
      </c>
      <c r="J123" s="1" t="s">
        <v>1469</v>
      </c>
      <c r="K123" s="18" t="s">
        <v>1467</v>
      </c>
      <c r="L123" s="18" t="str">
        <f aca="false">+VLOOKUP(K123,'Correl CIIU'!$A$1:$F$26,2,FALSE())</f>
        <v>Industrias manufactureras</v>
      </c>
      <c r="M123" s="18" t="str">
        <f aca="false">+VLOOKUP(K123,'Correl CIIU'!$A$1:$F$26,3,FALSE())</f>
        <v>Manufacturas</v>
      </c>
      <c r="N123" s="18" t="str">
        <f aca="false">+VLOOKUP(K123,'Correl CIIU'!$A$1:$F$26,4,FALSE())</f>
        <v>Manufacturing</v>
      </c>
      <c r="O123" s="18" t="n">
        <v>1</v>
      </c>
      <c r="P123" s="19" t="str">
        <f aca="false">+VLOOKUP(O123,bio!$A$2:$B$4,2,FALSE())</f>
        <v>Bioeconomía</v>
      </c>
    </row>
    <row r="124" customFormat="false" ht="14.25" hidden="false" customHeight="false" outlineLevel="0" collapsed="false">
      <c r="A124" s="16" t="s">
        <v>1035</v>
      </c>
      <c r="B124" s="17" t="s">
        <v>1666</v>
      </c>
      <c r="C124" s="17" t="str">
        <f aca="false">+VLOOKUP(B124,transacciones!$A$1:$I$39,2,FALSE())</f>
        <v>ATC01</v>
      </c>
      <c r="D124" s="17" t="str">
        <f aca="false">+VLOOKUP($B124,transacciones!$A$1:$I$39,4,FALSE())</f>
        <v>Consumo intermedio para uso final propio</v>
      </c>
      <c r="E124" s="17" t="str">
        <f aca="false">+VLOOKUP($B124,transacciones!$A$1:$I$39,4,FALSE())</f>
        <v>Consumo intermedio para uso final propio</v>
      </c>
      <c r="F124" s="17" t="n">
        <f aca="false">+VLOOKUP(B124,transacciones!$A$2:$I$39,5,FALSE())</f>
        <v>2</v>
      </c>
      <c r="G124" s="17" t="str">
        <f aca="false">+VLOOKUP(B124,transacciones!$A$2:$I$39,6,FALSE())</f>
        <v>P2</v>
      </c>
      <c r="H124" s="17" t="str">
        <f aca="false">+VLOOKUP(B124,transacciones!$A$1:$I$39,7,FALSE())</f>
        <v>Consumo intermedio</v>
      </c>
      <c r="I124" s="1" t="s">
        <v>1470</v>
      </c>
      <c r="J124" s="1" t="s">
        <v>1471</v>
      </c>
      <c r="K124" s="18" t="s">
        <v>1467</v>
      </c>
      <c r="L124" s="18" t="str">
        <f aca="false">+VLOOKUP(K124,'Correl CIIU'!$A$1:$F$26,2,FALSE())</f>
        <v>Industrias manufactureras</v>
      </c>
      <c r="M124" s="18" t="str">
        <f aca="false">+VLOOKUP(K124,'Correl CIIU'!$A$1:$F$26,3,FALSE())</f>
        <v>Manufacturas</v>
      </c>
      <c r="N124" s="18" t="str">
        <f aca="false">+VLOOKUP(K124,'Correl CIIU'!$A$1:$F$26,4,FALSE())</f>
        <v>Manufacturing</v>
      </c>
      <c r="O124" s="18" t="n">
        <v>1</v>
      </c>
      <c r="P124" s="19" t="str">
        <f aca="false">+VLOOKUP(O124,bio!$A$2:$B$4,2,FALSE())</f>
        <v>Bioeconomía</v>
      </c>
    </row>
    <row r="125" customFormat="false" ht="14.25" hidden="false" customHeight="false" outlineLevel="0" collapsed="false">
      <c r="A125" s="16" t="s">
        <v>1037</v>
      </c>
      <c r="B125" s="17" t="s">
        <v>1665</v>
      </c>
      <c r="C125" s="17" t="str">
        <f aca="false">+VLOOKUP(B125,transacciones!$A$1:$I$39,2,FALSE())</f>
        <v>ATC01</v>
      </c>
      <c r="D125" s="17" t="str">
        <f aca="false">+VLOOKUP($B125,transacciones!$A$1:$I$39,4,FALSE())</f>
        <v>Consumo intermedio de mercado</v>
      </c>
      <c r="E125" s="17" t="str">
        <f aca="false">+VLOOKUP($B125,transacciones!$A$1:$I$39,4,FALSE())</f>
        <v>Consumo intermedio de mercado</v>
      </c>
      <c r="F125" s="17" t="n">
        <f aca="false">+VLOOKUP(B125,transacciones!$A$2:$I$39,5,FALSE())</f>
        <v>2</v>
      </c>
      <c r="G125" s="17" t="str">
        <f aca="false">+VLOOKUP(B125,transacciones!$A$2:$I$39,6,FALSE())</f>
        <v>P2</v>
      </c>
      <c r="H125" s="17" t="str">
        <f aca="false">+VLOOKUP(B125,transacciones!$A$1:$I$39,7,FALSE())</f>
        <v>Consumo intermedio</v>
      </c>
      <c r="I125" s="1" t="s">
        <v>1472</v>
      </c>
      <c r="J125" s="1" t="s">
        <v>1473</v>
      </c>
      <c r="K125" s="18" t="s">
        <v>1467</v>
      </c>
      <c r="L125" s="18" t="str">
        <f aca="false">+VLOOKUP(K125,'Correl CIIU'!$A$1:$F$26,2,FALSE())</f>
        <v>Industrias manufactureras</v>
      </c>
      <c r="M125" s="18" t="str">
        <f aca="false">+VLOOKUP(K125,'Correl CIIU'!$A$1:$F$26,3,FALSE())</f>
        <v>Manufacturas</v>
      </c>
      <c r="N125" s="18" t="str">
        <f aca="false">+VLOOKUP(K125,'Correl CIIU'!$A$1:$F$26,4,FALSE())</f>
        <v>Manufacturing</v>
      </c>
      <c r="O125" s="18" t="n">
        <v>1</v>
      </c>
      <c r="P125" s="19" t="str">
        <f aca="false">+VLOOKUP(O125,bio!$A$2:$B$4,2,FALSE())</f>
        <v>Bioeconomía</v>
      </c>
    </row>
    <row r="126" customFormat="false" ht="14.25" hidden="false" customHeight="false" outlineLevel="0" collapsed="false">
      <c r="A126" s="16" t="s">
        <v>1039</v>
      </c>
      <c r="B126" s="17" t="s">
        <v>1665</v>
      </c>
      <c r="C126" s="17" t="str">
        <f aca="false">+VLOOKUP(B126,transacciones!$A$1:$I$39,2,FALSE())</f>
        <v>ATC01</v>
      </c>
      <c r="D126" s="17" t="str">
        <f aca="false">+VLOOKUP(B126,transacciones!$A$1:$I$39,3,FALSE())</f>
        <v>Producción / Consumo intermedio</v>
      </c>
      <c r="E126" s="17" t="str">
        <f aca="false">+VLOOKUP($B126,transacciones!$A$1:$I$39,4,FALSE())</f>
        <v>Consumo intermedio de mercado</v>
      </c>
      <c r="F126" s="17" t="n">
        <f aca="false">+VLOOKUP(B126,transacciones!$A$2:$I$39,5,FALSE())</f>
        <v>2</v>
      </c>
      <c r="G126" s="17" t="str">
        <f aca="false">+VLOOKUP(B126,transacciones!$A$2:$I$39,6,FALSE())</f>
        <v>P2</v>
      </c>
      <c r="H126" s="17" t="str">
        <f aca="false">+VLOOKUP(B126,transacciones!$A$1:$I$39,7,FALSE())</f>
        <v>Consumo intermedio</v>
      </c>
      <c r="I126" s="1" t="s">
        <v>1474</v>
      </c>
      <c r="J126" s="1" t="s">
        <v>1475</v>
      </c>
      <c r="K126" s="18" t="s">
        <v>1467</v>
      </c>
      <c r="L126" s="18" t="str">
        <f aca="false">+VLOOKUP(K126,'Correl CIIU'!$A$1:$F$26,2,FALSE())</f>
        <v>Industrias manufactureras</v>
      </c>
      <c r="M126" s="18" t="str">
        <f aca="false">+VLOOKUP(K126,'Correl CIIU'!$A$1:$F$26,3,FALSE())</f>
        <v>Manufacturas</v>
      </c>
      <c r="N126" s="18" t="str">
        <f aca="false">+VLOOKUP(K126,'Correl CIIU'!$A$1:$F$26,4,FALSE())</f>
        <v>Manufacturing</v>
      </c>
      <c r="O126" s="18" t="n">
        <v>1</v>
      </c>
      <c r="P126" s="19" t="str">
        <f aca="false">+VLOOKUP(O126,bio!$A$2:$B$4,2,FALSE())</f>
        <v>Bioeconomía</v>
      </c>
    </row>
    <row r="127" customFormat="false" ht="14.25" hidden="false" customHeight="false" outlineLevel="0" collapsed="false">
      <c r="A127" s="16" t="s">
        <v>1041</v>
      </c>
      <c r="B127" s="17" t="s">
        <v>1665</v>
      </c>
      <c r="C127" s="17" t="str">
        <f aca="false">+VLOOKUP(B127,transacciones!$A$1:$I$39,2,FALSE())</f>
        <v>ATC01</v>
      </c>
      <c r="D127" s="17" t="str">
        <f aca="false">+VLOOKUP(B127,transacciones!$A$1:$I$39,3,FALSE())</f>
        <v>Producción / Consumo intermedio</v>
      </c>
      <c r="E127" s="17" t="str">
        <f aca="false">+VLOOKUP($B127,transacciones!$A$1:$I$39,4,FALSE())</f>
        <v>Consumo intermedio de mercado</v>
      </c>
      <c r="F127" s="17" t="n">
        <f aca="false">+VLOOKUP(B127,transacciones!$A$2:$I$39,5,FALSE())</f>
        <v>2</v>
      </c>
      <c r="G127" s="17" t="str">
        <f aca="false">+VLOOKUP(B127,transacciones!$A$2:$I$39,6,FALSE())</f>
        <v>P2</v>
      </c>
      <c r="H127" s="17" t="str">
        <f aca="false">+VLOOKUP(B127,transacciones!$A$1:$I$39,7,FALSE())</f>
        <v>Consumo intermedio</v>
      </c>
      <c r="I127" s="1" t="s">
        <v>1476</v>
      </c>
      <c r="J127" s="1" t="s">
        <v>1477</v>
      </c>
      <c r="K127" s="18" t="s">
        <v>1467</v>
      </c>
      <c r="L127" s="18" t="str">
        <f aca="false">+VLOOKUP(K127,'Correl CIIU'!$A$1:$F$26,2,FALSE())</f>
        <v>Industrias manufactureras</v>
      </c>
      <c r="M127" s="18" t="str">
        <f aca="false">+VLOOKUP(K127,'Correl CIIU'!$A$1:$F$26,3,FALSE())</f>
        <v>Manufacturas</v>
      </c>
      <c r="N127" s="18" t="str">
        <f aca="false">+VLOOKUP(K127,'Correl CIIU'!$A$1:$F$26,4,FALSE())</f>
        <v>Manufacturing</v>
      </c>
      <c r="O127" s="18" t="n">
        <v>1</v>
      </c>
      <c r="P127" s="19" t="str">
        <f aca="false">+VLOOKUP(O127,bio!$A$2:$B$4,2,FALSE())</f>
        <v>Bioeconomía</v>
      </c>
    </row>
    <row r="128" customFormat="false" ht="14.25" hidden="false" customHeight="false" outlineLevel="0" collapsed="false">
      <c r="A128" s="16" t="s">
        <v>1043</v>
      </c>
      <c r="B128" s="17" t="s">
        <v>1665</v>
      </c>
      <c r="C128" s="17" t="str">
        <f aca="false">+VLOOKUP(B128,transacciones!$A$1:$I$39,2,FALSE())</f>
        <v>ATC01</v>
      </c>
      <c r="D128" s="17" t="str">
        <f aca="false">+VLOOKUP(B128,transacciones!$A$1:$I$39,3,FALSE())</f>
        <v>Producción / Consumo intermedio</v>
      </c>
      <c r="E128" s="17" t="str">
        <f aca="false">+VLOOKUP($B128,transacciones!$A$1:$I$39,4,FALSE())</f>
        <v>Consumo intermedio de mercado</v>
      </c>
      <c r="F128" s="17" t="n">
        <f aca="false">+VLOOKUP(B128,transacciones!$A$2:$I$39,5,FALSE())</f>
        <v>2</v>
      </c>
      <c r="G128" s="17" t="str">
        <f aca="false">+VLOOKUP(B128,transacciones!$A$2:$I$39,6,FALSE())</f>
        <v>P2</v>
      </c>
      <c r="H128" s="17" t="str">
        <f aca="false">+VLOOKUP(B128,transacciones!$A$1:$I$39,7,FALSE())</f>
        <v>Consumo intermedio</v>
      </c>
      <c r="I128" s="1" t="s">
        <v>1478</v>
      </c>
      <c r="J128" s="1" t="s">
        <v>1479</v>
      </c>
      <c r="K128" s="18" t="s">
        <v>1467</v>
      </c>
      <c r="L128" s="18" t="str">
        <f aca="false">+VLOOKUP(K128,'Correl CIIU'!$A$1:$F$26,2,FALSE())</f>
        <v>Industrias manufactureras</v>
      </c>
      <c r="M128" s="18" t="str">
        <f aca="false">+VLOOKUP(K128,'Correl CIIU'!$A$1:$F$26,3,FALSE())</f>
        <v>Manufacturas</v>
      </c>
      <c r="N128" s="18" t="str">
        <f aca="false">+VLOOKUP(K128,'Correl CIIU'!$A$1:$F$26,4,FALSE())</f>
        <v>Manufacturing</v>
      </c>
      <c r="O128" s="18" t="n">
        <v>1</v>
      </c>
      <c r="P128" s="19" t="str">
        <f aca="false">+VLOOKUP(O128,bio!$A$2:$B$4,2,FALSE())</f>
        <v>Bioeconomía</v>
      </c>
    </row>
    <row r="129" customFormat="false" ht="14.25" hidden="false" customHeight="false" outlineLevel="0" collapsed="false">
      <c r="A129" s="16" t="s">
        <v>1045</v>
      </c>
      <c r="B129" s="17" t="s">
        <v>1665</v>
      </c>
      <c r="C129" s="17" t="str">
        <f aca="false">+VLOOKUP(B129,transacciones!$A$1:$I$39,2,FALSE())</f>
        <v>ATC01</v>
      </c>
      <c r="D129" s="17" t="str">
        <f aca="false">+VLOOKUP($B129,transacciones!$A$1:$I$39,4,FALSE())</f>
        <v>Consumo intermedio de mercado</v>
      </c>
      <c r="E129" s="17" t="str">
        <f aca="false">+VLOOKUP($B129,transacciones!$A$1:$I$39,4,FALSE())</f>
        <v>Consumo intermedio de mercado</v>
      </c>
      <c r="F129" s="17" t="n">
        <f aca="false">+VLOOKUP(B129,transacciones!$A$2:$I$39,5,FALSE())</f>
        <v>2</v>
      </c>
      <c r="G129" s="17" t="str">
        <f aca="false">+VLOOKUP(B129,transacciones!$A$2:$I$39,6,FALSE())</f>
        <v>P2</v>
      </c>
      <c r="H129" s="17" t="str">
        <f aca="false">+VLOOKUP(B129,transacciones!$A$1:$I$39,7,FALSE())</f>
        <v>Consumo intermedio</v>
      </c>
      <c r="I129" s="1" t="s">
        <v>1480</v>
      </c>
      <c r="J129" s="1" t="s">
        <v>1481</v>
      </c>
      <c r="K129" s="18" t="s">
        <v>1467</v>
      </c>
      <c r="L129" s="18" t="str">
        <f aca="false">+VLOOKUP(K129,'Correl CIIU'!$A$1:$F$26,2,FALSE())</f>
        <v>Industrias manufactureras</v>
      </c>
      <c r="M129" s="18" t="str">
        <f aca="false">+VLOOKUP(K129,'Correl CIIU'!$A$1:$F$26,3,FALSE())</f>
        <v>Manufacturas</v>
      </c>
      <c r="N129" s="18" t="str">
        <f aca="false">+VLOOKUP(K129,'Correl CIIU'!$A$1:$F$26,4,FALSE())</f>
        <v>Manufacturing</v>
      </c>
      <c r="O129" s="18" t="n">
        <v>1</v>
      </c>
      <c r="P129" s="19" t="str">
        <f aca="false">+VLOOKUP(O129,bio!$A$2:$B$4,2,FALSE())</f>
        <v>Bioeconomía</v>
      </c>
    </row>
    <row r="130" customFormat="false" ht="14.25" hidden="false" customHeight="false" outlineLevel="0" collapsed="false">
      <c r="A130" s="16" t="s">
        <v>1047</v>
      </c>
      <c r="B130" s="17" t="s">
        <v>1665</v>
      </c>
      <c r="C130" s="17" t="str">
        <f aca="false">+VLOOKUP(B130,transacciones!$A$1:$I$39,2,FALSE())</f>
        <v>ATC01</v>
      </c>
      <c r="D130" s="17" t="str">
        <f aca="false">+VLOOKUP($B130,transacciones!$A$1:$I$39,4,FALSE())</f>
        <v>Consumo intermedio de mercado</v>
      </c>
      <c r="E130" s="17" t="str">
        <f aca="false">+VLOOKUP($B130,transacciones!$A$1:$I$39,4,FALSE())</f>
        <v>Consumo intermedio de mercado</v>
      </c>
      <c r="F130" s="17" t="n">
        <f aca="false">+VLOOKUP(B130,transacciones!$A$2:$I$39,5,FALSE())</f>
        <v>2</v>
      </c>
      <c r="G130" s="17" t="str">
        <f aca="false">+VLOOKUP(B130,transacciones!$A$2:$I$39,6,FALSE())</f>
        <v>P2</v>
      </c>
      <c r="H130" s="17" t="str">
        <f aca="false">+VLOOKUP(B130,transacciones!$A$1:$I$39,7,FALSE())</f>
        <v>Consumo intermedio</v>
      </c>
      <c r="I130" s="1" t="s">
        <v>1482</v>
      </c>
      <c r="J130" s="1" t="s">
        <v>1483</v>
      </c>
      <c r="K130" s="18" t="s">
        <v>1467</v>
      </c>
      <c r="L130" s="18" t="str">
        <f aca="false">+VLOOKUP(K130,'Correl CIIU'!$A$1:$F$26,2,FALSE())</f>
        <v>Industrias manufactureras</v>
      </c>
      <c r="M130" s="18" t="str">
        <f aca="false">+VLOOKUP(K130,'Correl CIIU'!$A$1:$F$26,3,FALSE())</f>
        <v>Manufacturas</v>
      </c>
      <c r="N130" s="18" t="str">
        <f aca="false">+VLOOKUP(K130,'Correl CIIU'!$A$1:$F$26,4,FALSE())</f>
        <v>Manufacturing</v>
      </c>
      <c r="O130" s="18" t="n">
        <v>2</v>
      </c>
      <c r="P130" s="19" t="str">
        <f aca="false">+VLOOKUP(O130,bio!$A$2:$B$4,2,FALSE())</f>
        <v>Bioeconomía extendida</v>
      </c>
    </row>
    <row r="131" customFormat="false" ht="14.25" hidden="false" customHeight="false" outlineLevel="0" collapsed="false">
      <c r="A131" s="16" t="s">
        <v>1049</v>
      </c>
      <c r="B131" s="17" t="s">
        <v>1665</v>
      </c>
      <c r="C131" s="17" t="str">
        <f aca="false">+VLOOKUP(B131,transacciones!$A$1:$I$39,2,FALSE())</f>
        <v>ATC01</v>
      </c>
      <c r="D131" s="17" t="str">
        <f aca="false">+VLOOKUP($B131,transacciones!$A$1:$I$39,4,FALSE())</f>
        <v>Consumo intermedio de mercado</v>
      </c>
      <c r="E131" s="17" t="str">
        <f aca="false">+VLOOKUP($B131,transacciones!$A$1:$I$39,4,FALSE())</f>
        <v>Consumo intermedio de mercado</v>
      </c>
      <c r="F131" s="17" t="n">
        <f aca="false">+VLOOKUP(B131,transacciones!$A$2:$I$39,5,FALSE())</f>
        <v>2</v>
      </c>
      <c r="G131" s="17" t="str">
        <f aca="false">+VLOOKUP(B131,transacciones!$A$2:$I$39,6,FALSE())</f>
        <v>P2</v>
      </c>
      <c r="H131" s="17" t="str">
        <f aca="false">+VLOOKUP(B131,transacciones!$A$1:$I$39,7,FALSE())</f>
        <v>Consumo intermedio</v>
      </c>
      <c r="I131" s="1" t="s">
        <v>1484</v>
      </c>
      <c r="J131" s="1" t="s">
        <v>1485</v>
      </c>
      <c r="K131" s="18" t="s">
        <v>1467</v>
      </c>
      <c r="L131" s="18" t="str">
        <f aca="false">+VLOOKUP(K131,'Correl CIIU'!$A$1:$F$26,2,FALSE())</f>
        <v>Industrias manufactureras</v>
      </c>
      <c r="M131" s="18" t="str">
        <f aca="false">+VLOOKUP(K131,'Correl CIIU'!$A$1:$F$26,3,FALSE())</f>
        <v>Manufacturas</v>
      </c>
      <c r="N131" s="18" t="str">
        <f aca="false">+VLOOKUP(K131,'Correl CIIU'!$A$1:$F$26,4,FALSE())</f>
        <v>Manufacturing</v>
      </c>
      <c r="O131" s="18" t="n">
        <v>2</v>
      </c>
      <c r="P131" s="19" t="str">
        <f aca="false">+VLOOKUP(O131,bio!$A$2:$B$4,2,FALSE())</f>
        <v>Bioeconomía extendida</v>
      </c>
    </row>
    <row r="132" customFormat="false" ht="14.25" hidden="false" customHeight="false" outlineLevel="0" collapsed="false">
      <c r="A132" s="16" t="s">
        <v>1051</v>
      </c>
      <c r="B132" s="17" t="s">
        <v>1665</v>
      </c>
      <c r="C132" s="17" t="str">
        <f aca="false">+VLOOKUP(B132,transacciones!$A$1:$I$39,2,FALSE())</f>
        <v>ATC01</v>
      </c>
      <c r="D132" s="17" t="str">
        <f aca="false">+VLOOKUP(B132,transacciones!$A$1:$I$39,3,FALSE())</f>
        <v>Producción / Consumo intermedio</v>
      </c>
      <c r="E132" s="17" t="str">
        <f aca="false">+VLOOKUP($B132,transacciones!$A$1:$I$39,4,FALSE())</f>
        <v>Consumo intermedio de mercado</v>
      </c>
      <c r="F132" s="17" t="n">
        <f aca="false">+VLOOKUP(B132,transacciones!$A$2:$I$39,5,FALSE())</f>
        <v>2</v>
      </c>
      <c r="G132" s="17" t="str">
        <f aca="false">+VLOOKUP(B132,transacciones!$A$2:$I$39,6,FALSE())</f>
        <v>P2</v>
      </c>
      <c r="H132" s="17" t="str">
        <f aca="false">+VLOOKUP(B132,transacciones!$A$1:$I$39,7,FALSE())</f>
        <v>Consumo intermedio</v>
      </c>
      <c r="I132" s="1" t="s">
        <v>1486</v>
      </c>
      <c r="J132" s="1" t="s">
        <v>1487</v>
      </c>
      <c r="K132" s="18" t="s">
        <v>1467</v>
      </c>
      <c r="L132" s="18" t="str">
        <f aca="false">+VLOOKUP(K132,'Correl CIIU'!$A$1:$F$26,2,FALSE())</f>
        <v>Industrias manufactureras</v>
      </c>
      <c r="M132" s="18" t="str">
        <f aca="false">+VLOOKUP(K132,'Correl CIIU'!$A$1:$F$26,3,FALSE())</f>
        <v>Manufacturas</v>
      </c>
      <c r="N132" s="18" t="str">
        <f aca="false">+VLOOKUP(K132,'Correl CIIU'!$A$1:$F$26,4,FALSE())</f>
        <v>Manufacturing</v>
      </c>
      <c r="O132" s="18" t="n">
        <v>1</v>
      </c>
      <c r="P132" s="19" t="str">
        <f aca="false">+VLOOKUP(O132,bio!$A$2:$B$4,2,FALSE())</f>
        <v>Bioeconomía</v>
      </c>
    </row>
    <row r="133" customFormat="false" ht="14.25" hidden="false" customHeight="false" outlineLevel="0" collapsed="false">
      <c r="A133" s="16" t="s">
        <v>1053</v>
      </c>
      <c r="B133" s="17" t="s">
        <v>1665</v>
      </c>
      <c r="C133" s="17" t="str">
        <f aca="false">+VLOOKUP(B133,transacciones!$A$1:$I$39,2,FALSE())</f>
        <v>ATC01</v>
      </c>
      <c r="D133" s="17" t="str">
        <f aca="false">+VLOOKUP($B133,transacciones!$A$1:$I$39,4,FALSE())</f>
        <v>Consumo intermedio de mercado</v>
      </c>
      <c r="E133" s="17" t="str">
        <f aca="false">+VLOOKUP($B133,transacciones!$A$1:$I$39,4,FALSE())</f>
        <v>Consumo intermedio de mercado</v>
      </c>
      <c r="F133" s="17" t="n">
        <f aca="false">+VLOOKUP(B133,transacciones!$A$2:$I$39,5,FALSE())</f>
        <v>2</v>
      </c>
      <c r="G133" s="17" t="str">
        <f aca="false">+VLOOKUP(B133,transacciones!$A$2:$I$39,6,FALSE())</f>
        <v>P2</v>
      </c>
      <c r="H133" s="17" t="str">
        <f aca="false">+VLOOKUP(B133,transacciones!$A$1:$I$39,7,FALSE())</f>
        <v>Consumo intermedio</v>
      </c>
      <c r="I133" s="1" t="s">
        <v>1488</v>
      </c>
      <c r="J133" s="1" t="s">
        <v>1489</v>
      </c>
      <c r="K133" s="18" t="s">
        <v>1467</v>
      </c>
      <c r="L133" s="18" t="str">
        <f aca="false">+VLOOKUP(K133,'Correl CIIU'!$A$1:$F$26,2,FALSE())</f>
        <v>Industrias manufactureras</v>
      </c>
      <c r="M133" s="18" t="str">
        <f aca="false">+VLOOKUP(K133,'Correl CIIU'!$A$1:$F$26,3,FALSE())</f>
        <v>Manufacturas</v>
      </c>
      <c r="N133" s="18" t="str">
        <f aca="false">+VLOOKUP(K133,'Correl CIIU'!$A$1:$F$26,4,FALSE())</f>
        <v>Manufacturing</v>
      </c>
      <c r="O133" s="18" t="n">
        <v>1</v>
      </c>
      <c r="P133" s="19" t="str">
        <f aca="false">+VLOOKUP(O133,bio!$A$2:$B$4,2,FALSE())</f>
        <v>Bioeconomía</v>
      </c>
    </row>
    <row r="134" customFormat="false" ht="14.25" hidden="false" customHeight="false" outlineLevel="0" collapsed="false">
      <c r="A134" s="16" t="s">
        <v>1055</v>
      </c>
      <c r="B134" s="17" t="s">
        <v>1665</v>
      </c>
      <c r="C134" s="17" t="str">
        <f aca="false">+VLOOKUP(B134,transacciones!$A$1:$I$39,2,FALSE())</f>
        <v>ATC01</v>
      </c>
      <c r="D134" s="17" t="str">
        <f aca="false">+VLOOKUP($B134,transacciones!$A$1:$I$39,4,FALSE())</f>
        <v>Consumo intermedio de mercado</v>
      </c>
      <c r="E134" s="17" t="str">
        <f aca="false">+VLOOKUP($B134,transacciones!$A$1:$I$39,4,FALSE())</f>
        <v>Consumo intermedio de mercado</v>
      </c>
      <c r="F134" s="17" t="n">
        <f aca="false">+VLOOKUP(B134,transacciones!$A$2:$I$39,5,FALSE())</f>
        <v>2</v>
      </c>
      <c r="G134" s="17" t="str">
        <f aca="false">+VLOOKUP(B134,transacciones!$A$2:$I$39,6,FALSE())</f>
        <v>P2</v>
      </c>
      <c r="H134" s="17" t="str">
        <f aca="false">+VLOOKUP(B134,transacciones!$A$1:$I$39,7,FALSE())</f>
        <v>Consumo intermedio</v>
      </c>
      <c r="I134" s="1" t="s">
        <v>1490</v>
      </c>
      <c r="J134" s="1" t="s">
        <v>1491</v>
      </c>
      <c r="K134" s="18" t="s">
        <v>1467</v>
      </c>
      <c r="L134" s="18" t="str">
        <f aca="false">+VLOOKUP(K134,'Correl CIIU'!$A$1:$F$26,2,FALSE())</f>
        <v>Industrias manufactureras</v>
      </c>
      <c r="M134" s="18" t="str">
        <f aca="false">+VLOOKUP(K134,'Correl CIIU'!$A$1:$F$26,3,FALSE())</f>
        <v>Manufacturas</v>
      </c>
      <c r="N134" s="18" t="str">
        <f aca="false">+VLOOKUP(K134,'Correl CIIU'!$A$1:$F$26,4,FALSE())</f>
        <v>Manufacturing</v>
      </c>
      <c r="O134" s="18" t="n">
        <v>2</v>
      </c>
      <c r="P134" s="19" t="str">
        <f aca="false">+VLOOKUP(O134,bio!$A$2:$B$4,2,FALSE())</f>
        <v>Bioeconomía extendida</v>
      </c>
    </row>
    <row r="135" customFormat="false" ht="14.25" hidden="false" customHeight="false" outlineLevel="0" collapsed="false">
      <c r="A135" s="16" t="s">
        <v>1057</v>
      </c>
      <c r="B135" s="17" t="s">
        <v>1665</v>
      </c>
      <c r="C135" s="17" t="str">
        <f aca="false">+VLOOKUP(B135,transacciones!$A$1:$I$39,2,FALSE())</f>
        <v>ATC01</v>
      </c>
      <c r="D135" s="17" t="str">
        <f aca="false">+VLOOKUP($B135,transacciones!$A$1:$I$39,4,FALSE())</f>
        <v>Consumo intermedio de mercado</v>
      </c>
      <c r="E135" s="17" t="str">
        <f aca="false">+VLOOKUP($B135,transacciones!$A$1:$I$39,4,FALSE())</f>
        <v>Consumo intermedio de mercado</v>
      </c>
      <c r="F135" s="17" t="n">
        <f aca="false">+VLOOKUP(B135,transacciones!$A$2:$I$39,5,FALSE())</f>
        <v>2</v>
      </c>
      <c r="G135" s="17" t="str">
        <f aca="false">+VLOOKUP(B135,transacciones!$A$2:$I$39,6,FALSE())</f>
        <v>P2</v>
      </c>
      <c r="H135" s="17" t="str">
        <f aca="false">+VLOOKUP(B135,transacciones!$A$1:$I$39,7,FALSE())</f>
        <v>Consumo intermedio</v>
      </c>
      <c r="I135" s="1" t="s">
        <v>1492</v>
      </c>
      <c r="J135" s="1" t="s">
        <v>1493</v>
      </c>
      <c r="K135" s="18" t="s">
        <v>1467</v>
      </c>
      <c r="L135" s="18" t="str">
        <f aca="false">+VLOOKUP(K135,'Correl CIIU'!$A$1:$F$26,2,FALSE())</f>
        <v>Industrias manufactureras</v>
      </c>
      <c r="M135" s="18" t="str">
        <f aca="false">+VLOOKUP(K135,'Correl CIIU'!$A$1:$F$26,3,FALSE())</f>
        <v>Manufacturas</v>
      </c>
      <c r="N135" s="18" t="str">
        <f aca="false">+VLOOKUP(K135,'Correl CIIU'!$A$1:$F$26,4,FALSE())</f>
        <v>Manufacturing</v>
      </c>
      <c r="O135" s="18" t="n">
        <v>2</v>
      </c>
      <c r="P135" s="19" t="str">
        <f aca="false">+VLOOKUP(O135,bio!$A$2:$B$4,2,FALSE())</f>
        <v>Bioeconomía extendida</v>
      </c>
    </row>
    <row r="136" customFormat="false" ht="14.25" hidden="false" customHeight="false" outlineLevel="0" collapsed="false">
      <c r="A136" s="16" t="s">
        <v>1059</v>
      </c>
      <c r="B136" s="17" t="s">
        <v>1665</v>
      </c>
      <c r="C136" s="17" t="str">
        <f aca="false">+VLOOKUP(B136,transacciones!$A$1:$I$39,2,FALSE())</f>
        <v>ATC01</v>
      </c>
      <c r="D136" s="17" t="str">
        <f aca="false">+VLOOKUP($B136,transacciones!$A$1:$I$39,4,FALSE())</f>
        <v>Consumo intermedio de mercado</v>
      </c>
      <c r="E136" s="17" t="str">
        <f aca="false">+VLOOKUP($B136,transacciones!$A$1:$I$39,4,FALSE())</f>
        <v>Consumo intermedio de mercado</v>
      </c>
      <c r="F136" s="17" t="n">
        <f aca="false">+VLOOKUP(B136,transacciones!$A$2:$I$39,5,FALSE())</f>
        <v>2</v>
      </c>
      <c r="G136" s="17" t="str">
        <f aca="false">+VLOOKUP(B136,transacciones!$A$2:$I$39,6,FALSE())</f>
        <v>P2</v>
      </c>
      <c r="H136" s="17" t="str">
        <f aca="false">+VLOOKUP(B136,transacciones!$A$1:$I$39,7,FALSE())</f>
        <v>Consumo intermedio</v>
      </c>
      <c r="I136" s="1" t="s">
        <v>1494</v>
      </c>
      <c r="J136" s="1" t="s">
        <v>1495</v>
      </c>
      <c r="K136" s="18" t="s">
        <v>1467</v>
      </c>
      <c r="L136" s="18" t="str">
        <f aca="false">+VLOOKUP(K136,'Correl CIIU'!$A$1:$F$26,2,FALSE())</f>
        <v>Industrias manufactureras</v>
      </c>
      <c r="M136" s="18" t="str">
        <f aca="false">+VLOOKUP(K136,'Correl CIIU'!$A$1:$F$26,3,FALSE())</f>
        <v>Manufacturas</v>
      </c>
      <c r="N136" s="18" t="str">
        <f aca="false">+VLOOKUP(K136,'Correl CIIU'!$A$1:$F$26,4,FALSE())</f>
        <v>Manufacturing</v>
      </c>
      <c r="O136" s="18" t="n">
        <v>2</v>
      </c>
      <c r="P136" s="19" t="str">
        <f aca="false">+VLOOKUP(O136,bio!$A$2:$B$4,2,FALSE())</f>
        <v>Bioeconomía extendida</v>
      </c>
    </row>
    <row r="137" customFormat="false" ht="14.25" hidden="false" customHeight="false" outlineLevel="0" collapsed="false">
      <c r="A137" s="16" t="s">
        <v>1061</v>
      </c>
      <c r="B137" s="17" t="s">
        <v>1665</v>
      </c>
      <c r="C137" s="17" t="str">
        <f aca="false">+VLOOKUP(B137,transacciones!$A$1:$I$39,2,FALSE())</f>
        <v>ATC01</v>
      </c>
      <c r="D137" s="17" t="str">
        <f aca="false">+VLOOKUP($B137,transacciones!$A$1:$I$39,4,FALSE())</f>
        <v>Consumo intermedio de mercado</v>
      </c>
      <c r="E137" s="17" t="str">
        <f aca="false">+VLOOKUP($B137,transacciones!$A$1:$I$39,4,FALSE())</f>
        <v>Consumo intermedio de mercado</v>
      </c>
      <c r="F137" s="17" t="n">
        <f aca="false">+VLOOKUP(B137,transacciones!$A$2:$I$39,5,FALSE())</f>
        <v>2</v>
      </c>
      <c r="G137" s="17" t="str">
        <f aca="false">+VLOOKUP(B137,transacciones!$A$2:$I$39,6,FALSE())</f>
        <v>P2</v>
      </c>
      <c r="H137" s="17" t="str">
        <f aca="false">+VLOOKUP(B137,transacciones!$A$1:$I$39,7,FALSE())</f>
        <v>Consumo intermedio</v>
      </c>
      <c r="I137" s="1" t="s">
        <v>1496</v>
      </c>
      <c r="J137" s="1" t="s">
        <v>1497</v>
      </c>
      <c r="K137" s="18" t="s">
        <v>1467</v>
      </c>
      <c r="L137" s="18" t="str">
        <f aca="false">+VLOOKUP(K137,'Correl CIIU'!$A$1:$F$26,2,FALSE())</f>
        <v>Industrias manufactureras</v>
      </c>
      <c r="M137" s="18" t="str">
        <f aca="false">+VLOOKUP(K137,'Correl CIIU'!$A$1:$F$26,3,FALSE())</f>
        <v>Manufacturas</v>
      </c>
      <c r="N137" s="18" t="str">
        <f aca="false">+VLOOKUP(K137,'Correl CIIU'!$A$1:$F$26,4,FALSE())</f>
        <v>Manufacturing</v>
      </c>
      <c r="O137" s="18" t="n">
        <v>3</v>
      </c>
      <c r="P137" s="19" t="str">
        <f aca="false">+VLOOKUP(O137,bio!$A$2:$B$4,2,FALSE())</f>
        <v>No bioeconomía</v>
      </c>
    </row>
    <row r="138" customFormat="false" ht="14.25" hidden="false" customHeight="false" outlineLevel="0" collapsed="false">
      <c r="A138" s="16" t="s">
        <v>1063</v>
      </c>
      <c r="B138" s="17" t="s">
        <v>1665</v>
      </c>
      <c r="C138" s="17" t="str">
        <f aca="false">+VLOOKUP(B138,transacciones!$A$1:$I$39,2,FALSE())</f>
        <v>ATC01</v>
      </c>
      <c r="D138" s="17" t="str">
        <f aca="false">+VLOOKUP($B138,transacciones!$A$1:$I$39,4,FALSE())</f>
        <v>Consumo intermedio de mercado</v>
      </c>
      <c r="E138" s="17" t="str">
        <f aca="false">+VLOOKUP($B138,transacciones!$A$1:$I$39,4,FALSE())</f>
        <v>Consumo intermedio de mercado</v>
      </c>
      <c r="F138" s="17" t="n">
        <f aca="false">+VLOOKUP(B138,transacciones!$A$2:$I$39,5,FALSE())</f>
        <v>2</v>
      </c>
      <c r="G138" s="17" t="str">
        <f aca="false">+VLOOKUP(B138,transacciones!$A$2:$I$39,6,FALSE())</f>
        <v>P2</v>
      </c>
      <c r="H138" s="17" t="str">
        <f aca="false">+VLOOKUP(B138,transacciones!$A$1:$I$39,7,FALSE())</f>
        <v>Consumo intermedio</v>
      </c>
      <c r="I138" s="1" t="s">
        <v>1498</v>
      </c>
      <c r="J138" s="1" t="s">
        <v>1499</v>
      </c>
      <c r="K138" s="18" t="s">
        <v>1467</v>
      </c>
      <c r="L138" s="18" t="str">
        <f aca="false">+VLOOKUP(K138,'Correl CIIU'!$A$1:$F$26,2,FALSE())</f>
        <v>Industrias manufactureras</v>
      </c>
      <c r="M138" s="18" t="str">
        <f aca="false">+VLOOKUP(K138,'Correl CIIU'!$A$1:$F$26,3,FALSE())</f>
        <v>Manufacturas</v>
      </c>
      <c r="N138" s="18" t="str">
        <f aca="false">+VLOOKUP(K138,'Correl CIIU'!$A$1:$F$26,4,FALSE())</f>
        <v>Manufacturing</v>
      </c>
      <c r="O138" s="18" t="n">
        <v>3</v>
      </c>
      <c r="P138" s="19" t="str">
        <f aca="false">+VLOOKUP(O138,bio!$A$2:$B$4,2,FALSE())</f>
        <v>No bioeconomía</v>
      </c>
    </row>
    <row r="139" customFormat="false" ht="14.25" hidden="false" customHeight="false" outlineLevel="0" collapsed="false">
      <c r="A139" s="16" t="s">
        <v>1065</v>
      </c>
      <c r="B139" s="17" t="s">
        <v>1665</v>
      </c>
      <c r="C139" s="17" t="str">
        <f aca="false">+VLOOKUP(B139,transacciones!$A$1:$I$39,2,FALSE())</f>
        <v>ATC01</v>
      </c>
      <c r="D139" s="17" t="str">
        <f aca="false">+VLOOKUP($B139,transacciones!$A$1:$I$39,4,FALSE())</f>
        <v>Consumo intermedio de mercado</v>
      </c>
      <c r="E139" s="17" t="str">
        <f aca="false">+VLOOKUP($B139,transacciones!$A$1:$I$39,4,FALSE())</f>
        <v>Consumo intermedio de mercado</v>
      </c>
      <c r="F139" s="17" t="n">
        <f aca="false">+VLOOKUP(B139,transacciones!$A$2:$I$39,5,FALSE())</f>
        <v>2</v>
      </c>
      <c r="G139" s="17" t="str">
        <f aca="false">+VLOOKUP(B139,transacciones!$A$2:$I$39,6,FALSE())</f>
        <v>P2</v>
      </c>
      <c r="H139" s="17" t="str">
        <f aca="false">+VLOOKUP(B139,transacciones!$A$1:$I$39,7,FALSE())</f>
        <v>Consumo intermedio</v>
      </c>
      <c r="I139" s="1" t="s">
        <v>1500</v>
      </c>
      <c r="J139" s="1" t="s">
        <v>1501</v>
      </c>
      <c r="K139" s="18" t="s">
        <v>1467</v>
      </c>
      <c r="L139" s="18" t="str">
        <f aca="false">+VLOOKUP(K139,'Correl CIIU'!$A$1:$F$26,2,FALSE())</f>
        <v>Industrias manufactureras</v>
      </c>
      <c r="M139" s="18" t="str">
        <f aca="false">+VLOOKUP(K139,'Correl CIIU'!$A$1:$F$26,3,FALSE())</f>
        <v>Manufacturas</v>
      </c>
      <c r="N139" s="18" t="str">
        <f aca="false">+VLOOKUP(K139,'Correl CIIU'!$A$1:$F$26,4,FALSE())</f>
        <v>Manufacturing</v>
      </c>
      <c r="O139" s="18" t="n">
        <v>3</v>
      </c>
      <c r="P139" s="19" t="str">
        <f aca="false">+VLOOKUP(O139,bio!$A$2:$B$4,2,FALSE())</f>
        <v>No bioeconomía</v>
      </c>
    </row>
    <row r="140" customFormat="false" ht="14.25" hidden="false" customHeight="false" outlineLevel="0" collapsed="false">
      <c r="A140" s="16" t="s">
        <v>1067</v>
      </c>
      <c r="B140" s="17" t="s">
        <v>1665</v>
      </c>
      <c r="C140" s="17" t="str">
        <f aca="false">+VLOOKUP(B140,transacciones!$A$1:$I$39,2,FALSE())</f>
        <v>ATC01</v>
      </c>
      <c r="D140" s="17" t="str">
        <f aca="false">+VLOOKUP($B140,transacciones!$A$1:$I$39,4,FALSE())</f>
        <v>Consumo intermedio de mercado</v>
      </c>
      <c r="E140" s="17" t="str">
        <f aca="false">+VLOOKUP($B140,transacciones!$A$1:$I$39,4,FALSE())</f>
        <v>Consumo intermedio de mercado</v>
      </c>
      <c r="F140" s="17" t="n">
        <f aca="false">+VLOOKUP(B140,transacciones!$A$2:$I$39,5,FALSE())</f>
        <v>2</v>
      </c>
      <c r="G140" s="17" t="str">
        <f aca="false">+VLOOKUP(B140,transacciones!$A$2:$I$39,6,FALSE())</f>
        <v>P2</v>
      </c>
      <c r="H140" s="17" t="str">
        <f aca="false">+VLOOKUP(B140,transacciones!$A$1:$I$39,7,FALSE())</f>
        <v>Consumo intermedio</v>
      </c>
      <c r="I140" s="1" t="s">
        <v>1502</v>
      </c>
      <c r="J140" s="1" t="s">
        <v>1503</v>
      </c>
      <c r="K140" s="18" t="s">
        <v>1467</v>
      </c>
      <c r="L140" s="18" t="str">
        <f aca="false">+VLOOKUP(K140,'Correl CIIU'!$A$1:$F$26,2,FALSE())</f>
        <v>Industrias manufactureras</v>
      </c>
      <c r="M140" s="18" t="str">
        <f aca="false">+VLOOKUP(K140,'Correl CIIU'!$A$1:$F$26,3,FALSE())</f>
        <v>Manufacturas</v>
      </c>
      <c r="N140" s="18" t="str">
        <f aca="false">+VLOOKUP(K140,'Correl CIIU'!$A$1:$F$26,4,FALSE())</f>
        <v>Manufacturing</v>
      </c>
      <c r="O140" s="18" t="n">
        <v>3</v>
      </c>
      <c r="P140" s="19" t="str">
        <f aca="false">+VLOOKUP(O140,bio!$A$2:$B$4,2,FALSE())</f>
        <v>No bioeconomía</v>
      </c>
    </row>
    <row r="141" customFormat="false" ht="14.25" hidden="false" customHeight="false" outlineLevel="0" collapsed="false">
      <c r="A141" s="16" t="s">
        <v>1069</v>
      </c>
      <c r="B141" s="17" t="s">
        <v>1665</v>
      </c>
      <c r="C141" s="17" t="str">
        <f aca="false">+VLOOKUP(B141,transacciones!$A$1:$I$39,2,FALSE())</f>
        <v>ATC01</v>
      </c>
      <c r="D141" s="17" t="str">
        <f aca="false">+VLOOKUP($B141,transacciones!$A$1:$I$39,4,FALSE())</f>
        <v>Consumo intermedio de mercado</v>
      </c>
      <c r="E141" s="17" t="str">
        <f aca="false">+VLOOKUP($B141,transacciones!$A$1:$I$39,4,FALSE())</f>
        <v>Consumo intermedio de mercado</v>
      </c>
      <c r="F141" s="17" t="n">
        <f aca="false">+VLOOKUP(B141,transacciones!$A$2:$I$39,5,FALSE())</f>
        <v>2</v>
      </c>
      <c r="G141" s="17" t="str">
        <f aca="false">+VLOOKUP(B141,transacciones!$A$2:$I$39,6,FALSE())</f>
        <v>P2</v>
      </c>
      <c r="H141" s="17" t="str">
        <f aca="false">+VLOOKUP(B141,transacciones!$A$1:$I$39,7,FALSE())</f>
        <v>Consumo intermedio</v>
      </c>
      <c r="I141" s="1" t="s">
        <v>1504</v>
      </c>
      <c r="J141" s="1" t="s">
        <v>1505</v>
      </c>
      <c r="K141" s="18" t="s">
        <v>1467</v>
      </c>
      <c r="L141" s="18" t="str">
        <f aca="false">+VLOOKUP(K141,'Correl CIIU'!$A$1:$F$26,2,FALSE())</f>
        <v>Industrias manufactureras</v>
      </c>
      <c r="M141" s="18" t="str">
        <f aca="false">+VLOOKUP(K141,'Correl CIIU'!$A$1:$F$26,3,FALSE())</f>
        <v>Manufacturas</v>
      </c>
      <c r="N141" s="18" t="str">
        <f aca="false">+VLOOKUP(K141,'Correl CIIU'!$A$1:$F$26,4,FALSE())</f>
        <v>Manufacturing</v>
      </c>
      <c r="O141" s="18" t="n">
        <v>3</v>
      </c>
      <c r="P141" s="19" t="str">
        <f aca="false">+VLOOKUP(O141,bio!$A$2:$B$4,2,FALSE())</f>
        <v>No bioeconomía</v>
      </c>
    </row>
    <row r="142" customFormat="false" ht="14.25" hidden="false" customHeight="false" outlineLevel="0" collapsed="false">
      <c r="A142" s="16" t="s">
        <v>1071</v>
      </c>
      <c r="B142" s="17" t="s">
        <v>1665</v>
      </c>
      <c r="C142" s="17" t="str">
        <f aca="false">+VLOOKUP(B142,transacciones!$A$1:$I$39,2,FALSE())</f>
        <v>ATC01</v>
      </c>
      <c r="D142" s="17" t="str">
        <f aca="false">+VLOOKUP($B142,transacciones!$A$1:$I$39,4,FALSE())</f>
        <v>Consumo intermedio de mercado</v>
      </c>
      <c r="E142" s="17" t="str">
        <f aca="false">+VLOOKUP($B142,transacciones!$A$1:$I$39,4,FALSE())</f>
        <v>Consumo intermedio de mercado</v>
      </c>
      <c r="F142" s="17" t="n">
        <f aca="false">+VLOOKUP(B142,transacciones!$A$2:$I$39,5,FALSE())</f>
        <v>2</v>
      </c>
      <c r="G142" s="17" t="str">
        <f aca="false">+VLOOKUP(B142,transacciones!$A$2:$I$39,6,FALSE())</f>
        <v>P2</v>
      </c>
      <c r="H142" s="17" t="str">
        <f aca="false">+VLOOKUP(B142,transacciones!$A$1:$I$39,7,FALSE())</f>
        <v>Consumo intermedio</v>
      </c>
      <c r="I142" s="1" t="s">
        <v>1506</v>
      </c>
      <c r="J142" s="1" t="s">
        <v>1507</v>
      </c>
      <c r="K142" s="18" t="s">
        <v>1467</v>
      </c>
      <c r="L142" s="18" t="str">
        <f aca="false">+VLOOKUP(K142,'Correl CIIU'!$A$1:$F$26,2,FALSE())</f>
        <v>Industrias manufactureras</v>
      </c>
      <c r="M142" s="18" t="str">
        <f aca="false">+VLOOKUP(K142,'Correl CIIU'!$A$1:$F$26,3,FALSE())</f>
        <v>Manufacturas</v>
      </c>
      <c r="N142" s="18" t="str">
        <f aca="false">+VLOOKUP(K142,'Correl CIIU'!$A$1:$F$26,4,FALSE())</f>
        <v>Manufacturing</v>
      </c>
      <c r="O142" s="18" t="n">
        <v>3</v>
      </c>
      <c r="P142" s="19" t="str">
        <f aca="false">+VLOOKUP(O142,bio!$A$2:$B$4,2,FALSE())</f>
        <v>No bioeconomía</v>
      </c>
    </row>
    <row r="143" customFormat="false" ht="14.25" hidden="false" customHeight="false" outlineLevel="0" collapsed="false">
      <c r="A143" s="16" t="s">
        <v>1073</v>
      </c>
      <c r="B143" s="17" t="s">
        <v>1665</v>
      </c>
      <c r="C143" s="17" t="str">
        <f aca="false">+VLOOKUP(B143,transacciones!$A$1:$I$39,2,FALSE())</f>
        <v>ATC01</v>
      </c>
      <c r="D143" s="17" t="str">
        <f aca="false">+VLOOKUP($B143,transacciones!$A$1:$I$39,4,FALSE())</f>
        <v>Consumo intermedio de mercado</v>
      </c>
      <c r="E143" s="17" t="str">
        <f aca="false">+VLOOKUP($B143,transacciones!$A$1:$I$39,4,FALSE())</f>
        <v>Consumo intermedio de mercado</v>
      </c>
      <c r="F143" s="17" t="n">
        <f aca="false">+VLOOKUP(B143,transacciones!$A$2:$I$39,5,FALSE())</f>
        <v>2</v>
      </c>
      <c r="G143" s="17" t="str">
        <f aca="false">+VLOOKUP(B143,transacciones!$A$2:$I$39,6,FALSE())</f>
        <v>P2</v>
      </c>
      <c r="H143" s="17" t="str">
        <f aca="false">+VLOOKUP(B143,transacciones!$A$1:$I$39,7,FALSE())</f>
        <v>Consumo intermedio</v>
      </c>
      <c r="I143" s="1" t="s">
        <v>1508</v>
      </c>
      <c r="J143" s="1" t="s">
        <v>1509</v>
      </c>
      <c r="K143" s="18" t="s">
        <v>1467</v>
      </c>
      <c r="L143" s="18" t="str">
        <f aca="false">+VLOOKUP(K143,'Correl CIIU'!$A$1:$F$26,2,FALSE())</f>
        <v>Industrias manufactureras</v>
      </c>
      <c r="M143" s="18" t="str">
        <f aca="false">+VLOOKUP(K143,'Correl CIIU'!$A$1:$F$26,3,FALSE())</f>
        <v>Manufacturas</v>
      </c>
      <c r="N143" s="18" t="str">
        <f aca="false">+VLOOKUP(K143,'Correl CIIU'!$A$1:$F$26,4,FALSE())</f>
        <v>Manufacturing</v>
      </c>
      <c r="O143" s="18" t="n">
        <v>3</v>
      </c>
      <c r="P143" s="19" t="str">
        <f aca="false">+VLOOKUP(O143,bio!$A$2:$B$4,2,FALSE())</f>
        <v>No bioeconomía</v>
      </c>
    </row>
    <row r="144" customFormat="false" ht="14.25" hidden="false" customHeight="false" outlineLevel="0" collapsed="false">
      <c r="A144" s="16" t="s">
        <v>1075</v>
      </c>
      <c r="B144" s="17" t="s">
        <v>1665</v>
      </c>
      <c r="C144" s="17" t="str">
        <f aca="false">+VLOOKUP(B144,transacciones!$A$1:$I$39,2,FALSE())</f>
        <v>ATC01</v>
      </c>
      <c r="D144" s="17" t="str">
        <f aca="false">+VLOOKUP($B144,transacciones!$A$1:$I$39,4,FALSE())</f>
        <v>Consumo intermedio de mercado</v>
      </c>
      <c r="E144" s="17" t="str">
        <f aca="false">+VLOOKUP($B144,transacciones!$A$1:$I$39,4,FALSE())</f>
        <v>Consumo intermedio de mercado</v>
      </c>
      <c r="F144" s="17" t="n">
        <f aca="false">+VLOOKUP(B144,transacciones!$A$2:$I$39,5,FALSE())</f>
        <v>2</v>
      </c>
      <c r="G144" s="17" t="str">
        <f aca="false">+VLOOKUP(B144,transacciones!$A$2:$I$39,6,FALSE())</f>
        <v>P2</v>
      </c>
      <c r="H144" s="17" t="str">
        <f aca="false">+VLOOKUP(B144,transacciones!$A$1:$I$39,7,FALSE())</f>
        <v>Consumo intermedio</v>
      </c>
      <c r="I144" s="1" t="s">
        <v>1510</v>
      </c>
      <c r="J144" s="1" t="s">
        <v>1511</v>
      </c>
      <c r="K144" s="18" t="s">
        <v>1512</v>
      </c>
      <c r="L144" s="18" t="str">
        <f aca="false">+VLOOKUP(K144,'Correl CIIU'!$A$1:$F$26,2,FALSE())</f>
        <v>Suministro de electricidad, gas, vapor y aire acondicionado</v>
      </c>
      <c r="M144" s="18" t="str">
        <f aca="false">+VLOOKUP(K144,'Correl CIIU'!$A$1:$F$26,3,FALSE())</f>
        <v>Servicios básicos</v>
      </c>
      <c r="N144" s="18" t="str">
        <f aca="false">+VLOOKUP(K144,'Correl CIIU'!$A$1:$F$26,4,FALSE())</f>
        <v>Electricity, gas, steam and air conditioning supply</v>
      </c>
      <c r="O144" s="18" t="n">
        <v>3</v>
      </c>
      <c r="P144" s="19" t="str">
        <f aca="false">+VLOOKUP(O144,bio!$A$2:$B$4,2,FALSE())</f>
        <v>No bioeconomía</v>
      </c>
    </row>
    <row r="145" customFormat="false" ht="14.25" hidden="false" customHeight="false" outlineLevel="0" collapsed="false">
      <c r="A145" s="16" t="s">
        <v>1077</v>
      </c>
      <c r="B145" s="17" t="s">
        <v>1665</v>
      </c>
      <c r="C145" s="17" t="str">
        <f aca="false">+VLOOKUP(B145,transacciones!$A$1:$I$39,2,FALSE())</f>
        <v>ATC01</v>
      </c>
      <c r="D145" s="17" t="str">
        <f aca="false">+VLOOKUP($B145,transacciones!$A$1:$I$39,4,FALSE())</f>
        <v>Consumo intermedio de mercado</v>
      </c>
      <c r="E145" s="17" t="str">
        <f aca="false">+VLOOKUP($B145,transacciones!$A$1:$I$39,4,FALSE())</f>
        <v>Consumo intermedio de mercado</v>
      </c>
      <c r="F145" s="17" t="n">
        <f aca="false">+VLOOKUP(B145,transacciones!$A$2:$I$39,5,FALSE())</f>
        <v>2</v>
      </c>
      <c r="G145" s="17" t="str">
        <f aca="false">+VLOOKUP(B145,transacciones!$A$2:$I$39,6,FALSE())</f>
        <v>P2</v>
      </c>
      <c r="H145" s="17" t="str">
        <f aca="false">+VLOOKUP(B145,transacciones!$A$1:$I$39,7,FALSE())</f>
        <v>Consumo intermedio</v>
      </c>
      <c r="I145" s="1" t="s">
        <v>1513</v>
      </c>
      <c r="J145" s="1" t="s">
        <v>1514</v>
      </c>
      <c r="K145" s="18" t="s">
        <v>1515</v>
      </c>
      <c r="L145" s="18" t="str">
        <f aca="false">+VLOOKUP(K145,'Correl CIIU'!$A$1:$F$26,2,FALSE())</f>
        <v>Suministro de agua; evacuación de aguas residuales, gestión de desechos y descontaminación</v>
      </c>
      <c r="M145" s="18" t="str">
        <f aca="false">+VLOOKUP(K145,'Correl CIIU'!$A$1:$F$26,3,FALSE())</f>
        <v>Suministro de agua</v>
      </c>
      <c r="N145" s="18" t="str">
        <f aca="false">+VLOOKUP(K145,'Correl CIIU'!$A$1:$F$26,4,FALSE())</f>
        <v>Water supply; sewerage, waste management and remediation activities</v>
      </c>
      <c r="O145" s="18" t="n">
        <v>3</v>
      </c>
      <c r="P145" s="19" t="str">
        <f aca="false">+VLOOKUP(O145,bio!$A$2:$B$4,2,FALSE())</f>
        <v>No bioeconomía</v>
      </c>
    </row>
    <row r="146" customFormat="false" ht="14.25" hidden="false" customHeight="false" outlineLevel="0" collapsed="false">
      <c r="A146" s="16" t="s">
        <v>1079</v>
      </c>
      <c r="B146" s="17" t="s">
        <v>1665</v>
      </c>
      <c r="C146" s="17" t="str">
        <f aca="false">+VLOOKUP(B146,transacciones!$A$1:$I$39,2,FALSE())</f>
        <v>ATC01</v>
      </c>
      <c r="D146" s="17" t="str">
        <f aca="false">+VLOOKUP($B146,transacciones!$A$1:$I$39,4,FALSE())</f>
        <v>Consumo intermedio de mercado</v>
      </c>
      <c r="E146" s="17" t="str">
        <f aca="false">+VLOOKUP($B146,transacciones!$A$1:$I$39,4,FALSE())</f>
        <v>Consumo intermedio de mercado</v>
      </c>
      <c r="F146" s="17" t="n">
        <f aca="false">+VLOOKUP(B146,transacciones!$A$2:$I$39,5,FALSE())</f>
        <v>2</v>
      </c>
      <c r="G146" s="17" t="str">
        <f aca="false">+VLOOKUP(B146,transacciones!$A$2:$I$39,6,FALSE())</f>
        <v>P2</v>
      </c>
      <c r="H146" s="17" t="str">
        <f aca="false">+VLOOKUP(B146,transacciones!$A$1:$I$39,7,FALSE())</f>
        <v>Consumo intermedio</v>
      </c>
      <c r="I146" s="1" t="s">
        <v>1516</v>
      </c>
      <c r="J146" s="1" t="s">
        <v>1517</v>
      </c>
      <c r="K146" s="18" t="s">
        <v>1515</v>
      </c>
      <c r="L146" s="18" t="str">
        <f aca="false">+VLOOKUP(K146,'Correl CIIU'!$A$1:$F$26,2,FALSE())</f>
        <v>Suministro de agua; evacuación de aguas residuales, gestión de desechos y descontaminación</v>
      </c>
      <c r="M146" s="18" t="str">
        <f aca="false">+VLOOKUP(K146,'Correl CIIU'!$A$1:$F$26,3,FALSE())</f>
        <v>Suministro de agua</v>
      </c>
      <c r="N146" s="18" t="str">
        <f aca="false">+VLOOKUP(K146,'Correl CIIU'!$A$1:$F$26,4,FALSE())</f>
        <v>Water supply; sewerage, waste management and remediation activities</v>
      </c>
      <c r="O146" s="18" t="n">
        <v>2</v>
      </c>
      <c r="P146" s="19" t="str">
        <f aca="false">+VLOOKUP(O146,bio!$A$2:$B$4,2,FALSE())</f>
        <v>Bioeconomía extendida</v>
      </c>
    </row>
    <row r="147" customFormat="false" ht="14.25" hidden="false" customHeight="false" outlineLevel="0" collapsed="false">
      <c r="A147" s="16" t="s">
        <v>1081</v>
      </c>
      <c r="B147" s="17" t="s">
        <v>1665</v>
      </c>
      <c r="C147" s="17" t="str">
        <f aca="false">+VLOOKUP(B147,transacciones!$A$1:$I$39,2,FALSE())</f>
        <v>ATC01</v>
      </c>
      <c r="D147" s="17" t="str">
        <f aca="false">+VLOOKUP($B147,transacciones!$A$1:$I$39,4,FALSE())</f>
        <v>Consumo intermedio de mercado</v>
      </c>
      <c r="E147" s="17" t="str">
        <f aca="false">+VLOOKUP($B147,transacciones!$A$1:$I$39,4,FALSE())</f>
        <v>Consumo intermedio de mercado</v>
      </c>
      <c r="F147" s="17" t="n">
        <f aca="false">+VLOOKUP(B147,transacciones!$A$2:$I$39,5,FALSE())</f>
        <v>2</v>
      </c>
      <c r="G147" s="17" t="str">
        <f aca="false">+VLOOKUP(B147,transacciones!$A$2:$I$39,6,FALSE())</f>
        <v>P2</v>
      </c>
      <c r="H147" s="17" t="str">
        <f aca="false">+VLOOKUP(B147,transacciones!$A$1:$I$39,7,FALSE())</f>
        <v>Consumo intermedio</v>
      </c>
      <c r="I147" s="1" t="s">
        <v>1518</v>
      </c>
      <c r="J147" s="1" t="s">
        <v>1519</v>
      </c>
      <c r="K147" s="18" t="s">
        <v>1520</v>
      </c>
      <c r="L147" s="18" t="str">
        <f aca="false">+VLOOKUP(K147,'Correl CIIU'!$A$1:$F$26,2,FALSE())</f>
        <v>Construcción</v>
      </c>
      <c r="M147" s="18" t="str">
        <f aca="false">+VLOOKUP(K147,'Correl CIIU'!$A$1:$F$26,3,FALSE())</f>
        <v>Construcción</v>
      </c>
      <c r="N147" s="18" t="str">
        <f aca="false">+VLOOKUP(K147,'Correl CIIU'!$A$1:$F$26,4,FALSE())</f>
        <v>Construction</v>
      </c>
      <c r="O147" s="18" t="n">
        <v>3</v>
      </c>
      <c r="P147" s="19" t="str">
        <f aca="false">+VLOOKUP(O147,bio!$A$2:$B$4,2,FALSE())</f>
        <v>No bioeconomía</v>
      </c>
    </row>
    <row r="148" customFormat="false" ht="14.25" hidden="false" customHeight="false" outlineLevel="0" collapsed="false">
      <c r="A148" s="16" t="s">
        <v>1083</v>
      </c>
      <c r="B148" s="17" t="s">
        <v>1665</v>
      </c>
      <c r="C148" s="17" t="str">
        <f aca="false">+VLOOKUP(B148,transacciones!$A$1:$I$39,2,FALSE())</f>
        <v>ATC01</v>
      </c>
      <c r="D148" s="17" t="str">
        <f aca="false">+VLOOKUP($B148,transacciones!$A$1:$I$39,4,FALSE())</f>
        <v>Consumo intermedio de mercado</v>
      </c>
      <c r="E148" s="17" t="str">
        <f aca="false">+VLOOKUP($B148,transacciones!$A$1:$I$39,4,FALSE())</f>
        <v>Consumo intermedio de mercado</v>
      </c>
      <c r="F148" s="17" t="n">
        <f aca="false">+VLOOKUP(B148,transacciones!$A$2:$I$39,5,FALSE())</f>
        <v>2</v>
      </c>
      <c r="G148" s="17" t="str">
        <f aca="false">+VLOOKUP(B148,transacciones!$A$2:$I$39,6,FALSE())</f>
        <v>P2</v>
      </c>
      <c r="H148" s="17" t="str">
        <f aca="false">+VLOOKUP(B148,transacciones!$A$1:$I$39,7,FALSE())</f>
        <v>Consumo intermedio</v>
      </c>
      <c r="I148" s="1" t="s">
        <v>1521</v>
      </c>
      <c r="J148" s="1" t="s">
        <v>1522</v>
      </c>
      <c r="K148" s="18" t="s">
        <v>1523</v>
      </c>
      <c r="L148" s="18" t="str">
        <f aca="false">+VLOOKUP(K148,'Correl CIIU'!$A$1:$F$26,2,FALSE())</f>
        <v>Comercio al por mayor y al por menor; reparación de vehículos automotores y motocicletas</v>
      </c>
      <c r="M148" s="18" t="str">
        <f aca="false">+VLOOKUP(K148,'Correl CIIU'!$A$1:$F$26,3,FALSE())</f>
        <v>Comercio</v>
      </c>
      <c r="N148" s="18" t="str">
        <f aca="false">+VLOOKUP(K148,'Correl CIIU'!$A$1:$F$26,4,FALSE())</f>
        <v>Wholesale and retail trade; repair of motor vehicles and motorcycles</v>
      </c>
      <c r="O148" s="18" t="n">
        <v>3</v>
      </c>
      <c r="P148" s="19" t="str">
        <f aca="false">+VLOOKUP(O148,bio!$A$2:$B$4,2,FALSE())</f>
        <v>No bioeconomía</v>
      </c>
    </row>
    <row r="149" customFormat="false" ht="14.25" hidden="false" customHeight="false" outlineLevel="0" collapsed="false">
      <c r="A149" s="16" t="s">
        <v>1085</v>
      </c>
      <c r="B149" s="17" t="s">
        <v>1665</v>
      </c>
      <c r="C149" s="17" t="str">
        <f aca="false">+VLOOKUP(B149,transacciones!$A$1:$I$39,2,FALSE())</f>
        <v>ATC01</v>
      </c>
      <c r="D149" s="17" t="str">
        <f aca="false">+VLOOKUP($B149,transacciones!$A$1:$I$39,4,FALSE())</f>
        <v>Consumo intermedio de mercado</v>
      </c>
      <c r="E149" s="17" t="str">
        <f aca="false">+VLOOKUP($B149,transacciones!$A$1:$I$39,4,FALSE())</f>
        <v>Consumo intermedio de mercado</v>
      </c>
      <c r="F149" s="17" t="n">
        <f aca="false">+VLOOKUP(B149,transacciones!$A$2:$I$39,5,FALSE())</f>
        <v>2</v>
      </c>
      <c r="G149" s="17" t="str">
        <f aca="false">+VLOOKUP(B149,transacciones!$A$2:$I$39,6,FALSE())</f>
        <v>P2</v>
      </c>
      <c r="H149" s="17" t="str">
        <f aca="false">+VLOOKUP(B149,transacciones!$A$1:$I$39,7,FALSE())</f>
        <v>Consumo intermedio</v>
      </c>
      <c r="I149" s="1" t="s">
        <v>1524</v>
      </c>
      <c r="J149" s="1" t="s">
        <v>1525</v>
      </c>
      <c r="K149" s="18" t="s">
        <v>1523</v>
      </c>
      <c r="L149" s="18" t="str">
        <f aca="false">+VLOOKUP(K149,'Correl CIIU'!$A$1:$F$26,2,FALSE())</f>
        <v>Comercio al por mayor y al por menor; reparación de vehículos automotores y motocicletas</v>
      </c>
      <c r="M149" s="18" t="str">
        <f aca="false">+VLOOKUP(K149,'Correl CIIU'!$A$1:$F$26,3,FALSE())</f>
        <v>Comercio</v>
      </c>
      <c r="N149" s="18" t="str">
        <f aca="false">+VLOOKUP(K149,'Correl CIIU'!$A$1:$F$26,4,FALSE())</f>
        <v>Wholesale and retail trade; repair of motor vehicles and motorcycles</v>
      </c>
      <c r="O149" s="18" t="n">
        <v>3</v>
      </c>
      <c r="P149" s="19" t="str">
        <f aca="false">+VLOOKUP(O149,bio!$A$2:$B$4,2,FALSE())</f>
        <v>No bioeconomía</v>
      </c>
    </row>
    <row r="150" customFormat="false" ht="14.25" hidden="false" customHeight="false" outlineLevel="0" collapsed="false">
      <c r="A150" s="16" t="s">
        <v>1087</v>
      </c>
      <c r="B150" s="17" t="s">
        <v>1665</v>
      </c>
      <c r="C150" s="17" t="str">
        <f aca="false">+VLOOKUP(B150,transacciones!$A$1:$I$39,2,FALSE())</f>
        <v>ATC01</v>
      </c>
      <c r="D150" s="17" t="str">
        <f aca="false">+VLOOKUP($B150,transacciones!$A$1:$I$39,4,FALSE())</f>
        <v>Consumo intermedio de mercado</v>
      </c>
      <c r="E150" s="17" t="str">
        <f aca="false">+VLOOKUP($B150,transacciones!$A$1:$I$39,4,FALSE())</f>
        <v>Consumo intermedio de mercado</v>
      </c>
      <c r="F150" s="17" t="n">
        <f aca="false">+VLOOKUP(B150,transacciones!$A$2:$I$39,5,FALSE())</f>
        <v>2</v>
      </c>
      <c r="G150" s="17" t="str">
        <f aca="false">+VLOOKUP(B150,transacciones!$A$2:$I$39,6,FALSE())</f>
        <v>P2</v>
      </c>
      <c r="H150" s="17" t="str">
        <f aca="false">+VLOOKUP(B150,transacciones!$A$1:$I$39,7,FALSE())</f>
        <v>Consumo intermedio</v>
      </c>
      <c r="I150" s="1" t="s">
        <v>1526</v>
      </c>
      <c r="J150" s="1" t="s">
        <v>1527</v>
      </c>
      <c r="K150" s="18" t="s">
        <v>1523</v>
      </c>
      <c r="L150" s="18" t="str">
        <f aca="false">+VLOOKUP(K150,'Correl CIIU'!$A$1:$F$26,2,FALSE())</f>
        <v>Comercio al por mayor y al por menor; reparación de vehículos automotores y motocicletas</v>
      </c>
      <c r="M150" s="18" t="str">
        <f aca="false">+VLOOKUP(K150,'Correl CIIU'!$A$1:$F$26,3,FALSE())</f>
        <v>Comercio</v>
      </c>
      <c r="N150" s="18" t="str">
        <f aca="false">+VLOOKUP(K150,'Correl CIIU'!$A$1:$F$26,4,FALSE())</f>
        <v>Wholesale and retail trade; repair of motor vehicles and motorcycles</v>
      </c>
      <c r="O150" s="18" t="n">
        <v>3</v>
      </c>
      <c r="P150" s="19" t="str">
        <f aca="false">+VLOOKUP(O150,bio!$A$2:$B$4,2,FALSE())</f>
        <v>No bioeconomía</v>
      </c>
    </row>
    <row r="151" customFormat="false" ht="14.25" hidden="false" customHeight="false" outlineLevel="0" collapsed="false">
      <c r="A151" s="16" t="s">
        <v>1089</v>
      </c>
      <c r="B151" s="17" t="s">
        <v>1665</v>
      </c>
      <c r="C151" s="17" t="str">
        <f aca="false">+VLOOKUP(B151,transacciones!$A$1:$I$39,2,FALSE())</f>
        <v>ATC01</v>
      </c>
      <c r="D151" s="17" t="str">
        <f aca="false">+VLOOKUP($B151,transacciones!$A$1:$I$39,4,FALSE())</f>
        <v>Consumo intermedio de mercado</v>
      </c>
      <c r="E151" s="17" t="str">
        <f aca="false">+VLOOKUP($B151,transacciones!$A$1:$I$39,4,FALSE())</f>
        <v>Consumo intermedio de mercado</v>
      </c>
      <c r="F151" s="17" t="n">
        <f aca="false">+VLOOKUP(B151,transacciones!$A$2:$I$39,5,FALSE())</f>
        <v>2</v>
      </c>
      <c r="G151" s="17" t="str">
        <f aca="false">+VLOOKUP(B151,transacciones!$A$2:$I$39,6,FALSE())</f>
        <v>P2</v>
      </c>
      <c r="H151" s="17" t="str">
        <f aca="false">+VLOOKUP(B151,transacciones!$A$1:$I$39,7,FALSE())</f>
        <v>Consumo intermedio</v>
      </c>
      <c r="I151" s="1" t="s">
        <v>1528</v>
      </c>
      <c r="J151" s="1" t="s">
        <v>1529</v>
      </c>
      <c r="K151" s="18" t="s">
        <v>1530</v>
      </c>
      <c r="L151" s="18" t="str">
        <f aca="false">+VLOOKUP(K151,'Correl CIIU'!$A$1:$F$26,2,FALSE())</f>
        <v>Transporte y almacenamiento</v>
      </c>
      <c r="M151" s="18" t="str">
        <f aca="false">+VLOOKUP(K151,'Correl CIIU'!$A$1:$F$26,3,FALSE())</f>
        <v>Transporte y almacenamiento</v>
      </c>
      <c r="N151" s="18" t="str">
        <f aca="false">+VLOOKUP(K151,'Correl CIIU'!$A$1:$F$26,4,FALSE())</f>
        <v>Transportation and storage</v>
      </c>
      <c r="O151" s="18" t="n">
        <v>3</v>
      </c>
      <c r="P151" s="19" t="str">
        <f aca="false">+VLOOKUP(O151,bio!$A$2:$B$4,2,FALSE())</f>
        <v>No bioeconomía</v>
      </c>
    </row>
    <row r="152" customFormat="false" ht="14.25" hidden="false" customHeight="false" outlineLevel="0" collapsed="false">
      <c r="A152" s="16" t="s">
        <v>1091</v>
      </c>
      <c r="B152" s="17" t="s">
        <v>1665</v>
      </c>
      <c r="C152" s="17" t="str">
        <f aca="false">+VLOOKUP(B152,transacciones!$A$1:$I$39,2,FALSE())</f>
        <v>ATC01</v>
      </c>
      <c r="D152" s="17" t="str">
        <f aca="false">+VLOOKUP($B152,transacciones!$A$1:$I$39,4,FALSE())</f>
        <v>Consumo intermedio de mercado</v>
      </c>
      <c r="E152" s="17" t="str">
        <f aca="false">+VLOOKUP($B152,transacciones!$A$1:$I$39,4,FALSE())</f>
        <v>Consumo intermedio de mercado</v>
      </c>
      <c r="F152" s="17" t="n">
        <f aca="false">+VLOOKUP(B152,transacciones!$A$2:$I$39,5,FALSE())</f>
        <v>2</v>
      </c>
      <c r="G152" s="17" t="str">
        <f aca="false">+VLOOKUP(B152,transacciones!$A$2:$I$39,6,FALSE())</f>
        <v>P2</v>
      </c>
      <c r="H152" s="17" t="str">
        <f aca="false">+VLOOKUP(B152,transacciones!$A$1:$I$39,7,FALSE())</f>
        <v>Consumo intermedio</v>
      </c>
      <c r="I152" s="1" t="s">
        <v>1531</v>
      </c>
      <c r="J152" s="1" t="s">
        <v>1532</v>
      </c>
      <c r="K152" s="18" t="s">
        <v>1530</v>
      </c>
      <c r="L152" s="18" t="str">
        <f aca="false">+VLOOKUP(K152,'Correl CIIU'!$A$1:$F$26,2,FALSE())</f>
        <v>Transporte y almacenamiento</v>
      </c>
      <c r="M152" s="18" t="str">
        <f aca="false">+VLOOKUP(K152,'Correl CIIU'!$A$1:$F$26,3,FALSE())</f>
        <v>Transporte y almacenamiento</v>
      </c>
      <c r="N152" s="18" t="str">
        <f aca="false">+VLOOKUP(K152,'Correl CIIU'!$A$1:$F$26,4,FALSE())</f>
        <v>Transportation and storage</v>
      </c>
      <c r="O152" s="18" t="n">
        <v>3</v>
      </c>
      <c r="P152" s="19" t="str">
        <f aca="false">+VLOOKUP(O152,bio!$A$2:$B$4,2,FALSE())</f>
        <v>No bioeconomía</v>
      </c>
    </row>
    <row r="153" customFormat="false" ht="14.25" hidden="false" customHeight="false" outlineLevel="0" collapsed="false">
      <c r="A153" s="16" t="s">
        <v>1093</v>
      </c>
      <c r="B153" s="17" t="s">
        <v>1665</v>
      </c>
      <c r="C153" s="17" t="str">
        <f aca="false">+VLOOKUP(B153,transacciones!$A$1:$I$39,2,FALSE())</f>
        <v>ATC01</v>
      </c>
      <c r="D153" s="17" t="str">
        <f aca="false">+VLOOKUP($B153,transacciones!$A$1:$I$39,4,FALSE())</f>
        <v>Consumo intermedio de mercado</v>
      </c>
      <c r="E153" s="17" t="str">
        <f aca="false">+VLOOKUP($B153,transacciones!$A$1:$I$39,4,FALSE())</f>
        <v>Consumo intermedio de mercado</v>
      </c>
      <c r="F153" s="17" t="n">
        <f aca="false">+VLOOKUP(B153,transacciones!$A$2:$I$39,5,FALSE())</f>
        <v>2</v>
      </c>
      <c r="G153" s="17" t="str">
        <f aca="false">+VLOOKUP(B153,transacciones!$A$2:$I$39,6,FALSE())</f>
        <v>P2</v>
      </c>
      <c r="H153" s="17" t="str">
        <f aca="false">+VLOOKUP(B153,transacciones!$A$1:$I$39,7,FALSE())</f>
        <v>Consumo intermedio</v>
      </c>
      <c r="I153" s="1" t="n">
        <v>39.2</v>
      </c>
      <c r="J153" s="1" t="s">
        <v>1533</v>
      </c>
      <c r="K153" s="18" t="s">
        <v>1530</v>
      </c>
      <c r="L153" s="18" t="str">
        <f aca="false">+VLOOKUP(K153,'Correl CIIU'!$A$1:$F$26,2,FALSE())</f>
        <v>Transporte y almacenamiento</v>
      </c>
      <c r="M153" s="18" t="str">
        <f aca="false">+VLOOKUP(K153,'Correl CIIU'!$A$1:$F$26,3,FALSE())</f>
        <v>Transporte y almacenamiento</v>
      </c>
      <c r="N153" s="18" t="str">
        <f aca="false">+VLOOKUP(K153,'Correl CIIU'!$A$1:$F$26,4,FALSE())</f>
        <v>Transportation and storage</v>
      </c>
      <c r="O153" s="18" t="n">
        <v>3</v>
      </c>
      <c r="P153" s="19" t="str">
        <f aca="false">+VLOOKUP(O153,bio!$A$2:$B$4,2,FALSE())</f>
        <v>No bioeconomía</v>
      </c>
    </row>
    <row r="154" customFormat="false" ht="14.25" hidden="false" customHeight="false" outlineLevel="0" collapsed="false">
      <c r="A154" s="16" t="s">
        <v>1095</v>
      </c>
      <c r="B154" s="17" t="s">
        <v>1665</v>
      </c>
      <c r="C154" s="17" t="str">
        <f aca="false">+VLOOKUP(B154,transacciones!$A$1:$I$39,2,FALSE())</f>
        <v>ATC01</v>
      </c>
      <c r="D154" s="17" t="str">
        <f aca="false">+VLOOKUP($B154,transacciones!$A$1:$I$39,4,FALSE())</f>
        <v>Consumo intermedio de mercado</v>
      </c>
      <c r="E154" s="17" t="str">
        <f aca="false">+VLOOKUP($B154,transacciones!$A$1:$I$39,4,FALSE())</f>
        <v>Consumo intermedio de mercado</v>
      </c>
      <c r="F154" s="17" t="n">
        <f aca="false">+VLOOKUP(B154,transacciones!$A$2:$I$39,5,FALSE())</f>
        <v>2</v>
      </c>
      <c r="G154" s="17" t="str">
        <f aca="false">+VLOOKUP(B154,transacciones!$A$2:$I$39,6,FALSE())</f>
        <v>P2</v>
      </c>
      <c r="H154" s="17" t="str">
        <f aca="false">+VLOOKUP(B154,transacciones!$A$1:$I$39,7,FALSE())</f>
        <v>Consumo intermedio</v>
      </c>
      <c r="I154" s="1" t="s">
        <v>1534</v>
      </c>
      <c r="J154" s="1" t="s">
        <v>1535</v>
      </c>
      <c r="K154" s="18" t="s">
        <v>1530</v>
      </c>
      <c r="L154" s="18" t="str">
        <f aca="false">+VLOOKUP(K154,'Correl CIIU'!$A$1:$F$26,2,FALSE())</f>
        <v>Transporte y almacenamiento</v>
      </c>
      <c r="M154" s="18" t="str">
        <f aca="false">+VLOOKUP(K154,'Correl CIIU'!$A$1:$F$26,3,FALSE())</f>
        <v>Transporte y almacenamiento</v>
      </c>
      <c r="N154" s="18" t="str">
        <f aca="false">+VLOOKUP(K154,'Correl CIIU'!$A$1:$F$26,4,FALSE())</f>
        <v>Transportation and storage</v>
      </c>
      <c r="O154" s="18" t="n">
        <v>3</v>
      </c>
      <c r="P154" s="19" t="str">
        <f aca="false">+VLOOKUP(O154,bio!$A$2:$B$4,2,FALSE())</f>
        <v>No bioeconomía</v>
      </c>
    </row>
    <row r="155" customFormat="false" ht="14.25" hidden="false" customHeight="false" outlineLevel="0" collapsed="false">
      <c r="A155" s="16" t="s">
        <v>1097</v>
      </c>
      <c r="B155" s="17" t="s">
        <v>1665</v>
      </c>
      <c r="C155" s="17" t="str">
        <f aca="false">+VLOOKUP(B155,transacciones!$A$1:$I$39,2,FALSE())</f>
        <v>ATC01</v>
      </c>
      <c r="D155" s="17" t="str">
        <f aca="false">+VLOOKUP($B155,transacciones!$A$1:$I$39,4,FALSE())</f>
        <v>Consumo intermedio de mercado</v>
      </c>
      <c r="E155" s="17" t="str">
        <f aca="false">+VLOOKUP($B155,transacciones!$A$1:$I$39,4,FALSE())</f>
        <v>Consumo intermedio de mercado</v>
      </c>
      <c r="F155" s="17" t="n">
        <f aca="false">+VLOOKUP(B155,transacciones!$A$2:$I$39,5,FALSE())</f>
        <v>2</v>
      </c>
      <c r="G155" s="17" t="str">
        <f aca="false">+VLOOKUP(B155,transacciones!$A$2:$I$39,6,FALSE())</f>
        <v>P2</v>
      </c>
      <c r="H155" s="17" t="str">
        <f aca="false">+VLOOKUP(B155,transacciones!$A$1:$I$39,7,FALSE())</f>
        <v>Consumo intermedio</v>
      </c>
      <c r="I155" s="1" t="s">
        <v>1536</v>
      </c>
      <c r="J155" s="1" t="s">
        <v>1537</v>
      </c>
      <c r="K155" s="18" t="s">
        <v>1530</v>
      </c>
      <c r="L155" s="18" t="str">
        <f aca="false">+VLOOKUP(K155,'Correl CIIU'!$A$1:$F$26,2,FALSE())</f>
        <v>Transporte y almacenamiento</v>
      </c>
      <c r="M155" s="18" t="str">
        <f aca="false">+VLOOKUP(K155,'Correl CIIU'!$A$1:$F$26,3,FALSE())</f>
        <v>Transporte y almacenamiento</v>
      </c>
      <c r="N155" s="18" t="str">
        <f aca="false">+VLOOKUP(K155,'Correl CIIU'!$A$1:$F$26,4,FALSE())</f>
        <v>Transportation and storage</v>
      </c>
      <c r="O155" s="18" t="n">
        <v>3</v>
      </c>
      <c r="P155" s="19" t="str">
        <f aca="false">+VLOOKUP(O155,bio!$A$2:$B$4,2,FALSE())</f>
        <v>No bioeconomía</v>
      </c>
    </row>
    <row r="156" customFormat="false" ht="14.25" hidden="false" customHeight="false" outlineLevel="0" collapsed="false">
      <c r="A156" s="16" t="s">
        <v>1099</v>
      </c>
      <c r="B156" s="17" t="s">
        <v>1665</v>
      </c>
      <c r="C156" s="17" t="str">
        <f aca="false">+VLOOKUP(B156,transacciones!$A$1:$I$39,2,FALSE())</f>
        <v>ATC01</v>
      </c>
      <c r="D156" s="17" t="str">
        <f aca="false">+VLOOKUP($B156,transacciones!$A$1:$I$39,4,FALSE())</f>
        <v>Consumo intermedio de mercado</v>
      </c>
      <c r="E156" s="17" t="str">
        <f aca="false">+VLOOKUP($B156,transacciones!$A$1:$I$39,4,FALSE())</f>
        <v>Consumo intermedio de mercado</v>
      </c>
      <c r="F156" s="17" t="n">
        <f aca="false">+VLOOKUP(B156,transacciones!$A$2:$I$39,5,FALSE())</f>
        <v>2</v>
      </c>
      <c r="G156" s="17" t="str">
        <f aca="false">+VLOOKUP(B156,transacciones!$A$2:$I$39,6,FALSE())</f>
        <v>P2</v>
      </c>
      <c r="H156" s="17" t="str">
        <f aca="false">+VLOOKUP(B156,transacciones!$A$1:$I$39,7,FALSE())</f>
        <v>Consumo intermedio</v>
      </c>
      <c r="I156" s="1" t="s">
        <v>1538</v>
      </c>
      <c r="J156" s="1" t="s">
        <v>1539</v>
      </c>
      <c r="K156" s="18" t="s">
        <v>1530</v>
      </c>
      <c r="L156" s="18" t="str">
        <f aca="false">+VLOOKUP(K156,'Correl CIIU'!$A$1:$F$26,2,FALSE())</f>
        <v>Transporte y almacenamiento</v>
      </c>
      <c r="M156" s="18" t="str">
        <f aca="false">+VLOOKUP(K156,'Correl CIIU'!$A$1:$F$26,3,FALSE())</f>
        <v>Transporte y almacenamiento</v>
      </c>
      <c r="N156" s="18" t="str">
        <f aca="false">+VLOOKUP(K156,'Correl CIIU'!$A$1:$F$26,4,FALSE())</f>
        <v>Transportation and storage</v>
      </c>
      <c r="O156" s="18" t="n">
        <v>3</v>
      </c>
      <c r="P156" s="19" t="str">
        <f aca="false">+VLOOKUP(O156,bio!$A$2:$B$4,2,FALSE())</f>
        <v>No bioeconomía</v>
      </c>
    </row>
    <row r="157" customFormat="false" ht="14.25" hidden="false" customHeight="false" outlineLevel="0" collapsed="false">
      <c r="A157" s="16" t="s">
        <v>1101</v>
      </c>
      <c r="B157" s="17" t="s">
        <v>1665</v>
      </c>
      <c r="C157" s="17" t="str">
        <f aca="false">+VLOOKUP(B157,transacciones!$A$1:$I$39,2,FALSE())</f>
        <v>ATC01</v>
      </c>
      <c r="D157" s="17" t="str">
        <f aca="false">+VLOOKUP($B157,transacciones!$A$1:$I$39,4,FALSE())</f>
        <v>Consumo intermedio de mercado</v>
      </c>
      <c r="E157" s="17" t="str">
        <f aca="false">+VLOOKUP($B157,transacciones!$A$1:$I$39,4,FALSE())</f>
        <v>Consumo intermedio de mercado</v>
      </c>
      <c r="F157" s="17" t="n">
        <f aca="false">+VLOOKUP(B157,transacciones!$A$2:$I$39,5,FALSE())</f>
        <v>2</v>
      </c>
      <c r="G157" s="17" t="str">
        <f aca="false">+VLOOKUP(B157,transacciones!$A$2:$I$39,6,FALSE())</f>
        <v>P2</v>
      </c>
      <c r="H157" s="17" t="str">
        <f aca="false">+VLOOKUP(B157,transacciones!$A$1:$I$39,7,FALSE())</f>
        <v>Consumo intermedio</v>
      </c>
      <c r="I157" s="1" t="s">
        <v>1540</v>
      </c>
      <c r="J157" s="1" t="s">
        <v>1541</v>
      </c>
      <c r="K157" s="18" t="s">
        <v>1530</v>
      </c>
      <c r="L157" s="18" t="str">
        <f aca="false">+VLOOKUP(K157,'Correl CIIU'!$A$1:$F$26,2,FALSE())</f>
        <v>Transporte y almacenamiento</v>
      </c>
      <c r="M157" s="18" t="str">
        <f aca="false">+VLOOKUP(K157,'Correl CIIU'!$A$1:$F$26,3,FALSE())</f>
        <v>Transporte y almacenamiento</v>
      </c>
      <c r="N157" s="18" t="str">
        <f aca="false">+VLOOKUP(K157,'Correl CIIU'!$A$1:$F$26,4,FALSE())</f>
        <v>Transportation and storage</v>
      </c>
      <c r="O157" s="18" t="n">
        <v>3</v>
      </c>
      <c r="P157" s="19" t="str">
        <f aca="false">+VLOOKUP(O157,bio!$A$2:$B$4,2,FALSE())</f>
        <v>No bioeconomía</v>
      </c>
    </row>
    <row r="158" customFormat="false" ht="14.25" hidden="false" customHeight="false" outlineLevel="0" collapsed="false">
      <c r="A158" s="16" t="s">
        <v>1103</v>
      </c>
      <c r="B158" s="17" t="s">
        <v>1665</v>
      </c>
      <c r="C158" s="17" t="str">
        <f aca="false">+VLOOKUP(B158,transacciones!$A$1:$I$39,2,FALSE())</f>
        <v>ATC01</v>
      </c>
      <c r="D158" s="17" t="str">
        <f aca="false">+VLOOKUP($B158,transacciones!$A$1:$I$39,4,FALSE())</f>
        <v>Consumo intermedio de mercado</v>
      </c>
      <c r="E158" s="17" t="str">
        <f aca="false">+VLOOKUP($B158,transacciones!$A$1:$I$39,4,FALSE())</f>
        <v>Consumo intermedio de mercado</v>
      </c>
      <c r="F158" s="17" t="n">
        <f aca="false">+VLOOKUP(B158,transacciones!$A$2:$I$39,5,FALSE())</f>
        <v>2</v>
      </c>
      <c r="G158" s="17" t="str">
        <f aca="false">+VLOOKUP(B158,transacciones!$A$2:$I$39,6,FALSE())</f>
        <v>P2</v>
      </c>
      <c r="H158" s="17" t="str">
        <f aca="false">+VLOOKUP(B158,transacciones!$A$1:$I$39,7,FALSE())</f>
        <v>Consumo intermedio</v>
      </c>
      <c r="I158" s="1" t="s">
        <v>1542</v>
      </c>
      <c r="J158" s="1" t="s">
        <v>1543</v>
      </c>
      <c r="K158" s="18" t="s">
        <v>1530</v>
      </c>
      <c r="L158" s="18" t="str">
        <f aca="false">+VLOOKUP(K158,'Correl CIIU'!$A$1:$F$26,2,FALSE())</f>
        <v>Transporte y almacenamiento</v>
      </c>
      <c r="M158" s="18" t="str">
        <f aca="false">+VLOOKUP(K158,'Correl CIIU'!$A$1:$F$26,3,FALSE())</f>
        <v>Transporte y almacenamiento</v>
      </c>
      <c r="N158" s="18" t="str">
        <f aca="false">+VLOOKUP(K158,'Correl CIIU'!$A$1:$F$26,4,FALSE())</f>
        <v>Transportation and storage</v>
      </c>
      <c r="O158" s="18" t="n">
        <v>3</v>
      </c>
      <c r="P158" s="19" t="str">
        <f aca="false">+VLOOKUP(O158,bio!$A$2:$B$4,2,FALSE())</f>
        <v>No bioeconomía</v>
      </c>
    </row>
    <row r="159" customFormat="false" ht="14.25" hidden="false" customHeight="false" outlineLevel="0" collapsed="false">
      <c r="A159" s="16" t="s">
        <v>1105</v>
      </c>
      <c r="B159" s="17" t="s">
        <v>1665</v>
      </c>
      <c r="C159" s="17" t="str">
        <f aca="false">+VLOOKUP(B159,transacciones!$A$1:$I$39,2,FALSE())</f>
        <v>ATC01</v>
      </c>
      <c r="D159" s="17" t="str">
        <f aca="false">+VLOOKUP($B159,transacciones!$A$1:$I$39,4,FALSE())</f>
        <v>Consumo intermedio de mercado</v>
      </c>
      <c r="E159" s="17" t="str">
        <f aca="false">+VLOOKUP($B159,transacciones!$A$1:$I$39,4,FALSE())</f>
        <v>Consumo intermedio de mercado</v>
      </c>
      <c r="F159" s="17" t="n">
        <f aca="false">+VLOOKUP(B159,transacciones!$A$2:$I$39,5,FALSE())</f>
        <v>2</v>
      </c>
      <c r="G159" s="17" t="str">
        <f aca="false">+VLOOKUP(B159,transacciones!$A$2:$I$39,6,FALSE())</f>
        <v>P2</v>
      </c>
      <c r="H159" s="17" t="str">
        <f aca="false">+VLOOKUP(B159,transacciones!$A$1:$I$39,7,FALSE())</f>
        <v>Consumo intermedio</v>
      </c>
      <c r="I159" s="1" t="s">
        <v>1544</v>
      </c>
      <c r="J159" s="1" t="s">
        <v>1545</v>
      </c>
      <c r="K159" s="18" t="s">
        <v>1530</v>
      </c>
      <c r="L159" s="18" t="str">
        <f aca="false">+VLOOKUP(K159,'Correl CIIU'!$A$1:$F$26,2,FALSE())</f>
        <v>Transporte y almacenamiento</v>
      </c>
      <c r="M159" s="18" t="str">
        <f aca="false">+VLOOKUP(K159,'Correl CIIU'!$A$1:$F$26,3,FALSE())</f>
        <v>Transporte y almacenamiento</v>
      </c>
      <c r="N159" s="18" t="str">
        <f aca="false">+VLOOKUP(K159,'Correl CIIU'!$A$1:$F$26,4,FALSE())</f>
        <v>Transportation and storage</v>
      </c>
      <c r="O159" s="18" t="n">
        <v>3</v>
      </c>
      <c r="P159" s="19" t="str">
        <f aca="false">+VLOOKUP(O159,bio!$A$2:$B$4,2,FALSE())</f>
        <v>No bioeconomía</v>
      </c>
    </row>
    <row r="160" customFormat="false" ht="14.25" hidden="false" customHeight="false" outlineLevel="0" collapsed="false">
      <c r="A160" s="16" t="s">
        <v>1107</v>
      </c>
      <c r="B160" s="17" t="s">
        <v>1665</v>
      </c>
      <c r="C160" s="17" t="str">
        <f aca="false">+VLOOKUP(B160,transacciones!$A$1:$I$39,2,FALSE())</f>
        <v>ATC01</v>
      </c>
      <c r="D160" s="17" t="str">
        <f aca="false">+VLOOKUP($B160,transacciones!$A$1:$I$39,4,FALSE())</f>
        <v>Consumo intermedio de mercado</v>
      </c>
      <c r="E160" s="17" t="str">
        <f aca="false">+VLOOKUP($B160,transacciones!$A$1:$I$39,4,FALSE())</f>
        <v>Consumo intermedio de mercado</v>
      </c>
      <c r="F160" s="17" t="n">
        <f aca="false">+VLOOKUP(B160,transacciones!$A$2:$I$39,5,FALSE())</f>
        <v>2</v>
      </c>
      <c r="G160" s="17" t="str">
        <f aca="false">+VLOOKUP(B160,transacciones!$A$2:$I$39,6,FALSE())</f>
        <v>P2</v>
      </c>
      <c r="H160" s="17" t="str">
        <f aca="false">+VLOOKUP(B160,transacciones!$A$1:$I$39,7,FALSE())</f>
        <v>Consumo intermedio</v>
      </c>
      <c r="I160" s="1" t="s">
        <v>1546</v>
      </c>
      <c r="J160" s="1" t="s">
        <v>1547</v>
      </c>
      <c r="K160" s="20" t="s">
        <v>1548</v>
      </c>
      <c r="L160" s="20" t="s">
        <v>1549</v>
      </c>
      <c r="M160" s="20" t="s">
        <v>1549</v>
      </c>
      <c r="N160" s="20" t="s">
        <v>1550</v>
      </c>
      <c r="O160" s="18" t="n">
        <v>3</v>
      </c>
      <c r="P160" s="19" t="str">
        <f aca="false">+VLOOKUP(O160,bio!$A$2:$B$4,2,FALSE())</f>
        <v>No bioeconomía</v>
      </c>
    </row>
    <row r="161" customFormat="false" ht="14.25" hidden="false" customHeight="false" outlineLevel="0" collapsed="false">
      <c r="A161" s="16" t="s">
        <v>1109</v>
      </c>
      <c r="B161" s="17" t="s">
        <v>1665</v>
      </c>
      <c r="C161" s="17" t="str">
        <f aca="false">+VLOOKUP(B161,transacciones!$A$1:$I$39,2,FALSE())</f>
        <v>ATC01</v>
      </c>
      <c r="D161" s="17" t="str">
        <f aca="false">+VLOOKUP($B161,transacciones!$A$1:$I$39,4,FALSE())</f>
        <v>Consumo intermedio de mercado</v>
      </c>
      <c r="E161" s="17" t="str">
        <f aca="false">+VLOOKUP($B161,transacciones!$A$1:$I$39,4,FALSE())</f>
        <v>Consumo intermedio de mercado</v>
      </c>
      <c r="F161" s="17" t="n">
        <f aca="false">+VLOOKUP(B161,transacciones!$A$2:$I$39,5,FALSE())</f>
        <v>2</v>
      </c>
      <c r="G161" s="17" t="str">
        <f aca="false">+VLOOKUP(B161,transacciones!$A$2:$I$39,6,FALSE())</f>
        <v>P2</v>
      </c>
      <c r="H161" s="17" t="str">
        <f aca="false">+VLOOKUP(B161,transacciones!$A$1:$I$39,7,FALSE())</f>
        <v>Consumo intermedio</v>
      </c>
      <c r="I161" s="1" t="s">
        <v>1551</v>
      </c>
      <c r="J161" s="1" t="s">
        <v>1552</v>
      </c>
      <c r="K161" s="18" t="s">
        <v>1553</v>
      </c>
      <c r="L161" s="18" t="str">
        <f aca="false">+VLOOKUP(K161,'Correl CIIU'!$A$1:$F$26,2,FALSE())</f>
        <v>Actividades de alojamiento y de servicio de comidas</v>
      </c>
      <c r="M161" s="18" t="str">
        <f aca="false">+VLOOKUP(K161,'Correl CIIU'!$A$1:$F$26,3,FALSE())</f>
        <v>Alojamiento y alimentación</v>
      </c>
      <c r="N161" s="18" t="str">
        <f aca="false">+VLOOKUP(K161,'Correl CIIU'!$A$1:$F$26,4,FALSE())</f>
        <v>Accommodation and food service activities</v>
      </c>
      <c r="O161" s="18" t="n">
        <v>3</v>
      </c>
      <c r="P161" s="19" t="str">
        <f aca="false">+VLOOKUP(O161,bio!$A$2:$B$4,2,FALSE())</f>
        <v>No bioeconomía</v>
      </c>
    </row>
    <row r="162" customFormat="false" ht="14.25" hidden="false" customHeight="false" outlineLevel="0" collapsed="false">
      <c r="A162" s="16" t="s">
        <v>1111</v>
      </c>
      <c r="B162" s="17" t="s">
        <v>1665</v>
      </c>
      <c r="C162" s="17" t="str">
        <f aca="false">+VLOOKUP(B162,transacciones!$A$1:$I$39,2,FALSE())</f>
        <v>ATC01</v>
      </c>
      <c r="D162" s="17" t="str">
        <f aca="false">+VLOOKUP($B162,transacciones!$A$1:$I$39,4,FALSE())</f>
        <v>Consumo intermedio de mercado</v>
      </c>
      <c r="E162" s="17" t="str">
        <f aca="false">+VLOOKUP($B162,transacciones!$A$1:$I$39,4,FALSE())</f>
        <v>Consumo intermedio de mercado</v>
      </c>
      <c r="F162" s="17" t="n">
        <f aca="false">+VLOOKUP(B162,transacciones!$A$2:$I$39,5,FALSE())</f>
        <v>2</v>
      </c>
      <c r="G162" s="17" t="str">
        <f aca="false">+VLOOKUP(B162,transacciones!$A$2:$I$39,6,FALSE())</f>
        <v>P2</v>
      </c>
      <c r="H162" s="17" t="str">
        <f aca="false">+VLOOKUP(B162,transacciones!$A$1:$I$39,7,FALSE())</f>
        <v>Consumo intermedio</v>
      </c>
      <c r="I162" s="1" t="s">
        <v>1554</v>
      </c>
      <c r="J162" s="1" t="s">
        <v>1555</v>
      </c>
      <c r="K162" s="18" t="s">
        <v>1553</v>
      </c>
      <c r="L162" s="18" t="str">
        <f aca="false">+VLOOKUP(K162,'Correl CIIU'!$A$1:$F$26,2,FALSE())</f>
        <v>Actividades de alojamiento y de servicio de comidas</v>
      </c>
      <c r="M162" s="18" t="str">
        <f aca="false">+VLOOKUP(K162,'Correl CIIU'!$A$1:$F$26,3,FALSE())</f>
        <v>Alojamiento y alimentación</v>
      </c>
      <c r="N162" s="18" t="str">
        <f aca="false">+VLOOKUP(K162,'Correl CIIU'!$A$1:$F$26,4,FALSE())</f>
        <v>Accommodation and food service activities</v>
      </c>
      <c r="O162" s="18" t="n">
        <v>2</v>
      </c>
      <c r="P162" s="19" t="str">
        <f aca="false">+VLOOKUP(O162,bio!$A$2:$B$4,2,FALSE())</f>
        <v>Bioeconomía extendida</v>
      </c>
    </row>
    <row r="163" customFormat="false" ht="14.25" hidden="false" customHeight="false" outlineLevel="0" collapsed="false">
      <c r="A163" s="16" t="s">
        <v>1113</v>
      </c>
      <c r="B163" s="17" t="s">
        <v>1665</v>
      </c>
      <c r="C163" s="17" t="str">
        <f aca="false">+VLOOKUP(B163,transacciones!$A$1:$I$39,2,FALSE())</f>
        <v>ATC01</v>
      </c>
      <c r="D163" s="17" t="str">
        <f aca="false">+VLOOKUP($B163,transacciones!$A$1:$I$39,4,FALSE())</f>
        <v>Consumo intermedio de mercado</v>
      </c>
      <c r="E163" s="17" t="str">
        <f aca="false">+VLOOKUP($B163,transacciones!$A$1:$I$39,4,FALSE())</f>
        <v>Consumo intermedio de mercado</v>
      </c>
      <c r="F163" s="17" t="n">
        <f aca="false">+VLOOKUP(B163,transacciones!$A$2:$I$39,5,FALSE())</f>
        <v>2</v>
      </c>
      <c r="G163" s="17" t="str">
        <f aca="false">+VLOOKUP(B163,transacciones!$A$2:$I$39,6,FALSE())</f>
        <v>P2</v>
      </c>
      <c r="H163" s="17" t="str">
        <f aca="false">+VLOOKUP(B163,transacciones!$A$1:$I$39,7,FALSE())</f>
        <v>Consumo intermedio</v>
      </c>
      <c r="I163" s="1" t="s">
        <v>1556</v>
      </c>
      <c r="J163" s="1" t="s">
        <v>1557</v>
      </c>
      <c r="K163" s="20" t="s">
        <v>1548</v>
      </c>
      <c r="L163" s="20" t="s">
        <v>1549</v>
      </c>
      <c r="M163" s="20" t="s">
        <v>1549</v>
      </c>
      <c r="N163" s="20" t="s">
        <v>1550</v>
      </c>
      <c r="O163" s="18" t="n">
        <v>3</v>
      </c>
      <c r="P163" s="19" t="str">
        <f aca="false">+VLOOKUP(O163,bio!$A$2:$B$4,2,FALSE())</f>
        <v>No bioeconomía</v>
      </c>
    </row>
    <row r="164" customFormat="false" ht="14.25" hidden="false" customHeight="false" outlineLevel="0" collapsed="false">
      <c r="A164" s="16" t="s">
        <v>1115</v>
      </c>
      <c r="B164" s="17" t="s">
        <v>1665</v>
      </c>
      <c r="C164" s="17" t="str">
        <f aca="false">+VLOOKUP(B164,transacciones!$A$1:$I$39,2,FALSE())</f>
        <v>ATC01</v>
      </c>
      <c r="D164" s="17" t="str">
        <f aca="false">+VLOOKUP($B164,transacciones!$A$1:$I$39,4,FALSE())</f>
        <v>Consumo intermedio de mercado</v>
      </c>
      <c r="E164" s="17" t="str">
        <f aca="false">+VLOOKUP($B164,transacciones!$A$1:$I$39,4,FALSE())</f>
        <v>Consumo intermedio de mercado</v>
      </c>
      <c r="F164" s="17" t="n">
        <f aca="false">+VLOOKUP(B164,transacciones!$A$2:$I$39,5,FALSE())</f>
        <v>2</v>
      </c>
      <c r="G164" s="17" t="str">
        <f aca="false">+VLOOKUP(B164,transacciones!$A$2:$I$39,6,FALSE())</f>
        <v>P2</v>
      </c>
      <c r="H164" s="17" t="str">
        <f aca="false">+VLOOKUP(B164,transacciones!$A$1:$I$39,7,FALSE())</f>
        <v>Consumo intermedio</v>
      </c>
      <c r="I164" s="1" t="s">
        <v>1558</v>
      </c>
      <c r="J164" s="1" t="s">
        <v>1559</v>
      </c>
      <c r="K164" s="18" t="s">
        <v>1548</v>
      </c>
      <c r="L164" s="18" t="str">
        <f aca="false">+VLOOKUP(K164,'Correl CIIU'!$A$1:$F$26,2,FALSE())</f>
        <v>Información y comunicaciones</v>
      </c>
      <c r="M164" s="18" t="str">
        <f aca="false">+VLOOKUP(K164,'Correl CIIU'!$A$1:$F$26,3,FALSE())</f>
        <v>Información y comunicaciones</v>
      </c>
      <c r="N164" s="18" t="str">
        <f aca="false">+VLOOKUP(K164,'Correl CIIU'!$A$1:$F$26,4,FALSE())</f>
        <v>Information and communication</v>
      </c>
      <c r="O164" s="18" t="n">
        <v>3</v>
      </c>
      <c r="P164" s="19" t="str">
        <f aca="false">+VLOOKUP(O164,bio!$A$2:$B$4,2,FALSE())</f>
        <v>No bioeconomía</v>
      </c>
    </row>
    <row r="165" customFormat="false" ht="14.25" hidden="false" customHeight="false" outlineLevel="0" collapsed="false">
      <c r="A165" s="16" t="s">
        <v>1117</v>
      </c>
      <c r="B165" s="17" t="s">
        <v>1665</v>
      </c>
      <c r="C165" s="17" t="str">
        <f aca="false">+VLOOKUP(B165,transacciones!$A$1:$I$39,2,FALSE())</f>
        <v>ATC01</v>
      </c>
      <c r="D165" s="17" t="str">
        <f aca="false">+VLOOKUP($B165,transacciones!$A$1:$I$39,4,FALSE())</f>
        <v>Consumo intermedio de mercado</v>
      </c>
      <c r="E165" s="17" t="str">
        <f aca="false">+VLOOKUP($B165,transacciones!$A$1:$I$39,4,FALSE())</f>
        <v>Consumo intermedio de mercado</v>
      </c>
      <c r="F165" s="17" t="n">
        <f aca="false">+VLOOKUP(B165,transacciones!$A$2:$I$39,5,FALSE())</f>
        <v>2</v>
      </c>
      <c r="G165" s="17" t="str">
        <f aca="false">+VLOOKUP(B165,transacciones!$A$2:$I$39,6,FALSE())</f>
        <v>P2</v>
      </c>
      <c r="H165" s="17" t="str">
        <f aca="false">+VLOOKUP(B165,transacciones!$A$1:$I$39,7,FALSE())</f>
        <v>Consumo intermedio</v>
      </c>
      <c r="I165" s="1" t="s">
        <v>1560</v>
      </c>
      <c r="J165" s="1" t="s">
        <v>1561</v>
      </c>
      <c r="K165" s="18" t="s">
        <v>1562</v>
      </c>
      <c r="L165" s="18" t="str">
        <f aca="false">+VLOOKUP(K165,'Correl CIIU'!$A$1:$F$26,2,FALSE())</f>
        <v>Actividades financieras y de seguros</v>
      </c>
      <c r="M165" s="18" t="str">
        <f aca="false">+VLOOKUP(K165,'Correl CIIU'!$A$1:$F$26,3,FALSE())</f>
        <v>Finanzas y seguros</v>
      </c>
      <c r="N165" s="18" t="str">
        <f aca="false">+VLOOKUP(K165,'Correl CIIU'!$A$1:$F$26,4,FALSE())</f>
        <v>Financial and insurance activities</v>
      </c>
      <c r="O165" s="18" t="n">
        <v>3</v>
      </c>
      <c r="P165" s="19" t="str">
        <f aca="false">+VLOOKUP(O165,bio!$A$2:$B$4,2,FALSE())</f>
        <v>No bioeconomía</v>
      </c>
    </row>
    <row r="166" customFormat="false" ht="14.25" hidden="false" customHeight="false" outlineLevel="0" collapsed="false">
      <c r="A166" s="16" t="s">
        <v>1119</v>
      </c>
      <c r="B166" s="17" t="s">
        <v>1665</v>
      </c>
      <c r="C166" s="17" t="str">
        <f aca="false">+VLOOKUP(B166,transacciones!$A$1:$I$39,2,FALSE())</f>
        <v>ATC01</v>
      </c>
      <c r="D166" s="17" t="str">
        <f aca="false">+VLOOKUP($B166,transacciones!$A$1:$I$39,4,FALSE())</f>
        <v>Consumo intermedio de mercado</v>
      </c>
      <c r="E166" s="17" t="str">
        <f aca="false">+VLOOKUP($B166,transacciones!$A$1:$I$39,4,FALSE())</f>
        <v>Consumo intermedio de mercado</v>
      </c>
      <c r="F166" s="17" t="n">
        <f aca="false">+VLOOKUP(B166,transacciones!$A$2:$I$39,5,FALSE())</f>
        <v>2</v>
      </c>
      <c r="G166" s="17" t="str">
        <f aca="false">+VLOOKUP(B166,transacciones!$A$2:$I$39,6,FALSE())</f>
        <v>P2</v>
      </c>
      <c r="H166" s="17" t="str">
        <f aca="false">+VLOOKUP(B166,transacciones!$A$1:$I$39,7,FALSE())</f>
        <v>Consumo intermedio</v>
      </c>
      <c r="I166" s="1" t="s">
        <v>1563</v>
      </c>
      <c r="J166" s="1" t="s">
        <v>1564</v>
      </c>
      <c r="K166" s="18" t="s">
        <v>1562</v>
      </c>
      <c r="L166" s="18" t="str">
        <f aca="false">+VLOOKUP(K166,'Correl CIIU'!$A$1:$F$26,2,FALSE())</f>
        <v>Actividades financieras y de seguros</v>
      </c>
      <c r="M166" s="18" t="str">
        <f aca="false">+VLOOKUP(K166,'Correl CIIU'!$A$1:$F$26,3,FALSE())</f>
        <v>Finanzas y seguros</v>
      </c>
      <c r="N166" s="18" t="str">
        <f aca="false">+VLOOKUP(K166,'Correl CIIU'!$A$1:$F$26,4,FALSE())</f>
        <v>Financial and insurance activities</v>
      </c>
      <c r="O166" s="18" t="n">
        <v>3</v>
      </c>
      <c r="P166" s="19" t="str">
        <f aca="false">+VLOOKUP(O166,bio!$A$2:$B$4,2,FALSE())</f>
        <v>No bioeconomía</v>
      </c>
    </row>
    <row r="167" customFormat="false" ht="14.25" hidden="false" customHeight="false" outlineLevel="0" collapsed="false">
      <c r="A167" s="16" t="s">
        <v>1121</v>
      </c>
      <c r="B167" s="17" t="s">
        <v>1665</v>
      </c>
      <c r="C167" s="17" t="str">
        <f aca="false">+VLOOKUP(B167,transacciones!$A$1:$I$39,2,FALSE())</f>
        <v>ATC01</v>
      </c>
      <c r="D167" s="17" t="str">
        <f aca="false">+VLOOKUP($B167,transacciones!$A$1:$I$39,4,FALSE())</f>
        <v>Consumo intermedio de mercado</v>
      </c>
      <c r="E167" s="17" t="str">
        <f aca="false">+VLOOKUP($B167,transacciones!$A$1:$I$39,4,FALSE())</f>
        <v>Consumo intermedio de mercado</v>
      </c>
      <c r="F167" s="17" t="n">
        <f aca="false">+VLOOKUP(B167,transacciones!$A$2:$I$39,5,FALSE())</f>
        <v>2</v>
      </c>
      <c r="G167" s="17" t="str">
        <f aca="false">+VLOOKUP(B167,transacciones!$A$2:$I$39,6,FALSE())</f>
        <v>P2</v>
      </c>
      <c r="H167" s="17" t="str">
        <f aca="false">+VLOOKUP(B167,transacciones!$A$1:$I$39,7,FALSE())</f>
        <v>Consumo intermedio</v>
      </c>
      <c r="I167" s="1" t="s">
        <v>1565</v>
      </c>
      <c r="J167" s="1" t="s">
        <v>1566</v>
      </c>
      <c r="K167" s="18" t="s">
        <v>1562</v>
      </c>
      <c r="L167" s="18" t="str">
        <f aca="false">+VLOOKUP(K167,'Correl CIIU'!$A$1:$F$26,2,FALSE())</f>
        <v>Actividades financieras y de seguros</v>
      </c>
      <c r="M167" s="18" t="str">
        <f aca="false">+VLOOKUP(K167,'Correl CIIU'!$A$1:$F$26,3,FALSE())</f>
        <v>Finanzas y seguros</v>
      </c>
      <c r="N167" s="18" t="str">
        <f aca="false">+VLOOKUP(K167,'Correl CIIU'!$A$1:$F$26,4,FALSE())</f>
        <v>Financial and insurance activities</v>
      </c>
      <c r="O167" s="18" t="n">
        <v>3</v>
      </c>
      <c r="P167" s="19" t="str">
        <f aca="false">+VLOOKUP(O167,bio!$A$2:$B$4,2,FALSE())</f>
        <v>No bioeconomía</v>
      </c>
    </row>
    <row r="168" customFormat="false" ht="14.25" hidden="false" customHeight="false" outlineLevel="0" collapsed="false">
      <c r="A168" s="16" t="s">
        <v>1123</v>
      </c>
      <c r="B168" s="17" t="s">
        <v>1665</v>
      </c>
      <c r="C168" s="17" t="str">
        <f aca="false">+VLOOKUP(B168,transacciones!$A$1:$I$39,2,FALSE())</f>
        <v>ATC01</v>
      </c>
      <c r="D168" s="17" t="str">
        <f aca="false">+VLOOKUP($B168,transacciones!$A$1:$I$39,4,FALSE())</f>
        <v>Consumo intermedio de mercado</v>
      </c>
      <c r="E168" s="17" t="str">
        <f aca="false">+VLOOKUP($B168,transacciones!$A$1:$I$39,4,FALSE())</f>
        <v>Consumo intermedio de mercado</v>
      </c>
      <c r="F168" s="17" t="n">
        <f aca="false">+VLOOKUP(B168,transacciones!$A$2:$I$39,5,FALSE())</f>
        <v>2</v>
      </c>
      <c r="G168" s="17" t="str">
        <f aca="false">+VLOOKUP(B168,transacciones!$A$2:$I$39,6,FALSE())</f>
        <v>P2</v>
      </c>
      <c r="H168" s="17" t="str">
        <f aca="false">+VLOOKUP(B168,transacciones!$A$1:$I$39,7,FALSE())</f>
        <v>Consumo intermedio</v>
      </c>
      <c r="I168" s="1" t="s">
        <v>1567</v>
      </c>
      <c r="J168" s="1" t="s">
        <v>1568</v>
      </c>
      <c r="K168" s="18" t="s">
        <v>1569</v>
      </c>
      <c r="L168" s="18" t="str">
        <f aca="false">+VLOOKUP(K168,'Correl CIIU'!$A$1:$F$26,2,FALSE())</f>
        <v>Actividades inmobiliarias</v>
      </c>
      <c r="M168" s="18" t="str">
        <f aca="false">+VLOOKUP(K168,'Correl CIIU'!$A$1:$F$26,3,FALSE())</f>
        <v>Inmobiliarios</v>
      </c>
      <c r="N168" s="18" t="str">
        <f aca="false">+VLOOKUP(K168,'Correl CIIU'!$A$1:$F$26,4,FALSE())</f>
        <v>Real estate activities</v>
      </c>
      <c r="O168" s="18" t="n">
        <v>3</v>
      </c>
      <c r="P168" s="19" t="str">
        <f aca="false">+VLOOKUP(O168,bio!$A$2:$B$4,2,FALSE())</f>
        <v>No bioeconomía</v>
      </c>
    </row>
    <row r="169" customFormat="false" ht="14.25" hidden="false" customHeight="false" outlineLevel="0" collapsed="false">
      <c r="A169" s="16" t="s">
        <v>1125</v>
      </c>
      <c r="B169" s="17" t="s">
        <v>1665</v>
      </c>
      <c r="C169" s="17" t="str">
        <f aca="false">+VLOOKUP(B169,transacciones!$A$1:$I$39,2,FALSE())</f>
        <v>ATC01</v>
      </c>
      <c r="D169" s="17" t="str">
        <f aca="false">+VLOOKUP($B169,transacciones!$A$1:$I$39,4,FALSE())</f>
        <v>Consumo intermedio de mercado</v>
      </c>
      <c r="E169" s="17" t="str">
        <f aca="false">+VLOOKUP($B169,transacciones!$A$1:$I$39,4,FALSE())</f>
        <v>Consumo intermedio de mercado</v>
      </c>
      <c r="F169" s="17" t="n">
        <f aca="false">+VLOOKUP(B169,transacciones!$A$2:$I$39,5,FALSE())</f>
        <v>2</v>
      </c>
      <c r="G169" s="17" t="str">
        <f aca="false">+VLOOKUP(B169,transacciones!$A$2:$I$39,6,FALSE())</f>
        <v>P2</v>
      </c>
      <c r="H169" s="17" t="str">
        <f aca="false">+VLOOKUP(B169,transacciones!$A$1:$I$39,7,FALSE())</f>
        <v>Consumo intermedio</v>
      </c>
      <c r="I169" s="1" t="s">
        <v>1570</v>
      </c>
      <c r="J169" s="1" t="s">
        <v>1571</v>
      </c>
      <c r="K169" s="18" t="s">
        <v>1569</v>
      </c>
      <c r="L169" s="18" t="str">
        <f aca="false">+VLOOKUP(K169,'Correl CIIU'!$A$1:$F$26,2,FALSE())</f>
        <v>Actividades inmobiliarias</v>
      </c>
      <c r="M169" s="18" t="str">
        <f aca="false">+VLOOKUP(K169,'Correl CIIU'!$A$1:$F$26,3,FALSE())</f>
        <v>Inmobiliarios</v>
      </c>
      <c r="N169" s="18" t="str">
        <f aca="false">+VLOOKUP(K169,'Correl CIIU'!$A$1:$F$26,4,FALSE())</f>
        <v>Real estate activities</v>
      </c>
      <c r="O169" s="18" t="n">
        <v>3</v>
      </c>
      <c r="P169" s="19" t="str">
        <f aca="false">+VLOOKUP(O169,bio!$A$2:$B$4,2,FALSE())</f>
        <v>No bioeconomía</v>
      </c>
    </row>
    <row r="170" customFormat="false" ht="14.25" hidden="false" customHeight="false" outlineLevel="0" collapsed="false">
      <c r="A170" s="16" t="s">
        <v>1127</v>
      </c>
      <c r="B170" s="17" t="s">
        <v>1665</v>
      </c>
      <c r="C170" s="17" t="str">
        <f aca="false">+VLOOKUP(B170,transacciones!$A$1:$I$39,2,FALSE())</f>
        <v>ATC01</v>
      </c>
      <c r="D170" s="17" t="str">
        <f aca="false">+VLOOKUP($B170,transacciones!$A$1:$I$39,4,FALSE())</f>
        <v>Consumo intermedio de mercado</v>
      </c>
      <c r="E170" s="17" t="str">
        <f aca="false">+VLOOKUP($B170,transacciones!$A$1:$I$39,4,FALSE())</f>
        <v>Consumo intermedio de mercado</v>
      </c>
      <c r="F170" s="17" t="n">
        <f aca="false">+VLOOKUP(B170,transacciones!$A$2:$I$39,5,FALSE())</f>
        <v>2</v>
      </c>
      <c r="G170" s="17" t="str">
        <f aca="false">+VLOOKUP(B170,transacciones!$A$2:$I$39,6,FALSE())</f>
        <v>P2</v>
      </c>
      <c r="H170" s="17" t="str">
        <f aca="false">+VLOOKUP(B170,transacciones!$A$1:$I$39,7,FALSE())</f>
        <v>Consumo intermedio</v>
      </c>
      <c r="I170" s="1" t="s">
        <v>1572</v>
      </c>
      <c r="J170" s="1" t="s">
        <v>1573</v>
      </c>
      <c r="K170" s="18" t="s">
        <v>1574</v>
      </c>
      <c r="L170" s="18" t="str">
        <f aca="false">+VLOOKUP(K170,'Correl CIIU'!$A$1:$F$26,2,FALSE())</f>
        <v>Actividades profesionales, científicas y técnicas</v>
      </c>
      <c r="M170" s="18" t="str">
        <f aca="false">+VLOOKUP(K170,'Correl CIIU'!$A$1:$F$26,3,FALSE())</f>
        <v>Servicios profesionales</v>
      </c>
      <c r="N170" s="18" t="str">
        <f aca="false">+VLOOKUP(K170,'Correl CIIU'!$A$1:$F$26,4,FALSE())</f>
        <v>Professional, scientific and technical activities</v>
      </c>
      <c r="O170" s="18" t="n">
        <v>3</v>
      </c>
      <c r="P170" s="19" t="str">
        <f aca="false">+VLOOKUP(O170,bio!$A$2:$B$4,2,FALSE())</f>
        <v>No bioeconomía</v>
      </c>
      <c r="XFD170" s="21"/>
    </row>
    <row r="171" customFormat="false" ht="14.25" hidden="false" customHeight="false" outlineLevel="0" collapsed="false">
      <c r="A171" s="16" t="s">
        <v>1129</v>
      </c>
      <c r="B171" s="17" t="s">
        <v>1665</v>
      </c>
      <c r="C171" s="17" t="str">
        <f aca="false">+VLOOKUP(B171,transacciones!$A$1:$I$39,2,FALSE())</f>
        <v>ATC01</v>
      </c>
      <c r="D171" s="17" t="str">
        <f aca="false">+VLOOKUP($B171,transacciones!$A$1:$I$39,4,FALSE())</f>
        <v>Consumo intermedio de mercado</v>
      </c>
      <c r="E171" s="17" t="str">
        <f aca="false">+VLOOKUP($B171,transacciones!$A$1:$I$39,4,FALSE())</f>
        <v>Consumo intermedio de mercado</v>
      </c>
      <c r="F171" s="17" t="n">
        <f aca="false">+VLOOKUP(B171,transacciones!$A$2:$I$39,5,FALSE())</f>
        <v>2</v>
      </c>
      <c r="G171" s="17" t="str">
        <f aca="false">+VLOOKUP(B171,transacciones!$A$2:$I$39,6,FALSE())</f>
        <v>P2</v>
      </c>
      <c r="H171" s="17" t="str">
        <f aca="false">+VLOOKUP(B171,transacciones!$A$1:$I$39,7,FALSE())</f>
        <v>Consumo intermedio</v>
      </c>
      <c r="I171" s="1" t="s">
        <v>1575</v>
      </c>
      <c r="J171" s="1" t="s">
        <v>1576</v>
      </c>
      <c r="K171" s="18" t="s">
        <v>1574</v>
      </c>
      <c r="L171" s="18" t="str">
        <f aca="false">+VLOOKUP(K171,'Correl CIIU'!$A$1:$F$26,2,FALSE())</f>
        <v>Actividades profesionales, científicas y técnicas</v>
      </c>
      <c r="M171" s="18" t="str">
        <f aca="false">+VLOOKUP(K171,'Correl CIIU'!$A$1:$F$26,3,FALSE())</f>
        <v>Servicios profesionales</v>
      </c>
      <c r="N171" s="18" t="str">
        <f aca="false">+VLOOKUP(K171,'Correl CIIU'!$A$1:$F$26,4,FALSE())</f>
        <v>Professional, scientific and technical activities</v>
      </c>
      <c r="O171" s="18" t="n">
        <v>3</v>
      </c>
      <c r="P171" s="19" t="str">
        <f aca="false">+VLOOKUP(O171,bio!$A$2:$B$4,2,FALSE())</f>
        <v>No bioeconomía</v>
      </c>
      <c r="XFD171" s="1"/>
    </row>
    <row r="172" customFormat="false" ht="14.25" hidden="false" customHeight="false" outlineLevel="0" collapsed="false">
      <c r="A172" s="16" t="s">
        <v>1131</v>
      </c>
      <c r="B172" s="17" t="s">
        <v>1665</v>
      </c>
      <c r="C172" s="17" t="str">
        <f aca="false">+VLOOKUP(B172,transacciones!$A$1:$I$39,2,FALSE())</f>
        <v>ATC01</v>
      </c>
      <c r="D172" s="17" t="str">
        <f aca="false">+VLOOKUP($B172,transacciones!$A$1:$I$39,4,FALSE())</f>
        <v>Consumo intermedio de mercado</v>
      </c>
      <c r="E172" s="17" t="str">
        <f aca="false">+VLOOKUP($B172,transacciones!$A$1:$I$39,4,FALSE())</f>
        <v>Consumo intermedio de mercado</v>
      </c>
      <c r="F172" s="17" t="n">
        <f aca="false">+VLOOKUP(B172,transacciones!$A$2:$I$39,5,FALSE())</f>
        <v>2</v>
      </c>
      <c r="G172" s="17" t="str">
        <f aca="false">+VLOOKUP(B172,transacciones!$A$2:$I$39,6,FALSE())</f>
        <v>P2</v>
      </c>
      <c r="H172" s="17" t="str">
        <f aca="false">+VLOOKUP(B172,transacciones!$A$1:$I$39,7,FALSE())</f>
        <v>Consumo intermedio</v>
      </c>
      <c r="I172" s="1" t="s">
        <v>1577</v>
      </c>
      <c r="J172" s="1" t="s">
        <v>1578</v>
      </c>
      <c r="K172" s="18" t="s">
        <v>1574</v>
      </c>
      <c r="L172" s="18" t="str">
        <f aca="false">+VLOOKUP(K172,'Correl CIIU'!$A$1:$F$26,2,FALSE())</f>
        <v>Actividades profesionales, científicas y técnicas</v>
      </c>
      <c r="M172" s="18" t="str">
        <f aca="false">+VLOOKUP(K172,'Correl CIIU'!$A$1:$F$26,3,FALSE())</f>
        <v>Servicios profesionales</v>
      </c>
      <c r="N172" s="18" t="str">
        <f aca="false">+VLOOKUP(K172,'Correl CIIU'!$A$1:$F$26,4,FALSE())</f>
        <v>Professional, scientific and technical activities</v>
      </c>
      <c r="O172" s="18" t="n">
        <v>2</v>
      </c>
      <c r="P172" s="19" t="str">
        <f aca="false">+VLOOKUP(O172,bio!$A$2:$B$4,2,FALSE())</f>
        <v>Bioeconomía extendida</v>
      </c>
    </row>
    <row r="173" customFormat="false" ht="14.25" hidden="false" customHeight="false" outlineLevel="0" collapsed="false">
      <c r="A173" s="16" t="s">
        <v>1133</v>
      </c>
      <c r="B173" s="17" t="s">
        <v>1665</v>
      </c>
      <c r="C173" s="17" t="str">
        <f aca="false">+VLOOKUP(B173,transacciones!$A$1:$I$39,2,FALSE())</f>
        <v>ATC01</v>
      </c>
      <c r="D173" s="17" t="str">
        <f aca="false">+VLOOKUP($B173,transacciones!$A$1:$I$39,4,FALSE())</f>
        <v>Consumo intermedio de mercado</v>
      </c>
      <c r="E173" s="17" t="str">
        <f aca="false">+VLOOKUP($B173,transacciones!$A$1:$I$39,4,FALSE())</f>
        <v>Consumo intermedio de mercado</v>
      </c>
      <c r="F173" s="17" t="n">
        <f aca="false">+VLOOKUP(B173,transacciones!$A$2:$I$39,5,FALSE())</f>
        <v>2</v>
      </c>
      <c r="G173" s="17" t="str">
        <f aca="false">+VLOOKUP(B173,transacciones!$A$2:$I$39,6,FALSE())</f>
        <v>P2</v>
      </c>
      <c r="H173" s="17" t="str">
        <f aca="false">+VLOOKUP(B173,transacciones!$A$1:$I$39,7,FALSE())</f>
        <v>Consumo intermedio</v>
      </c>
      <c r="I173" s="1" t="s">
        <v>1579</v>
      </c>
      <c r="J173" s="1" t="s">
        <v>1580</v>
      </c>
      <c r="K173" s="18" t="s">
        <v>1581</v>
      </c>
      <c r="L173" s="18" t="str">
        <f aca="false">+VLOOKUP(K173,'Correl CIIU'!$A$1:$F$26,2,FALSE())</f>
        <v>Actividades de servicios administrativos y de apoyo</v>
      </c>
      <c r="M173" s="18" t="str">
        <f aca="false">+VLOOKUP(K173,'Correl CIIU'!$A$1:$F$26,3,FALSE())</f>
        <v>Servicios administrativos</v>
      </c>
      <c r="N173" s="18" t="str">
        <f aca="false">+VLOOKUP(K173,'Correl CIIU'!$A$1:$F$26,4,FALSE())</f>
        <v>Administrative and support service activities</v>
      </c>
      <c r="O173" s="18" t="n">
        <v>3</v>
      </c>
      <c r="P173" s="19" t="str">
        <f aca="false">+VLOOKUP(O173,bio!$A$2:$B$4,2,FALSE())</f>
        <v>No bioeconomía</v>
      </c>
    </row>
    <row r="174" customFormat="false" ht="14.25" hidden="false" customHeight="false" outlineLevel="0" collapsed="false">
      <c r="A174" s="16" t="s">
        <v>1135</v>
      </c>
      <c r="B174" s="17" t="s">
        <v>1665</v>
      </c>
      <c r="C174" s="17" t="str">
        <f aca="false">+VLOOKUP(B174,transacciones!$A$1:$I$39,2,FALSE())</f>
        <v>ATC01</v>
      </c>
      <c r="D174" s="17" t="str">
        <f aca="false">+VLOOKUP(B174,transacciones!$A$1:$I$39,3,FALSE())</f>
        <v>Producción / Consumo intermedio</v>
      </c>
      <c r="E174" s="17" t="str">
        <f aca="false">+VLOOKUP($B174,transacciones!$A$1:$I$39,4,FALSE())</f>
        <v>Consumo intermedio de mercado</v>
      </c>
      <c r="F174" s="17" t="n">
        <f aca="false">+VLOOKUP(B174,transacciones!$A$2:$I$39,5,FALSE())</f>
        <v>2</v>
      </c>
      <c r="G174" s="17" t="str">
        <f aca="false">+VLOOKUP(B174,transacciones!$A$2:$I$39,6,FALSE())</f>
        <v>P2</v>
      </c>
      <c r="H174" s="17" t="str">
        <f aca="false">+VLOOKUP(B174,transacciones!$A$1:$I$39,7,FALSE())</f>
        <v>Consumo intermedio</v>
      </c>
      <c r="I174" s="1" t="s">
        <v>1582</v>
      </c>
      <c r="J174" s="1" t="s">
        <v>1583</v>
      </c>
      <c r="K174" s="18" t="s">
        <v>1574</v>
      </c>
      <c r="L174" s="18" t="str">
        <f aca="false">+VLOOKUP(K174,'Correl CIIU'!$A$1:$F$26,2,FALSE())</f>
        <v>Actividades profesionales, científicas y técnicas</v>
      </c>
      <c r="M174" s="18" t="str">
        <f aca="false">+VLOOKUP(K174,'Correl CIIU'!$A$1:$F$26,3,FALSE())</f>
        <v>Servicios profesionales</v>
      </c>
      <c r="N174" s="18" t="str">
        <f aca="false">+VLOOKUP(K174,'Correl CIIU'!$A$1:$F$26,4,FALSE())</f>
        <v>Professional, scientific and technical activities</v>
      </c>
      <c r="O174" s="18" t="n">
        <v>2</v>
      </c>
      <c r="P174" s="19" t="str">
        <f aca="false">+VLOOKUP(O174,bio!$A$2:$B$4,2,FALSE())</f>
        <v>Bioeconomía extendida</v>
      </c>
      <c r="XFD174" s="21"/>
    </row>
    <row r="175" customFormat="false" ht="14.25" hidden="false" customHeight="false" outlineLevel="0" collapsed="false">
      <c r="A175" s="16" t="s">
        <v>1137</v>
      </c>
      <c r="B175" s="17" t="s">
        <v>1665</v>
      </c>
      <c r="C175" s="17" t="str">
        <f aca="false">+VLOOKUP(B175,transacciones!$A$1:$I$39,2,FALSE())</f>
        <v>ATC01</v>
      </c>
      <c r="D175" s="17" t="str">
        <f aca="false">+VLOOKUP(B175,transacciones!$A$1:$I$39,3,FALSE())</f>
        <v>Producción / Consumo intermedio</v>
      </c>
      <c r="E175" s="17" t="str">
        <f aca="false">+VLOOKUP($B175,transacciones!$A$1:$I$39,4,FALSE())</f>
        <v>Consumo intermedio de mercado</v>
      </c>
      <c r="F175" s="17" t="n">
        <f aca="false">+VLOOKUP(B175,transacciones!$A$2:$I$39,5,FALSE())</f>
        <v>2</v>
      </c>
      <c r="G175" s="17" t="str">
        <f aca="false">+VLOOKUP(B175,transacciones!$A$2:$I$39,6,FALSE())</f>
        <v>P2</v>
      </c>
      <c r="H175" s="17" t="str">
        <f aca="false">+VLOOKUP(B175,transacciones!$A$1:$I$39,7,FALSE())</f>
        <v>Consumo intermedio</v>
      </c>
      <c r="I175" s="1" t="s">
        <v>1584</v>
      </c>
      <c r="J175" s="1" t="s">
        <v>1585</v>
      </c>
      <c r="K175" s="18" t="s">
        <v>1574</v>
      </c>
      <c r="L175" s="18" t="str">
        <f aca="false">+VLOOKUP(K175,'Correl CIIU'!$A$1:$F$26,2,FALSE())</f>
        <v>Actividades profesionales, científicas y técnicas</v>
      </c>
      <c r="M175" s="18" t="str">
        <f aca="false">+VLOOKUP(K175,'Correl CIIU'!$A$1:$F$26,3,FALSE())</f>
        <v>Servicios profesionales</v>
      </c>
      <c r="N175" s="18" t="str">
        <f aca="false">+VLOOKUP(K175,'Correl CIIU'!$A$1:$F$26,4,FALSE())</f>
        <v>Professional, scientific and technical activities</v>
      </c>
      <c r="O175" s="18" t="n">
        <v>3</v>
      </c>
      <c r="P175" s="19" t="str">
        <f aca="false">+VLOOKUP(O175,bio!$A$2:$B$4,2,FALSE())</f>
        <v>No bioeconomía</v>
      </c>
      <c r="XFD175" s="1"/>
    </row>
    <row r="176" customFormat="false" ht="14.25" hidden="false" customHeight="false" outlineLevel="0" collapsed="false">
      <c r="A176" s="16" t="s">
        <v>1139</v>
      </c>
      <c r="B176" s="17" t="s">
        <v>1665</v>
      </c>
      <c r="C176" s="17" t="str">
        <f aca="false">+VLOOKUP(B176,transacciones!$A$1:$I$39,2,FALSE())</f>
        <v>ATC01</v>
      </c>
      <c r="D176" s="17" t="str">
        <f aca="false">+VLOOKUP(B176,transacciones!$A$1:$I$39,3,FALSE())</f>
        <v>Producción / Consumo intermedio</v>
      </c>
      <c r="E176" s="17" t="str">
        <f aca="false">+VLOOKUP($B176,transacciones!$A$1:$I$39,4,FALSE())</f>
        <v>Consumo intermedio de mercado</v>
      </c>
      <c r="F176" s="17" t="n">
        <f aca="false">+VLOOKUP(B176,transacciones!$A$2:$I$39,5,FALSE())</f>
        <v>2</v>
      </c>
      <c r="G176" s="17" t="str">
        <f aca="false">+VLOOKUP(B176,transacciones!$A$2:$I$39,6,FALSE())</f>
        <v>P2</v>
      </c>
      <c r="H176" s="17" t="str">
        <f aca="false">+VLOOKUP(B176,transacciones!$A$1:$I$39,7,FALSE())</f>
        <v>Consumo intermedio</v>
      </c>
      <c r="I176" s="1" t="s">
        <v>1586</v>
      </c>
      <c r="J176" s="1" t="s">
        <v>1587</v>
      </c>
      <c r="K176" s="18" t="s">
        <v>1588</v>
      </c>
      <c r="L176" s="18" t="str">
        <f aca="false">+VLOOKUP(K176,'Correl CIIU'!$A$1:$F$26,2,FALSE())</f>
        <v>Enseñanza</v>
      </c>
      <c r="M176" s="18" t="str">
        <f aca="false">+VLOOKUP(K176,'Correl CIIU'!$A$1:$F$26,3,FALSE())</f>
        <v>Enseñanza</v>
      </c>
      <c r="N176" s="18" t="str">
        <f aca="false">+VLOOKUP(K176,'Correl CIIU'!$A$1:$F$26,4,FALSE())</f>
        <v>Education</v>
      </c>
      <c r="O176" s="18" t="n">
        <v>3</v>
      </c>
      <c r="P176" s="19" t="str">
        <f aca="false">+VLOOKUP(O176,bio!$A$2:$B$4,2,FALSE())</f>
        <v>No bioeconomía</v>
      </c>
    </row>
    <row r="177" customFormat="false" ht="14.25" hidden="false" customHeight="false" outlineLevel="0" collapsed="false">
      <c r="A177" s="16" t="s">
        <v>1141</v>
      </c>
      <c r="B177" s="17" t="s">
        <v>1665</v>
      </c>
      <c r="C177" s="17" t="str">
        <f aca="false">+VLOOKUP(B177,transacciones!$A$1:$I$39,2,FALSE())</f>
        <v>ATC01</v>
      </c>
      <c r="D177" s="17" t="str">
        <f aca="false">+VLOOKUP($B177,transacciones!$A$1:$I$39,4,FALSE())</f>
        <v>Consumo intermedio de mercado</v>
      </c>
      <c r="E177" s="17" t="str">
        <f aca="false">+VLOOKUP($B177,transacciones!$A$1:$I$39,4,FALSE())</f>
        <v>Consumo intermedio de mercado</v>
      </c>
      <c r="F177" s="17" t="n">
        <f aca="false">+VLOOKUP(B177,transacciones!$A$2:$I$39,5,FALSE())</f>
        <v>2</v>
      </c>
      <c r="G177" s="17" t="str">
        <f aca="false">+VLOOKUP(B177,transacciones!$A$2:$I$39,6,FALSE())</f>
        <v>P2</v>
      </c>
      <c r="H177" s="17" t="str">
        <f aca="false">+VLOOKUP(B177,transacciones!$A$1:$I$39,7,FALSE())</f>
        <v>Consumo intermedio</v>
      </c>
      <c r="I177" s="1" t="s">
        <v>1589</v>
      </c>
      <c r="J177" s="1" t="s">
        <v>1590</v>
      </c>
      <c r="K177" s="18" t="s">
        <v>1591</v>
      </c>
      <c r="L177" s="18" t="str">
        <f aca="false">+VLOOKUP(K177,'Correl CIIU'!$A$1:$F$26,2,FALSE())</f>
        <v>Actividades de atención de la salud humana y de asistencia social</v>
      </c>
      <c r="M177" s="18" t="str">
        <f aca="false">+VLOOKUP(K177,'Correl CIIU'!$A$1:$F$26,3,FALSE())</f>
        <v>Salud</v>
      </c>
      <c r="N177" s="18" t="str">
        <f aca="false">+VLOOKUP(K177,'Correl CIIU'!$A$1:$F$26,4,FALSE())</f>
        <v>Human health and social work activities</v>
      </c>
      <c r="O177" s="18" t="n">
        <v>3</v>
      </c>
      <c r="P177" s="19" t="str">
        <f aca="false">+VLOOKUP(O177,bio!$A$2:$B$4,2,FALSE())</f>
        <v>No bioeconomía</v>
      </c>
    </row>
    <row r="178" customFormat="false" ht="14.25" hidden="false" customHeight="false" outlineLevel="0" collapsed="false">
      <c r="A178" s="16" t="s">
        <v>1143</v>
      </c>
      <c r="B178" s="17" t="s">
        <v>1665</v>
      </c>
      <c r="C178" s="17" t="str">
        <f aca="false">+VLOOKUP(B178,transacciones!$A$1:$I$39,2,FALSE())</f>
        <v>ATC01</v>
      </c>
      <c r="D178" s="17" t="str">
        <f aca="false">+VLOOKUP($B178,transacciones!$A$1:$I$39,4,FALSE())</f>
        <v>Consumo intermedio de mercado</v>
      </c>
      <c r="E178" s="17" t="str">
        <f aca="false">+VLOOKUP($B178,transacciones!$A$1:$I$39,4,FALSE())</f>
        <v>Consumo intermedio de mercado</v>
      </c>
      <c r="F178" s="17" t="n">
        <f aca="false">+VLOOKUP(B178,transacciones!$A$2:$I$39,5,FALSE())</f>
        <v>2</v>
      </c>
      <c r="G178" s="17" t="str">
        <f aca="false">+VLOOKUP(B178,transacciones!$A$2:$I$39,6,FALSE())</f>
        <v>P2</v>
      </c>
      <c r="H178" s="17" t="str">
        <f aca="false">+VLOOKUP(B178,transacciones!$A$1:$I$39,7,FALSE())</f>
        <v>Consumo intermedio</v>
      </c>
      <c r="I178" s="1" t="s">
        <v>1592</v>
      </c>
      <c r="J178" s="1" t="s">
        <v>1593</v>
      </c>
      <c r="K178" s="18" t="s">
        <v>1594</v>
      </c>
      <c r="L178" s="18" t="str">
        <f aca="false">+VLOOKUP(K178,'Correl CIIU'!$A$1:$F$26,2,FALSE())</f>
        <v>Otras actividades de servicios</v>
      </c>
      <c r="M178" s="18" t="str">
        <f aca="false">+VLOOKUP(K178,'Correl CIIU'!$A$1:$F$26,3,FALSE())</f>
        <v>Otros servicios</v>
      </c>
      <c r="N178" s="18" t="str">
        <f aca="false">+VLOOKUP(K178,'Correl CIIU'!$A$1:$F$26,4,FALSE())</f>
        <v>Other service activities</v>
      </c>
      <c r="O178" s="18" t="n">
        <v>3</v>
      </c>
      <c r="P178" s="19" t="str">
        <f aca="false">+VLOOKUP(O178,bio!$A$2:$B$4,2,FALSE())</f>
        <v>No bioeconomía</v>
      </c>
    </row>
    <row r="179" customFormat="false" ht="14.25" hidden="false" customHeight="false" outlineLevel="0" collapsed="false">
      <c r="A179" s="16" t="s">
        <v>1145</v>
      </c>
      <c r="B179" s="17" t="s">
        <v>1665</v>
      </c>
      <c r="C179" s="17" t="str">
        <f aca="false">+VLOOKUP(B179,transacciones!$A$1:$I$39,2,FALSE())</f>
        <v>ATC01</v>
      </c>
      <c r="D179" s="17" t="str">
        <f aca="false">+VLOOKUP($B179,transacciones!$A$1:$I$39,4,FALSE())</f>
        <v>Consumo intermedio de mercado</v>
      </c>
      <c r="E179" s="17" t="str">
        <f aca="false">+VLOOKUP($B179,transacciones!$A$1:$I$39,4,FALSE())</f>
        <v>Consumo intermedio de mercado</v>
      </c>
      <c r="F179" s="17" t="n">
        <f aca="false">+VLOOKUP(B179,transacciones!$A$2:$I$39,5,FALSE())</f>
        <v>2</v>
      </c>
      <c r="G179" s="17" t="str">
        <f aca="false">+VLOOKUP(B179,transacciones!$A$2:$I$39,6,FALSE())</f>
        <v>P2</v>
      </c>
      <c r="H179" s="17" t="str">
        <f aca="false">+VLOOKUP(B179,transacciones!$A$1:$I$39,7,FALSE())</f>
        <v>Consumo intermedio</v>
      </c>
      <c r="I179" s="1" t="s">
        <v>1595</v>
      </c>
      <c r="J179" s="1" t="s">
        <v>1596</v>
      </c>
      <c r="K179" s="18" t="s">
        <v>1594</v>
      </c>
      <c r="L179" s="18" t="str">
        <f aca="false">+VLOOKUP(K179,'Correl CIIU'!$A$1:$F$26,2,FALSE())</f>
        <v>Otras actividades de servicios</v>
      </c>
      <c r="M179" s="18" t="str">
        <f aca="false">+VLOOKUP(K179,'Correl CIIU'!$A$1:$F$26,3,FALSE())</f>
        <v>Otros servicios</v>
      </c>
      <c r="N179" s="18" t="str">
        <f aca="false">+VLOOKUP(K179,'Correl CIIU'!$A$1:$F$26,4,FALSE())</f>
        <v>Other service activities</v>
      </c>
      <c r="O179" s="18" t="n">
        <v>3</v>
      </c>
      <c r="P179" s="19" t="str">
        <f aca="false">+VLOOKUP(O179,bio!$A$2:$B$4,2,FALSE())</f>
        <v>No bioeconomía</v>
      </c>
    </row>
    <row r="180" s="21" customFormat="true" ht="14.25" hidden="false" customHeight="false" outlineLevel="0" collapsed="false">
      <c r="A180" s="22" t="s">
        <v>1147</v>
      </c>
      <c r="B180" s="23"/>
      <c r="C180" s="23"/>
      <c r="D180" s="23"/>
      <c r="E180" s="23"/>
      <c r="F180" s="23"/>
      <c r="G180" s="23"/>
      <c r="H180" s="23"/>
      <c r="I180" s="24"/>
      <c r="J180" s="24" t="s">
        <v>1667</v>
      </c>
      <c r="K180" s="25"/>
      <c r="L180" s="25"/>
      <c r="M180" s="25"/>
      <c r="N180" s="25"/>
      <c r="O180" s="25"/>
      <c r="P180" s="26"/>
      <c r="XFD180" s="1"/>
    </row>
    <row r="181" customFormat="false" ht="14.25" hidden="false" customHeight="false" outlineLevel="0" collapsed="false">
      <c r="A181" s="16" t="s">
        <v>1149</v>
      </c>
      <c r="B181" s="21" t="s">
        <v>1666</v>
      </c>
      <c r="C181" s="17" t="str">
        <f aca="false">+VLOOKUP(B181,transacciones!$A$1:$I$39,2,FALSE())</f>
        <v>ATC01</v>
      </c>
      <c r="D181" s="17" t="str">
        <f aca="false">+VLOOKUP($B181,transacciones!$A$1:$I$39,4,FALSE())</f>
        <v>Consumo intermedio para uso final propio</v>
      </c>
      <c r="E181" s="17" t="str">
        <f aca="false">+VLOOKUP($B181,transacciones!$A$1:$I$39,4,FALSE())</f>
        <v>Consumo intermedio para uso final propio</v>
      </c>
      <c r="F181" s="17" t="n">
        <f aca="false">+VLOOKUP(B181,transacciones!$A$2:$I$39,5,FALSE())</f>
        <v>2</v>
      </c>
      <c r="G181" s="17" t="str">
        <f aca="false">+VLOOKUP(B181,transacciones!$A$2:$I$39,6,FALSE())</f>
        <v>P2</v>
      </c>
      <c r="H181" s="17" t="str">
        <f aca="false">+VLOOKUP(B181,transacciones!$A$1:$I$39,7,FALSE())</f>
        <v>Consumo intermedio</v>
      </c>
      <c r="I181" s="1" t="s">
        <v>1599</v>
      </c>
      <c r="J181" s="1" t="s">
        <v>1519</v>
      </c>
      <c r="K181" s="20" t="s">
        <v>1520</v>
      </c>
      <c r="L181" s="20" t="s">
        <v>1600</v>
      </c>
      <c r="M181" s="20" t="s">
        <v>1600</v>
      </c>
      <c r="N181" s="20" t="s">
        <v>1601</v>
      </c>
      <c r="O181" s="20" t="n">
        <v>3</v>
      </c>
      <c r="P181" s="27" t="s">
        <v>1602</v>
      </c>
    </row>
    <row r="182" customFormat="false" ht="14.25" hidden="false" customHeight="false" outlineLevel="0" collapsed="false">
      <c r="A182" s="16" t="s">
        <v>1151</v>
      </c>
      <c r="B182" s="21" t="s">
        <v>1666</v>
      </c>
      <c r="C182" s="17" t="str">
        <f aca="false">+VLOOKUP(B182,transacciones!$A$1:$I$39,2,FALSE())</f>
        <v>ATC01</v>
      </c>
      <c r="D182" s="17" t="str">
        <f aca="false">+VLOOKUP($B182,transacciones!$A$1:$I$39,4,FALSE())</f>
        <v>Consumo intermedio para uso final propio</v>
      </c>
      <c r="E182" s="17" t="str">
        <f aca="false">+VLOOKUP($B182,transacciones!$A$1:$I$39,4,FALSE())</f>
        <v>Consumo intermedio para uso final propio</v>
      </c>
      <c r="F182" s="17" t="n">
        <f aca="false">+VLOOKUP(B182,transacciones!$A$2:$I$39,5,FALSE())</f>
        <v>2</v>
      </c>
      <c r="G182" s="17" t="str">
        <f aca="false">+VLOOKUP(B182,transacciones!$A$2:$I$39,6,FALSE())</f>
        <v>P2</v>
      </c>
      <c r="H182" s="17" t="str">
        <f aca="false">+VLOOKUP(B182,transacciones!$A$1:$I$39,7,FALSE())</f>
        <v>Consumo intermedio</v>
      </c>
      <c r="I182" s="1" t="s">
        <v>1603</v>
      </c>
      <c r="J182" s="1" t="s">
        <v>1568</v>
      </c>
      <c r="K182" s="20" t="s">
        <v>1569</v>
      </c>
      <c r="L182" s="20" t="s">
        <v>1604</v>
      </c>
      <c r="M182" s="20" t="s">
        <v>1605</v>
      </c>
      <c r="N182" s="20" t="s">
        <v>1606</v>
      </c>
      <c r="O182" s="20" t="n">
        <v>3</v>
      </c>
      <c r="P182" s="27" t="s">
        <v>1602</v>
      </c>
    </row>
    <row r="183" customFormat="false" ht="14.25" hidden="false" customHeight="false" outlineLevel="0" collapsed="false">
      <c r="A183" s="16" t="s">
        <v>1153</v>
      </c>
      <c r="B183" s="21" t="s">
        <v>1666</v>
      </c>
      <c r="C183" s="17" t="str">
        <f aca="false">+VLOOKUP(B183,transacciones!$A$1:$I$39,2,FALSE())</f>
        <v>ATC01</v>
      </c>
      <c r="D183" s="17" t="str">
        <f aca="false">+VLOOKUP($B183,transacciones!$A$1:$I$39,4,FALSE())</f>
        <v>Consumo intermedio para uso final propio</v>
      </c>
      <c r="E183" s="17" t="str">
        <f aca="false">+VLOOKUP($B183,transacciones!$A$1:$I$39,4,FALSE())</f>
        <v>Consumo intermedio para uso final propio</v>
      </c>
      <c r="F183" s="17" t="n">
        <f aca="false">+VLOOKUP(B183,transacciones!$A$2:$I$39,5,FALSE())</f>
        <v>2</v>
      </c>
      <c r="G183" s="17" t="str">
        <f aca="false">+VLOOKUP(B183,transacciones!$A$2:$I$39,6,FALSE())</f>
        <v>P2</v>
      </c>
      <c r="H183" s="17" t="str">
        <f aca="false">+VLOOKUP(B183,transacciones!$A$1:$I$39,7,FALSE())</f>
        <v>Consumo intermedio</v>
      </c>
      <c r="I183" s="1" t="n">
        <v>49.1</v>
      </c>
      <c r="J183" s="1" t="s">
        <v>1607</v>
      </c>
      <c r="K183" s="20" t="s">
        <v>1608</v>
      </c>
      <c r="L183" s="20" t="s">
        <v>1609</v>
      </c>
      <c r="M183" s="20" t="s">
        <v>1610</v>
      </c>
      <c r="N183" s="20" t="s">
        <v>1611</v>
      </c>
      <c r="O183" s="20" t="n">
        <v>3</v>
      </c>
      <c r="P183" s="27" t="s">
        <v>1602</v>
      </c>
    </row>
    <row r="184" s="21" customFormat="true" ht="14.25" hidden="false" customHeight="false" outlineLevel="0" collapsed="false">
      <c r="A184" s="22" t="s">
        <v>1155</v>
      </c>
      <c r="B184" s="23"/>
      <c r="C184" s="23"/>
      <c r="D184" s="23"/>
      <c r="E184" s="23"/>
      <c r="F184" s="23"/>
      <c r="G184" s="23"/>
      <c r="H184" s="23"/>
      <c r="I184" s="24"/>
      <c r="J184" s="24" t="s">
        <v>1668</v>
      </c>
      <c r="K184" s="25"/>
      <c r="L184" s="25"/>
      <c r="M184" s="25"/>
      <c r="N184" s="25"/>
      <c r="O184" s="25"/>
      <c r="P184" s="26"/>
      <c r="XFD184" s="1"/>
    </row>
    <row r="185" customFormat="false" ht="14.25" hidden="false" customHeight="false" outlineLevel="0" collapsed="false">
      <c r="A185" s="16" t="s">
        <v>1157</v>
      </c>
      <c r="B185" s="21" t="s">
        <v>1669</v>
      </c>
      <c r="C185" s="17" t="str">
        <f aca="false">+VLOOKUP(B185,transacciones!$A$1:$I$39,2,FALSE())</f>
        <v>ATC01</v>
      </c>
      <c r="D185" s="17" t="str">
        <f aca="false">+VLOOKUP($B185,transacciones!$A$1:$I$39,4,FALSE())</f>
        <v>Consumo intermedio no de mercado</v>
      </c>
      <c r="E185" s="17" t="str">
        <f aca="false">+VLOOKUP($B185,transacciones!$A$1:$I$39,4,FALSE())</f>
        <v>Consumo intermedio no de mercado</v>
      </c>
      <c r="F185" s="17" t="n">
        <f aca="false">+VLOOKUP(B185,transacciones!$A$2:$I$39,5,FALSE())</f>
        <v>2</v>
      </c>
      <c r="G185" s="17" t="str">
        <f aca="false">+VLOOKUP(B185,transacciones!$A$2:$I$39,6,FALSE())</f>
        <v>P2</v>
      </c>
      <c r="H185" s="17" t="str">
        <f aca="false">+VLOOKUP(B185,transacciones!$A$1:$I$39,7,FALSE())</f>
        <v>Consumo intermedio</v>
      </c>
      <c r="I185" s="1" t="s">
        <v>1618</v>
      </c>
      <c r="J185" s="1" t="s">
        <v>1517</v>
      </c>
      <c r="K185" s="18" t="s">
        <v>1515</v>
      </c>
      <c r="L185" s="18" t="str">
        <f aca="false">+VLOOKUP(K185,'Correl CIIU'!$A$1:$F$26,2,FALSE())</f>
        <v>Suministro de agua; evacuación de aguas residuales, gestión de desechos y descontaminación</v>
      </c>
      <c r="M185" s="18" t="str">
        <f aca="false">+VLOOKUP(K185,'Correl CIIU'!$A$1:$F$26,3,FALSE())</f>
        <v>Suministro de agua</v>
      </c>
      <c r="N185" s="18" t="str">
        <f aca="false">+VLOOKUP(K185,'Correl CIIU'!$A$1:$F$26,4,FALSE())</f>
        <v>Water supply; sewerage, waste management and remediation activities</v>
      </c>
      <c r="O185" s="18" t="n">
        <v>2</v>
      </c>
      <c r="P185" s="19" t="str">
        <f aca="false">+VLOOKUP(O185,bio!$A$2:$B$4,2,FALSE())</f>
        <v>Bioeconomía extendida</v>
      </c>
      <c r="XFD185" s="21"/>
    </row>
    <row r="186" customFormat="false" ht="14.25" hidden="false" customHeight="false" outlineLevel="0" collapsed="false">
      <c r="A186" s="16" t="s">
        <v>1159</v>
      </c>
      <c r="B186" s="21" t="s">
        <v>1669</v>
      </c>
      <c r="C186" s="17" t="str">
        <f aca="false">+VLOOKUP(B186,transacciones!$A$1:$I$39,2,FALSE())</f>
        <v>ATC01</v>
      </c>
      <c r="D186" s="17" t="str">
        <f aca="false">+VLOOKUP($B186,transacciones!$A$1:$I$39,4,FALSE())</f>
        <v>Consumo intermedio no de mercado</v>
      </c>
      <c r="E186" s="17" t="str">
        <f aca="false">+VLOOKUP($B186,transacciones!$A$1:$I$39,4,FALSE())</f>
        <v>Consumo intermedio no de mercado</v>
      </c>
      <c r="F186" s="17" t="n">
        <f aca="false">+VLOOKUP(B186,transacciones!$A$2:$I$39,5,FALSE())</f>
        <v>2</v>
      </c>
      <c r="G186" s="17" t="str">
        <f aca="false">+VLOOKUP(B186,transacciones!$A$2:$I$39,6,FALSE())</f>
        <v>P2</v>
      </c>
      <c r="H186" s="17" t="str">
        <f aca="false">+VLOOKUP(B186,transacciones!$A$1:$I$39,7,FALSE())</f>
        <v>Consumo intermedio</v>
      </c>
      <c r="I186" s="1" t="s">
        <v>1619</v>
      </c>
      <c r="J186" s="1" t="s">
        <v>1557</v>
      </c>
      <c r="K186" s="20" t="s">
        <v>1548</v>
      </c>
      <c r="L186" s="20" t="s">
        <v>1549</v>
      </c>
      <c r="M186" s="20" t="s">
        <v>1549</v>
      </c>
      <c r="N186" s="20" t="s">
        <v>1550</v>
      </c>
      <c r="O186" s="20" t="n">
        <v>3</v>
      </c>
      <c r="P186" s="27" t="s">
        <v>1602</v>
      </c>
      <c r="XFD186" s="21"/>
    </row>
    <row r="187" customFormat="false" ht="14.25" hidden="false" customHeight="false" outlineLevel="0" collapsed="false">
      <c r="A187" s="16" t="s">
        <v>1161</v>
      </c>
      <c r="B187" s="21" t="s">
        <v>1669</v>
      </c>
      <c r="C187" s="17" t="str">
        <f aca="false">+VLOOKUP(B187,transacciones!$A$1:$I$39,2,FALSE())</f>
        <v>ATC01</v>
      </c>
      <c r="D187" s="17" t="str">
        <f aca="false">+VLOOKUP($B187,transacciones!$A$1:$I$39,4,FALSE())</f>
        <v>Consumo intermedio no de mercado</v>
      </c>
      <c r="E187" s="17" t="str">
        <f aca="false">+VLOOKUP($B187,transacciones!$A$1:$I$39,4,FALSE())</f>
        <v>Consumo intermedio no de mercado</v>
      </c>
      <c r="F187" s="17" t="n">
        <f aca="false">+VLOOKUP(B187,transacciones!$A$2:$I$39,5,FALSE())</f>
        <v>2</v>
      </c>
      <c r="G187" s="17" t="str">
        <f aca="false">+VLOOKUP(B187,transacciones!$A$2:$I$39,6,FALSE())</f>
        <v>P2</v>
      </c>
      <c r="H187" s="17" t="str">
        <f aca="false">+VLOOKUP(B187,transacciones!$A$1:$I$39,7,FALSE())</f>
        <v>Consumo intermedio</v>
      </c>
      <c r="I187" s="1" t="s">
        <v>1620</v>
      </c>
      <c r="J187" s="1" t="s">
        <v>1578</v>
      </c>
      <c r="K187" s="18" t="s">
        <v>1574</v>
      </c>
      <c r="L187" s="18" t="str">
        <f aca="false">+VLOOKUP(K187,'Correl CIIU'!$A$1:$F$26,2,FALSE())</f>
        <v>Actividades profesionales, científicas y técnicas</v>
      </c>
      <c r="M187" s="18" t="str">
        <f aca="false">+VLOOKUP(K187,'Correl CIIU'!$A$1:$F$26,3,FALSE())</f>
        <v>Servicios profesionales</v>
      </c>
      <c r="N187" s="18" t="str">
        <f aca="false">+VLOOKUP(K187,'Correl CIIU'!$A$1:$F$26,4,FALSE())</f>
        <v>Professional, scientific and technical activities</v>
      </c>
      <c r="O187" s="18" t="n">
        <v>2</v>
      </c>
      <c r="P187" s="19" t="str">
        <f aca="false">+VLOOKUP(O187,bio!$A$2:$B$4,2,FALSE())</f>
        <v>Bioeconomía extendida</v>
      </c>
      <c r="XFD187" s="1"/>
    </row>
    <row r="188" customFormat="false" ht="14.25" hidden="false" customHeight="false" outlineLevel="0" collapsed="false">
      <c r="A188" s="16" t="s">
        <v>1163</v>
      </c>
      <c r="B188" s="21" t="s">
        <v>1669</v>
      </c>
      <c r="C188" s="17" t="str">
        <f aca="false">+VLOOKUP(B188,transacciones!$A$1:$I$39,2,FALSE())</f>
        <v>ATC01</v>
      </c>
      <c r="D188" s="17" t="str">
        <f aca="false">+VLOOKUP($B188,transacciones!$A$1:$I$39,4,FALSE())</f>
        <v>Consumo intermedio no de mercado</v>
      </c>
      <c r="E188" s="17" t="str">
        <f aca="false">+VLOOKUP($B188,transacciones!$A$1:$I$39,4,FALSE())</f>
        <v>Consumo intermedio no de mercado</v>
      </c>
      <c r="F188" s="17" t="n">
        <f aca="false">+VLOOKUP(B188,transacciones!$A$2:$I$39,5,FALSE())</f>
        <v>2</v>
      </c>
      <c r="G188" s="17" t="str">
        <f aca="false">+VLOOKUP(B188,transacciones!$A$2:$I$39,6,FALSE())</f>
        <v>P2</v>
      </c>
      <c r="H188" s="17" t="str">
        <f aca="false">+VLOOKUP(B188,transacciones!$A$1:$I$39,7,FALSE())</f>
        <v>Consumo intermedio</v>
      </c>
      <c r="I188" s="1" t="n">
        <v>50.1</v>
      </c>
      <c r="J188" s="1" t="s">
        <v>1621</v>
      </c>
      <c r="K188" s="18" t="s">
        <v>1622</v>
      </c>
      <c r="L188" s="18" t="str">
        <f aca="false">+VLOOKUP(K188,'Correl CIIU'!$A$1:$F$26,2,FALSE())</f>
        <v>Administración pública y defensa; planes de seguridad social de afiliación obligatoria</v>
      </c>
      <c r="M188" s="18" t="str">
        <f aca="false">+VLOOKUP(K188,'Correl CIIU'!$A$1:$F$26,3,FALSE())</f>
        <v>Administración pública</v>
      </c>
      <c r="N188" s="18" t="str">
        <f aca="false">+VLOOKUP(K188,'Correl CIIU'!$A$1:$F$26,4,FALSE())</f>
        <v>Public administration and defence; compulsory social security</v>
      </c>
      <c r="O188" s="18" t="n">
        <v>3</v>
      </c>
      <c r="P188" s="19" t="str">
        <f aca="false">+VLOOKUP(O188,bio!$A$2:$B$4,2,FALSE())</f>
        <v>No bioeconomía</v>
      </c>
    </row>
    <row r="189" customFormat="false" ht="14.25" hidden="false" customHeight="false" outlineLevel="0" collapsed="false">
      <c r="A189" s="16" t="s">
        <v>1165</v>
      </c>
      <c r="B189" s="21" t="s">
        <v>1669</v>
      </c>
      <c r="C189" s="17" t="str">
        <f aca="false">+VLOOKUP(B189,transacciones!$A$1:$I$39,2,FALSE())</f>
        <v>ATC01</v>
      </c>
      <c r="D189" s="17" t="str">
        <f aca="false">+VLOOKUP($B189,transacciones!$A$1:$I$39,4,FALSE())</f>
        <v>Consumo intermedio no de mercado</v>
      </c>
      <c r="E189" s="17" t="str">
        <f aca="false">+VLOOKUP($B189,transacciones!$A$1:$I$39,4,FALSE())</f>
        <v>Consumo intermedio no de mercado</v>
      </c>
      <c r="F189" s="17" t="n">
        <f aca="false">+VLOOKUP(B189,transacciones!$A$2:$I$39,5,FALSE())</f>
        <v>2</v>
      </c>
      <c r="G189" s="17" t="str">
        <f aca="false">+VLOOKUP(B189,transacciones!$A$2:$I$39,6,FALSE())</f>
        <v>P2</v>
      </c>
      <c r="H189" s="17" t="str">
        <f aca="false">+VLOOKUP(B189,transacciones!$A$1:$I$39,7,FALSE())</f>
        <v>Consumo intermedio</v>
      </c>
      <c r="I189" s="1" t="n">
        <v>50.2</v>
      </c>
      <c r="J189" s="1" t="s">
        <v>1623</v>
      </c>
      <c r="K189" s="18" t="s">
        <v>1624</v>
      </c>
      <c r="L189" s="18" t="str">
        <f aca="false">+VLOOKUP(K189,'Correl CIIU'!$A$1:$F$26,2,FALSE())</f>
        <v>Actividades artísticas, de entretenimiento y recreativas</v>
      </c>
      <c r="M189" s="18" t="str">
        <f aca="false">+VLOOKUP(K189,'Correl CIIU'!$A$1:$F$26,3,FALSE())</f>
        <v>Recreación</v>
      </c>
      <c r="N189" s="18" t="str">
        <f aca="false">+VLOOKUP(K189,'Correl CIIU'!$A$1:$F$26,4,FALSE())</f>
        <v>Arts, entertainment and recreation</v>
      </c>
      <c r="O189" s="18" t="n">
        <v>3</v>
      </c>
      <c r="P189" s="19" t="str">
        <f aca="false">+VLOOKUP(O189,bio!$A$2:$B$4,2,FALSE())</f>
        <v>No bioeconomía</v>
      </c>
      <c r="XFD189" s="21"/>
    </row>
    <row r="190" customFormat="false" ht="14.25" hidden="false" customHeight="false" outlineLevel="0" collapsed="false">
      <c r="A190" s="16" t="s">
        <v>1167</v>
      </c>
      <c r="B190" s="21" t="s">
        <v>1669</v>
      </c>
      <c r="C190" s="17" t="str">
        <f aca="false">+VLOOKUP(B190,transacciones!$A$1:$I$39,2,FALSE())</f>
        <v>ATC01</v>
      </c>
      <c r="D190" s="17" t="str">
        <f aca="false">+VLOOKUP($B190,transacciones!$A$1:$I$39,4,FALSE())</f>
        <v>Consumo intermedio no de mercado</v>
      </c>
      <c r="E190" s="17" t="str">
        <f aca="false">+VLOOKUP($B190,transacciones!$A$1:$I$39,4,FALSE())</f>
        <v>Consumo intermedio no de mercado</v>
      </c>
      <c r="F190" s="17" t="n">
        <f aca="false">+VLOOKUP(B190,transacciones!$A$2:$I$39,5,FALSE())</f>
        <v>2</v>
      </c>
      <c r="G190" s="17" t="str">
        <f aca="false">+VLOOKUP(B190,transacciones!$A$2:$I$39,6,FALSE())</f>
        <v>P2</v>
      </c>
      <c r="H190" s="17" t="str">
        <f aca="false">+VLOOKUP(B190,transacciones!$A$1:$I$39,7,FALSE())</f>
        <v>Consumo intermedio</v>
      </c>
      <c r="I190" s="1" t="n">
        <v>50.3</v>
      </c>
      <c r="J190" s="1" t="s">
        <v>1625</v>
      </c>
      <c r="K190" s="18" t="s">
        <v>1622</v>
      </c>
      <c r="L190" s="18" t="str">
        <f aca="false">+VLOOKUP(K190,'Correl CIIU'!$A$1:$F$26,2,FALSE())</f>
        <v>Administración pública y defensa; planes de seguridad social de afiliación obligatoria</v>
      </c>
      <c r="M190" s="18" t="str">
        <f aca="false">+VLOOKUP(K190,'Correl CIIU'!$A$1:$F$26,3,FALSE())</f>
        <v>Administración pública</v>
      </c>
      <c r="N190" s="18" t="str">
        <f aca="false">+VLOOKUP(K190,'Correl CIIU'!$A$1:$F$26,4,FALSE())</f>
        <v>Public administration and defence; compulsory social security</v>
      </c>
      <c r="O190" s="18" t="n">
        <v>3</v>
      </c>
      <c r="P190" s="19" t="str">
        <f aca="false">+VLOOKUP(O190,bio!$A$2:$B$4,2,FALSE())</f>
        <v>No bioeconomía</v>
      </c>
    </row>
    <row r="191" customFormat="false" ht="14.25" hidden="false" customHeight="false" outlineLevel="0" collapsed="false">
      <c r="A191" s="16" t="s">
        <v>1169</v>
      </c>
      <c r="B191" s="21" t="s">
        <v>1669</v>
      </c>
      <c r="C191" s="17" t="str">
        <f aca="false">+VLOOKUP(B191,transacciones!$A$1:$I$39,2,FALSE())</f>
        <v>ATC01</v>
      </c>
      <c r="D191" s="17" t="str">
        <f aca="false">+VLOOKUP($B191,transacciones!$A$1:$I$39,4,FALSE())</f>
        <v>Consumo intermedio no de mercado</v>
      </c>
      <c r="E191" s="17" t="str">
        <f aca="false">+VLOOKUP($B191,transacciones!$A$1:$I$39,4,FALSE())</f>
        <v>Consumo intermedio no de mercado</v>
      </c>
      <c r="F191" s="17" t="n">
        <f aca="false">+VLOOKUP(B191,transacciones!$A$2:$I$39,5,FALSE())</f>
        <v>2</v>
      </c>
      <c r="G191" s="17" t="str">
        <f aca="false">+VLOOKUP(B191,transacciones!$A$2:$I$39,6,FALSE())</f>
        <v>P2</v>
      </c>
      <c r="H191" s="17" t="str">
        <f aca="false">+VLOOKUP(B191,transacciones!$A$1:$I$39,7,FALSE())</f>
        <v>Consumo intermedio</v>
      </c>
      <c r="I191" s="1" t="s">
        <v>1626</v>
      </c>
      <c r="J191" s="1" t="s">
        <v>1587</v>
      </c>
      <c r="K191" s="18" t="s">
        <v>1588</v>
      </c>
      <c r="L191" s="18" t="str">
        <f aca="false">+VLOOKUP(K191,'Correl CIIU'!$A$1:$F$26,2,FALSE())</f>
        <v>Enseñanza</v>
      </c>
      <c r="M191" s="18" t="str">
        <f aca="false">+VLOOKUP(K191,'Correl CIIU'!$A$1:$F$26,3,FALSE())</f>
        <v>Enseñanza</v>
      </c>
      <c r="N191" s="18" t="str">
        <f aca="false">+VLOOKUP(K191,'Correl CIIU'!$A$1:$F$26,4,FALSE())</f>
        <v>Education</v>
      </c>
      <c r="O191" s="18" t="n">
        <v>3</v>
      </c>
      <c r="P191" s="19" t="str">
        <f aca="false">+VLOOKUP(O191,bio!$A$2:$B$4,2,FALSE())</f>
        <v>No bioeconomía</v>
      </c>
    </row>
    <row r="192" customFormat="false" ht="14.25" hidden="false" customHeight="false" outlineLevel="0" collapsed="false">
      <c r="A192" s="16" t="s">
        <v>1171</v>
      </c>
      <c r="B192" s="21" t="s">
        <v>1669</v>
      </c>
      <c r="C192" s="17" t="str">
        <f aca="false">+VLOOKUP(B192,transacciones!$A$1:$I$39,2,FALSE())</f>
        <v>ATC01</v>
      </c>
      <c r="D192" s="17" t="str">
        <f aca="false">+VLOOKUP($B192,transacciones!$A$1:$I$39,4,FALSE())</f>
        <v>Consumo intermedio no de mercado</v>
      </c>
      <c r="E192" s="17" t="str">
        <f aca="false">+VLOOKUP($B192,transacciones!$A$1:$I$39,4,FALSE())</f>
        <v>Consumo intermedio no de mercado</v>
      </c>
      <c r="F192" s="17" t="n">
        <f aca="false">+VLOOKUP(B192,transacciones!$A$2:$I$39,5,FALSE())</f>
        <v>2</v>
      </c>
      <c r="G192" s="17" t="str">
        <f aca="false">+VLOOKUP(B192,transacciones!$A$2:$I$39,6,FALSE())</f>
        <v>P2</v>
      </c>
      <c r="H192" s="17" t="str">
        <f aca="false">+VLOOKUP(B192,transacciones!$A$1:$I$39,7,FALSE())</f>
        <v>Consumo intermedio</v>
      </c>
      <c r="I192" s="1" t="s">
        <v>1627</v>
      </c>
      <c r="J192" s="1" t="s">
        <v>1590</v>
      </c>
      <c r="K192" s="18" t="s">
        <v>1591</v>
      </c>
      <c r="L192" s="18" t="str">
        <f aca="false">+VLOOKUP(K192,'Correl CIIU'!$A$1:$F$26,2,FALSE())</f>
        <v>Actividades de atención de la salud humana y de asistencia social</v>
      </c>
      <c r="M192" s="18" t="str">
        <f aca="false">+VLOOKUP(K192,'Correl CIIU'!$A$1:$F$26,3,FALSE())</f>
        <v>Salud</v>
      </c>
      <c r="N192" s="18" t="str">
        <f aca="false">+VLOOKUP(K192,'Correl CIIU'!$A$1:$F$26,4,FALSE())</f>
        <v>Human health and social work activities</v>
      </c>
      <c r="O192" s="18" t="n">
        <v>3</v>
      </c>
      <c r="P192" s="19" t="str">
        <f aca="false">+VLOOKUP(O192,bio!$A$2:$B$4,2,FALSE())</f>
        <v>No bioeconomía</v>
      </c>
    </row>
    <row r="193" customFormat="false" ht="14.25" hidden="false" customHeight="false" outlineLevel="0" collapsed="false">
      <c r="A193" s="16" t="s">
        <v>1173</v>
      </c>
      <c r="B193" s="21" t="s">
        <v>1669</v>
      </c>
      <c r="C193" s="17" t="str">
        <f aca="false">+VLOOKUP(B193,transacciones!$A$1:$I$39,2,FALSE())</f>
        <v>ATC01</v>
      </c>
      <c r="D193" s="17" t="str">
        <f aca="false">+VLOOKUP($B193,transacciones!$A$1:$I$39,4,FALSE())</f>
        <v>Consumo intermedio no de mercado</v>
      </c>
      <c r="E193" s="17" t="str">
        <f aca="false">+VLOOKUP($B193,transacciones!$A$1:$I$39,4,FALSE())</f>
        <v>Consumo intermedio no de mercado</v>
      </c>
      <c r="F193" s="17" t="n">
        <f aca="false">+VLOOKUP(B193,transacciones!$A$2:$I$39,5,FALSE())</f>
        <v>2</v>
      </c>
      <c r="G193" s="17" t="str">
        <f aca="false">+VLOOKUP(B193,transacciones!$A$2:$I$39,6,FALSE())</f>
        <v>P2</v>
      </c>
      <c r="H193" s="17" t="str">
        <f aca="false">+VLOOKUP(B193,transacciones!$A$1:$I$39,7,FALSE())</f>
        <v>Consumo intermedio</v>
      </c>
      <c r="I193" s="1" t="s">
        <v>1628</v>
      </c>
      <c r="J193" s="1" t="s">
        <v>1593</v>
      </c>
      <c r="K193" s="18" t="s">
        <v>1594</v>
      </c>
      <c r="L193" s="18" t="str">
        <f aca="false">+VLOOKUP(K193,'Correl CIIU'!$A$1:$F$26,2,FALSE())</f>
        <v>Otras actividades de servicios</v>
      </c>
      <c r="M193" s="18" t="str">
        <f aca="false">+VLOOKUP(K193,'Correl CIIU'!$A$1:$F$26,3,FALSE())</f>
        <v>Otros servicios</v>
      </c>
      <c r="N193" s="18" t="str">
        <f aca="false">+VLOOKUP(K193,'Correl CIIU'!$A$1:$F$26,4,FALSE())</f>
        <v>Other service activities</v>
      </c>
      <c r="O193" s="18" t="n">
        <v>3</v>
      </c>
      <c r="P193" s="19" t="str">
        <f aca="false">+VLOOKUP(O193,bio!$A$2:$B$4,2,FALSE())</f>
        <v>No bioeconomía</v>
      </c>
    </row>
    <row r="194" customFormat="false" ht="14.25" hidden="false" customHeight="false" outlineLevel="0" collapsed="false">
      <c r="A194" s="16" t="s">
        <v>1175</v>
      </c>
      <c r="B194" s="21" t="s">
        <v>1669</v>
      </c>
      <c r="C194" s="17" t="str">
        <f aca="false">+VLOOKUP(B194,transacciones!$A$1:$I$39,2,FALSE())</f>
        <v>ATC01</v>
      </c>
      <c r="D194" s="17" t="str">
        <f aca="false">+VLOOKUP($B194,transacciones!$A$1:$I$39,4,FALSE())</f>
        <v>Consumo intermedio no de mercado</v>
      </c>
      <c r="E194" s="17" t="str">
        <f aca="false">+VLOOKUP($B194,transacciones!$A$1:$I$39,4,FALSE())</f>
        <v>Consumo intermedio no de mercado</v>
      </c>
      <c r="F194" s="17" t="n">
        <f aca="false">+VLOOKUP(B194,transacciones!$A$2:$I$39,5,FALSE())</f>
        <v>2</v>
      </c>
      <c r="G194" s="17" t="str">
        <f aca="false">+VLOOKUP(B194,transacciones!$A$2:$I$39,6,FALSE())</f>
        <v>P2</v>
      </c>
      <c r="H194" s="17" t="str">
        <f aca="false">+VLOOKUP(B194,transacciones!$A$1:$I$39,7,FALSE())</f>
        <v>Consumo intermedio</v>
      </c>
      <c r="I194" s="1" t="s">
        <v>1629</v>
      </c>
      <c r="J194" s="1" t="s">
        <v>1596</v>
      </c>
      <c r="K194" s="18" t="s">
        <v>1594</v>
      </c>
      <c r="L194" s="18" t="str">
        <f aca="false">+VLOOKUP(K194,'Correl CIIU'!$A$1:$F$26,2,FALSE())</f>
        <v>Otras actividades de servicios</v>
      </c>
      <c r="M194" s="18" t="str">
        <f aca="false">+VLOOKUP(K194,'Correl CIIU'!$A$1:$F$26,3,FALSE())</f>
        <v>Otros servicios</v>
      </c>
      <c r="N194" s="18" t="str">
        <f aca="false">+VLOOKUP(K194,'Correl CIIU'!$A$1:$F$26,4,FALSE())</f>
        <v>Other service activities</v>
      </c>
      <c r="O194" s="18" t="n">
        <v>3</v>
      </c>
      <c r="P194" s="19" t="str">
        <f aca="false">+VLOOKUP(O194,bio!$A$2:$B$4,2,FALSE())</f>
        <v>No bioeconomía</v>
      </c>
    </row>
    <row r="195" s="21" customFormat="true" ht="14.25" hidden="false" customHeight="false" outlineLevel="0" collapsed="false">
      <c r="A195" s="22" t="s">
        <v>1177</v>
      </c>
      <c r="B195" s="23"/>
      <c r="C195" s="23"/>
      <c r="D195" s="23"/>
      <c r="E195" s="23"/>
      <c r="F195" s="23"/>
      <c r="G195" s="23"/>
      <c r="H195" s="23"/>
      <c r="I195" s="24"/>
      <c r="J195" s="24" t="s">
        <v>1670</v>
      </c>
      <c r="K195" s="25" t="s">
        <v>1631</v>
      </c>
      <c r="L195" s="25" t="s">
        <v>1631</v>
      </c>
      <c r="M195" s="25" t="s">
        <v>1631</v>
      </c>
      <c r="N195" s="25" t="s">
        <v>1631</v>
      </c>
      <c r="O195" s="25" t="s">
        <v>1631</v>
      </c>
      <c r="P195" s="26" t="s">
        <v>1631</v>
      </c>
    </row>
    <row r="196" s="21" customFormat="true" ht="14.25" hidden="false" customHeight="false" outlineLevel="0" collapsed="false">
      <c r="A196" s="22" t="s">
        <v>1179</v>
      </c>
      <c r="B196" s="23"/>
      <c r="C196" s="23"/>
      <c r="D196" s="23"/>
      <c r="E196" s="23"/>
      <c r="F196" s="23"/>
      <c r="G196" s="23"/>
      <c r="H196" s="23"/>
      <c r="I196" s="24"/>
      <c r="J196" s="24" t="s">
        <v>1671</v>
      </c>
      <c r="K196" s="25" t="s">
        <v>1631</v>
      </c>
      <c r="L196" s="25" t="s">
        <v>1631</v>
      </c>
      <c r="M196" s="25" t="s">
        <v>1631</v>
      </c>
      <c r="N196" s="25" t="s">
        <v>1631</v>
      </c>
      <c r="O196" s="25" t="s">
        <v>1631</v>
      </c>
      <c r="P196" s="26" t="s">
        <v>1631</v>
      </c>
    </row>
    <row r="197" customFormat="false" ht="14.25" hidden="false" customHeight="false" outlineLevel="0" collapsed="false">
      <c r="A197" s="16" t="s">
        <v>1182</v>
      </c>
      <c r="B197" s="1" t="s">
        <v>1672</v>
      </c>
      <c r="C197" s="1" t="s">
        <v>1673</v>
      </c>
      <c r="D197" s="1" t="s">
        <v>1674</v>
      </c>
      <c r="E197" s="1" t="s">
        <v>1674</v>
      </c>
      <c r="F197" s="1" t="n">
        <v>6</v>
      </c>
      <c r="G197" s="1" t="s">
        <v>1675</v>
      </c>
      <c r="H197" s="1" t="s">
        <v>1676</v>
      </c>
      <c r="J197" s="1" t="s">
        <v>1677</v>
      </c>
      <c r="K197" s="18" t="s">
        <v>1631</v>
      </c>
      <c r="L197" s="18" t="s">
        <v>1631</v>
      </c>
      <c r="M197" s="18" t="s">
        <v>1631</v>
      </c>
      <c r="N197" s="18" t="s">
        <v>1631</v>
      </c>
      <c r="O197" s="18" t="s">
        <v>1631</v>
      </c>
      <c r="P197" s="19" t="s">
        <v>1631</v>
      </c>
      <c r="XFD197" s="1"/>
    </row>
    <row r="198" customFormat="false" ht="14.25" hidden="false" customHeight="false" outlineLevel="0" collapsed="false">
      <c r="A198" s="16" t="s">
        <v>1184</v>
      </c>
      <c r="B198" s="1" t="s">
        <v>1678</v>
      </c>
      <c r="C198" s="1" t="s">
        <v>1673</v>
      </c>
      <c r="D198" s="1" t="s">
        <v>1679</v>
      </c>
      <c r="E198" s="1" t="s">
        <v>1679</v>
      </c>
      <c r="F198" s="1" t="n">
        <v>6</v>
      </c>
      <c r="G198" s="1" t="s">
        <v>1675</v>
      </c>
      <c r="H198" s="1" t="s">
        <v>1676</v>
      </c>
      <c r="J198" s="1" t="s">
        <v>1680</v>
      </c>
      <c r="K198" s="18" t="s">
        <v>1631</v>
      </c>
      <c r="L198" s="18" t="s">
        <v>1631</v>
      </c>
      <c r="M198" s="18" t="s">
        <v>1631</v>
      </c>
      <c r="N198" s="18" t="s">
        <v>1631</v>
      </c>
      <c r="O198" s="18" t="s">
        <v>1631</v>
      </c>
      <c r="P198" s="19" t="s">
        <v>1631</v>
      </c>
    </row>
    <row r="199" s="21" customFormat="true" ht="14.25" hidden="false" customHeight="false" outlineLevel="0" collapsed="false">
      <c r="A199" s="22" t="s">
        <v>1186</v>
      </c>
      <c r="B199" s="23"/>
      <c r="C199" s="23"/>
      <c r="D199" s="23"/>
      <c r="E199" s="23"/>
      <c r="F199" s="23"/>
      <c r="G199" s="23"/>
      <c r="H199" s="23"/>
      <c r="I199" s="24"/>
      <c r="J199" s="24" t="s">
        <v>1681</v>
      </c>
      <c r="K199" s="25" t="s">
        <v>1631</v>
      </c>
      <c r="L199" s="25" t="s">
        <v>1631</v>
      </c>
      <c r="M199" s="25" t="s">
        <v>1631</v>
      </c>
      <c r="N199" s="25" t="s">
        <v>1631</v>
      </c>
      <c r="O199" s="25" t="s">
        <v>1631</v>
      </c>
      <c r="P199" s="26" t="s">
        <v>1631</v>
      </c>
      <c r="XFD199" s="1"/>
    </row>
    <row r="200" customFormat="false" ht="14.25" hidden="false" customHeight="false" outlineLevel="0" collapsed="false">
      <c r="A200" s="16" t="s">
        <v>1188</v>
      </c>
      <c r="B200" s="21" t="s">
        <v>1682</v>
      </c>
      <c r="C200" s="17" t="str">
        <f aca="false">+VLOOKUP(B200,transacciones!$A$1:$I$39,2,FALSE())</f>
        <v>ATC06</v>
      </c>
      <c r="D200" s="17" t="str">
        <f aca="false">+VLOOKUP($B200,transacciones!$A$1:$I$39,4,FALSE())</f>
        <v>Gasto de consumo final de los hogares</v>
      </c>
      <c r="E200" s="17" t="str">
        <f aca="false">+VLOOKUP($B200,transacciones!$A$1:$I$39,4,FALSE())</f>
        <v>Gasto de consumo final de los hogares</v>
      </c>
      <c r="F200" s="17" t="n">
        <f aca="false">+VLOOKUP(B200,transacciones!$A$2:$I$39,5,FALSE())</f>
        <v>3</v>
      </c>
      <c r="G200" s="17" t="str">
        <f aca="false">+VLOOKUP(B200,transacciones!$A$2:$I$39,6,FALSE())</f>
        <v>P3</v>
      </c>
      <c r="H200" s="17" t="str">
        <f aca="false">+VLOOKUP(B200,transacciones!$A$1:$I$39,7,FALSE())</f>
        <v>Gasto de consumo final</v>
      </c>
      <c r="I200" s="1" t="s">
        <v>1683</v>
      </c>
      <c r="J200" s="1" t="s">
        <v>1684</v>
      </c>
      <c r="K200" s="18" t="s">
        <v>1631</v>
      </c>
      <c r="L200" s="18" t="s">
        <v>1631</v>
      </c>
      <c r="M200" s="18" t="s">
        <v>1631</v>
      </c>
      <c r="N200" s="18" t="s">
        <v>1631</v>
      </c>
      <c r="O200" s="18" t="s">
        <v>1631</v>
      </c>
      <c r="P200" s="19" t="s">
        <v>1631</v>
      </c>
    </row>
    <row r="201" customFormat="false" ht="14.25" hidden="false" customHeight="false" outlineLevel="0" collapsed="false">
      <c r="A201" s="16" t="s">
        <v>1190</v>
      </c>
      <c r="B201" s="21" t="s">
        <v>1685</v>
      </c>
      <c r="C201" s="17" t="str">
        <f aca="false">+VLOOKUP(B201,transacciones!$A$1:$I$39,2,FALSE())</f>
        <v>ATC06</v>
      </c>
      <c r="D201" s="17" t="str">
        <f aca="false">+VLOOKUP($B201,transacciones!$A$1:$I$39,4,FALSE())</f>
        <v>Gasto de consumo ISFLH</v>
      </c>
      <c r="E201" s="17" t="str">
        <f aca="false">+VLOOKUP($B201,transacciones!$A$1:$I$39,4,FALSE())</f>
        <v>Gasto de consumo ISFLH</v>
      </c>
      <c r="F201" s="17" t="n">
        <f aca="false">+VLOOKUP(B201,transacciones!$A$2:$I$39,5,FALSE())</f>
        <v>3</v>
      </c>
      <c r="G201" s="17" t="str">
        <f aca="false">+VLOOKUP(B201,transacciones!$A$2:$I$39,6,FALSE())</f>
        <v>P3</v>
      </c>
      <c r="H201" s="17" t="str">
        <f aca="false">+VLOOKUP(B201,transacciones!$A$1:$I$39,7,FALSE())</f>
        <v>Gasto de consumo final</v>
      </c>
      <c r="I201" s="1" t="s">
        <v>1686</v>
      </c>
      <c r="J201" s="1" t="s">
        <v>1687</v>
      </c>
      <c r="K201" s="18" t="s">
        <v>1631</v>
      </c>
      <c r="L201" s="18" t="s">
        <v>1631</v>
      </c>
      <c r="M201" s="18" t="s">
        <v>1631</v>
      </c>
      <c r="N201" s="18" t="s">
        <v>1631</v>
      </c>
      <c r="O201" s="18" t="s">
        <v>1631</v>
      </c>
      <c r="P201" s="19" t="s">
        <v>1631</v>
      </c>
      <c r="XFD201" s="21"/>
    </row>
    <row r="202" customFormat="false" ht="14.25" hidden="false" customHeight="false" outlineLevel="0" collapsed="false">
      <c r="A202" s="16" t="s">
        <v>1192</v>
      </c>
      <c r="B202" s="21" t="s">
        <v>1688</v>
      </c>
      <c r="C202" s="17" t="str">
        <f aca="false">+VLOOKUP(B202,transacciones!$A$1:$I$39,2,FALSE())</f>
        <v>ATC06</v>
      </c>
      <c r="D202" s="17" t="str">
        <f aca="false">+VLOOKUP($B202,transacciones!$A$1:$I$39,4,FALSE())</f>
        <v>Gasto de consumo individual ISFLSH</v>
      </c>
      <c r="E202" s="17" t="str">
        <f aca="false">+VLOOKUP($B202,transacciones!$A$1:$I$39,4,FALSE())</f>
        <v>Gasto de consumo individual ISFLSH</v>
      </c>
      <c r="F202" s="17" t="n">
        <f aca="false">+VLOOKUP(B202,transacciones!$A$2:$I$39,5,FALSE())</f>
        <v>3</v>
      </c>
      <c r="G202" s="17" t="str">
        <f aca="false">+VLOOKUP(B202,transacciones!$A$2:$I$39,6,FALSE())</f>
        <v>P3</v>
      </c>
      <c r="H202" s="17" t="str">
        <f aca="false">+VLOOKUP(B202,transacciones!$A$1:$I$39,7,FALSE())</f>
        <v>Gasto de consumo final</v>
      </c>
      <c r="I202" s="1" t="s">
        <v>1686</v>
      </c>
      <c r="J202" s="1" t="s">
        <v>1689</v>
      </c>
      <c r="K202" s="18" t="s">
        <v>1631</v>
      </c>
      <c r="L202" s="18" t="s">
        <v>1631</v>
      </c>
      <c r="M202" s="18" t="s">
        <v>1631</v>
      </c>
      <c r="N202" s="18" t="s">
        <v>1631</v>
      </c>
      <c r="O202" s="18" t="s">
        <v>1631</v>
      </c>
      <c r="P202" s="19" t="s">
        <v>1631</v>
      </c>
      <c r="XFD202" s="1"/>
    </row>
    <row r="203" customFormat="false" ht="14.25" hidden="false" customHeight="false" outlineLevel="0" collapsed="false">
      <c r="A203" s="22" t="s">
        <v>1194</v>
      </c>
      <c r="B203" s="24"/>
      <c r="C203" s="24"/>
      <c r="D203" s="24"/>
      <c r="E203" s="24"/>
      <c r="F203" s="24"/>
      <c r="G203" s="24"/>
      <c r="H203" s="24"/>
      <c r="I203" s="24"/>
      <c r="J203" s="24" t="s">
        <v>1690</v>
      </c>
      <c r="K203" s="25" t="s">
        <v>1631</v>
      </c>
      <c r="L203" s="25" t="s">
        <v>1631</v>
      </c>
      <c r="M203" s="25" t="s">
        <v>1631</v>
      </c>
      <c r="N203" s="25" t="s">
        <v>1631</v>
      </c>
      <c r="O203" s="25" t="s">
        <v>1631</v>
      </c>
      <c r="P203" s="26" t="s">
        <v>1631</v>
      </c>
    </row>
    <row r="204" customFormat="false" ht="14.25" hidden="false" customHeight="false" outlineLevel="0" collapsed="false">
      <c r="A204" s="16" t="s">
        <v>1196</v>
      </c>
      <c r="B204" s="21" t="s">
        <v>1691</v>
      </c>
      <c r="C204" s="17" t="str">
        <f aca="false">+VLOOKUP(B204,transacciones!$A$1:$I$39,2,FALSE())</f>
        <v>ATC06</v>
      </c>
      <c r="D204" s="17" t="str">
        <f aca="false">+VLOOKUP($B204,transacciones!$A$1:$I$39,4,FALSE())</f>
        <v>Gasto de consumo individual de gobierno</v>
      </c>
      <c r="E204" s="17" t="str">
        <f aca="false">+VLOOKUP($B204,transacciones!$A$1:$I$39,4,FALSE())</f>
        <v>Gasto de consumo individual de gobierno</v>
      </c>
      <c r="F204" s="17" t="n">
        <f aca="false">+VLOOKUP(B204,transacciones!$A$2:$I$39,5,FALSE())</f>
        <v>3</v>
      </c>
      <c r="G204" s="17" t="str">
        <f aca="false">+VLOOKUP(B204,transacciones!$A$2:$I$39,6,FALSE())</f>
        <v>P3</v>
      </c>
      <c r="H204" s="17" t="str">
        <f aca="false">+VLOOKUP(B204,transacciones!$A$1:$I$39,7,FALSE())</f>
        <v>Gasto de consumo final</v>
      </c>
      <c r="I204" s="1" t="s">
        <v>1692</v>
      </c>
      <c r="J204" s="1" t="s">
        <v>1687</v>
      </c>
      <c r="K204" s="18" t="s">
        <v>1631</v>
      </c>
      <c r="L204" s="18" t="s">
        <v>1631</v>
      </c>
      <c r="M204" s="18" t="s">
        <v>1631</v>
      </c>
      <c r="N204" s="18" t="s">
        <v>1631</v>
      </c>
      <c r="O204" s="18" t="s">
        <v>1631</v>
      </c>
      <c r="P204" s="19" t="s">
        <v>1631</v>
      </c>
    </row>
    <row r="205" customFormat="false" ht="14.25" hidden="false" customHeight="false" outlineLevel="0" collapsed="false">
      <c r="A205" s="16" t="s">
        <v>1198</v>
      </c>
      <c r="B205" s="21" t="s">
        <v>1693</v>
      </c>
      <c r="C205" s="17" t="str">
        <f aca="false">+VLOOKUP(B205,transacciones!$A$1:$I$39,2,FALSE())</f>
        <v>ATC06</v>
      </c>
      <c r="D205" s="17" t="str">
        <f aca="false">+VLOOKUP($B205,transacciones!$A$1:$I$39,4,FALSE())</f>
        <v>Gasto de consumo colectivo de gobierno</v>
      </c>
      <c r="E205" s="17" t="str">
        <f aca="false">+VLOOKUP($B205,transacciones!$A$1:$I$39,4,FALSE())</f>
        <v>Gasto de consumo colectivo de gobierno</v>
      </c>
      <c r="F205" s="17" t="n">
        <f aca="false">+VLOOKUP(B205,transacciones!$A$2:$I$39,5,FALSE())</f>
        <v>3</v>
      </c>
      <c r="G205" s="17" t="str">
        <f aca="false">+VLOOKUP(B205,transacciones!$A$2:$I$39,6,FALSE())</f>
        <v>P3</v>
      </c>
      <c r="H205" s="17" t="str">
        <f aca="false">+VLOOKUP(B205,transacciones!$A$1:$I$39,7,FALSE())</f>
        <v>Gasto de consumo final</v>
      </c>
      <c r="J205" s="1" t="s">
        <v>1689</v>
      </c>
      <c r="K205" s="18" t="s">
        <v>1631</v>
      </c>
      <c r="L205" s="18" t="s">
        <v>1631</v>
      </c>
      <c r="M205" s="18" t="s">
        <v>1631</v>
      </c>
      <c r="N205" s="18" t="s">
        <v>1631</v>
      </c>
      <c r="O205" s="18" t="s">
        <v>1631</v>
      </c>
      <c r="P205" s="19" t="s">
        <v>1631</v>
      </c>
    </row>
    <row r="206" s="21" customFormat="true" ht="14.25" hidden="false" customHeight="false" outlineLevel="0" collapsed="false">
      <c r="A206" s="22" t="s">
        <v>1200</v>
      </c>
      <c r="B206" s="23"/>
      <c r="C206" s="23"/>
      <c r="D206" s="23"/>
      <c r="E206" s="23"/>
      <c r="F206" s="23"/>
      <c r="G206" s="23"/>
      <c r="H206" s="23"/>
      <c r="I206" s="24"/>
      <c r="J206" s="24" t="s">
        <v>1694</v>
      </c>
      <c r="K206" s="25" t="s">
        <v>1631</v>
      </c>
      <c r="L206" s="25" t="s">
        <v>1631</v>
      </c>
      <c r="M206" s="25" t="s">
        <v>1631</v>
      </c>
      <c r="N206" s="25" t="s">
        <v>1631</v>
      </c>
      <c r="O206" s="25" t="s">
        <v>1631</v>
      </c>
      <c r="P206" s="26" t="s">
        <v>1631</v>
      </c>
      <c r="XFD206" s="1"/>
    </row>
    <row r="207" s="21" customFormat="true" ht="14.25" hidden="false" customHeight="false" outlineLevel="0" collapsed="false">
      <c r="A207" s="22" t="s">
        <v>1202</v>
      </c>
      <c r="B207" s="23"/>
      <c r="C207" s="23"/>
      <c r="D207" s="23"/>
      <c r="E207" s="23"/>
      <c r="F207" s="23"/>
      <c r="G207" s="23"/>
      <c r="H207" s="23"/>
      <c r="I207" s="24"/>
      <c r="J207" s="24" t="s">
        <v>1695</v>
      </c>
      <c r="K207" s="25" t="s">
        <v>1631</v>
      </c>
      <c r="L207" s="25" t="s">
        <v>1631</v>
      </c>
      <c r="M207" s="25" t="s">
        <v>1631</v>
      </c>
      <c r="N207" s="25" t="s">
        <v>1631</v>
      </c>
      <c r="O207" s="25" t="s">
        <v>1631</v>
      </c>
      <c r="P207" s="26" t="s">
        <v>1631</v>
      </c>
      <c r="XFD207" s="1"/>
    </row>
    <row r="208" customFormat="false" ht="14.25" hidden="false" customHeight="false" outlineLevel="0" collapsed="false">
      <c r="A208" s="16" t="s">
        <v>1204</v>
      </c>
      <c r="B208" s="21" t="s">
        <v>1696</v>
      </c>
      <c r="C208" s="17" t="str">
        <f aca="false">+VLOOKUP(B208,transacciones!$A$1:$I$39,2,FALSE())</f>
        <v>ATC07</v>
      </c>
      <c r="D208" s="17" t="str">
        <f aca="false">+VLOOKUP($B208,transacciones!$A$1:$I$39,4,FALSE())</f>
        <v>Formación bruta de capital fijo</v>
      </c>
      <c r="E208" s="17" t="str">
        <f aca="false">+VLOOKUP($B208,transacciones!$A$1:$I$39,4,FALSE())</f>
        <v>Formación bruta de capital fijo</v>
      </c>
      <c r="F208" s="17" t="n">
        <f aca="false">+VLOOKUP(B208,transacciones!$A$2:$I$39,5,FALSE())</f>
        <v>5</v>
      </c>
      <c r="G208" s="17" t="str">
        <f aca="false">+VLOOKUP(B208,transacciones!$A$2:$I$39,6,FALSE())</f>
        <v>P5</v>
      </c>
      <c r="H208" s="17" t="str">
        <f aca="false">+VLOOKUP(B208,transacciones!$A$1:$I$39,7,FALSE())</f>
        <v>Formación de capital</v>
      </c>
      <c r="J208" s="1" t="s">
        <v>1697</v>
      </c>
      <c r="K208" s="18" t="s">
        <v>1631</v>
      </c>
      <c r="L208" s="18" t="s">
        <v>1631</v>
      </c>
      <c r="M208" s="18" t="s">
        <v>1631</v>
      </c>
      <c r="N208" s="18" t="s">
        <v>1631</v>
      </c>
      <c r="O208" s="18" t="s">
        <v>1631</v>
      </c>
      <c r="P208" s="19" t="s">
        <v>1631</v>
      </c>
    </row>
    <row r="209" customFormat="false" ht="14.25" hidden="false" customHeight="false" outlineLevel="0" collapsed="false">
      <c r="A209" s="16" t="s">
        <v>1206</v>
      </c>
      <c r="B209" s="21" t="s">
        <v>1698</v>
      </c>
      <c r="C209" s="17" t="str">
        <f aca="false">+VLOOKUP(B209,transacciones!$A$1:$I$39,2,FALSE())</f>
        <v>ATC07</v>
      </c>
      <c r="D209" s="17" t="str">
        <f aca="false">+VLOOKUP($B209,transacciones!$A$1:$I$39,4,FALSE())</f>
        <v>Variación de existencias</v>
      </c>
      <c r="E209" s="17" t="str">
        <f aca="false">+VLOOKUP($B209,transacciones!$A$1:$I$39,4,FALSE())</f>
        <v>Variación de existencias</v>
      </c>
      <c r="F209" s="17" t="n">
        <f aca="false">+VLOOKUP(B209,transacciones!$A$2:$I$39,5,FALSE())</f>
        <v>5</v>
      </c>
      <c r="G209" s="17" t="str">
        <f aca="false">+VLOOKUP(B209,transacciones!$A$2:$I$39,6,FALSE())</f>
        <v>P5</v>
      </c>
      <c r="H209" s="17" t="str">
        <f aca="false">+VLOOKUP(B209,transacciones!$A$1:$I$39,7,FALSE())</f>
        <v>Formación de capital</v>
      </c>
      <c r="J209" s="1" t="s">
        <v>1699</v>
      </c>
      <c r="K209" s="18" t="s">
        <v>1631</v>
      </c>
      <c r="L209" s="18" t="s">
        <v>1631</v>
      </c>
      <c r="M209" s="18" t="s">
        <v>1631</v>
      </c>
      <c r="N209" s="18" t="s">
        <v>1631</v>
      </c>
      <c r="O209" s="18" t="s">
        <v>1631</v>
      </c>
      <c r="P209" s="19" t="s">
        <v>1631</v>
      </c>
    </row>
    <row r="210" customFormat="false" ht="14.25" hidden="false" customHeight="false" outlineLevel="0" collapsed="false">
      <c r="A210" s="16" t="s">
        <v>1208</v>
      </c>
      <c r="B210" s="21" t="s">
        <v>1700</v>
      </c>
      <c r="C210" s="17" t="str">
        <f aca="false">+VLOOKUP(B210,transacciones!$A$1:$I$39,2,FALSE())</f>
        <v>ATC07</v>
      </c>
      <c r="D210" s="17" t="str">
        <f aca="false">+VLOOKUP($B210,transacciones!$A$1:$I$39,4,FALSE())</f>
        <v>Adquisiciones menos disposiciones de objetos valiosos</v>
      </c>
      <c r="E210" s="17" t="str">
        <f aca="false">+VLOOKUP($B210,transacciones!$A$1:$I$39,4,FALSE())</f>
        <v>Adquisiciones menos disposiciones de objetos valiosos</v>
      </c>
      <c r="F210" s="17" t="n">
        <f aca="false">+VLOOKUP(B210,transacciones!$A$2:$I$39,5,FALSE())</f>
        <v>5</v>
      </c>
      <c r="G210" s="17" t="str">
        <f aca="false">+VLOOKUP(B210,transacciones!$A$2:$I$39,6,FALSE())</f>
        <v>P5</v>
      </c>
      <c r="H210" s="17" t="str">
        <f aca="false">+VLOOKUP(B210,transacciones!$A$1:$I$39,7,FALSE())</f>
        <v>Formación de capital</v>
      </c>
      <c r="J210" s="1" t="s">
        <v>1701</v>
      </c>
      <c r="K210" s="18" t="s">
        <v>1631</v>
      </c>
      <c r="L210" s="18" t="s">
        <v>1631</v>
      </c>
      <c r="M210" s="18" t="s">
        <v>1631</v>
      </c>
      <c r="N210" s="18" t="s">
        <v>1631</v>
      </c>
      <c r="O210" s="18" t="s">
        <v>1631</v>
      </c>
      <c r="P210" s="19" t="s">
        <v>1631</v>
      </c>
    </row>
    <row r="211" customFormat="false" ht="14.25" hidden="false" customHeight="false" outlineLevel="0" collapsed="false">
      <c r="A211" s="16" t="s">
        <v>1210</v>
      </c>
      <c r="B211" s="21" t="s">
        <v>1700</v>
      </c>
      <c r="C211" s="17" t="str">
        <f aca="false">+VLOOKUP(B211,transacciones!$A$1:$I$39,2,FALSE())</f>
        <v>ATC07</v>
      </c>
      <c r="D211" s="17" t="str">
        <f aca="false">+VLOOKUP($B211,transacciones!$A$1:$I$39,4,FALSE())</f>
        <v>Adquisiciones menos disposiciones de objetos valiosos</v>
      </c>
      <c r="E211" s="17" t="str">
        <f aca="false">+VLOOKUP($B211,transacciones!$A$1:$I$39,4,FALSE())</f>
        <v>Adquisiciones menos disposiciones de objetos valiosos</v>
      </c>
      <c r="F211" s="17" t="n">
        <f aca="false">+VLOOKUP(B211,transacciones!$A$2:$I$39,5,FALSE())</f>
        <v>5</v>
      </c>
      <c r="G211" s="17" t="str">
        <f aca="false">+VLOOKUP(B211,transacciones!$A$2:$I$39,6,FALSE())</f>
        <v>P5</v>
      </c>
      <c r="H211" s="17" t="str">
        <f aca="false">+VLOOKUP(B211,transacciones!$A$1:$I$39,7,FALSE())</f>
        <v>Formación de capital</v>
      </c>
      <c r="J211" s="1" t="s">
        <v>1702</v>
      </c>
      <c r="K211" s="18" t="s">
        <v>1631</v>
      </c>
      <c r="L211" s="18" t="s">
        <v>1631</v>
      </c>
      <c r="M211" s="18" t="s">
        <v>1631</v>
      </c>
      <c r="N211" s="18" t="s">
        <v>1631</v>
      </c>
      <c r="O211" s="18" t="s">
        <v>1631</v>
      </c>
      <c r="P211" s="19" t="s">
        <v>1631</v>
      </c>
    </row>
    <row r="212" s="21" customFormat="true" ht="14.25" hidden="false" customHeight="false" outlineLevel="0" collapsed="false">
      <c r="A212" s="22" t="s">
        <v>1703</v>
      </c>
      <c r="B212" s="23"/>
      <c r="C212" s="23"/>
      <c r="D212" s="23"/>
      <c r="E212" s="23"/>
      <c r="F212" s="23"/>
      <c r="G212" s="23"/>
      <c r="H212" s="23"/>
      <c r="I212" s="24"/>
      <c r="J212" s="24" t="s">
        <v>1704</v>
      </c>
      <c r="K212" s="28" t="s">
        <v>1631</v>
      </c>
      <c r="L212" s="25" t="s">
        <v>1631</v>
      </c>
      <c r="M212" s="25" t="s">
        <v>1631</v>
      </c>
      <c r="N212" s="25" t="s">
        <v>1631</v>
      </c>
      <c r="O212" s="25" t="s">
        <v>1631</v>
      </c>
      <c r="P212" s="26" t="s">
        <v>1631</v>
      </c>
      <c r="XFD212" s="1"/>
    </row>
    <row r="213" customFormat="false" ht="14.25" hidden="false" customHeight="false" outlineLevel="0" collapsed="false">
      <c r="A213" s="11" t="s">
        <v>1214</v>
      </c>
      <c r="B213" s="13" t="s">
        <v>1430</v>
      </c>
      <c r="C213" s="13" t="s">
        <v>1614</v>
      </c>
      <c r="D213" s="13" t="s">
        <v>1705</v>
      </c>
      <c r="E213" s="13" t="s">
        <v>1705</v>
      </c>
      <c r="F213" s="13" t="n">
        <v>1</v>
      </c>
      <c r="G213" s="13" t="s">
        <v>1616</v>
      </c>
      <c r="H213" s="13" t="s">
        <v>1617</v>
      </c>
      <c r="I213" s="13" t="s">
        <v>1431</v>
      </c>
      <c r="J213" s="13" t="s">
        <v>1432</v>
      </c>
      <c r="K213" s="14" t="s">
        <v>1433</v>
      </c>
      <c r="L213" s="14" t="str">
        <f aca="false">+VLOOKUP(K213,'Correl CIIU'!$A$1:$F$26,2,FALSE())</f>
        <v>Agricultura, ganadería, silvicultura y pesca</v>
      </c>
      <c r="M213" s="14" t="str">
        <f aca="false">+VLOOKUP(K213,'Correl CIIU'!$A$1:$F$26,3,FALSE())</f>
        <v>Agricultura</v>
      </c>
      <c r="N213" s="14" t="str">
        <f aca="false">+VLOOKUP(K213,'Correl CIIU'!$A$1:$F$26,4,FALSE())</f>
        <v>Agriculture, forestry and fishing</v>
      </c>
      <c r="O213" s="14" t="n">
        <v>1</v>
      </c>
      <c r="P213" s="15" t="str">
        <f aca="false">+VLOOKUP(O213,bio!$A$2:$B$4,2,FALSE())</f>
        <v>Bioeconomía</v>
      </c>
    </row>
    <row r="214" customFormat="false" ht="14.25" hidden="false" customHeight="false" outlineLevel="0" collapsed="false">
      <c r="A214" s="29" t="s">
        <v>1216</v>
      </c>
      <c r="B214" s="1" t="s">
        <v>1430</v>
      </c>
      <c r="C214" s="1" t="s">
        <v>1614</v>
      </c>
      <c r="D214" s="1" t="s">
        <v>1705</v>
      </c>
      <c r="E214" s="1" t="s">
        <v>1705</v>
      </c>
      <c r="F214" s="1" t="n">
        <v>1</v>
      </c>
      <c r="G214" s="1" t="s">
        <v>1616</v>
      </c>
      <c r="H214" s="1" t="s">
        <v>1617</v>
      </c>
      <c r="I214" s="1" t="s">
        <v>1434</v>
      </c>
      <c r="J214" s="1" t="s">
        <v>1435</v>
      </c>
      <c r="K214" s="18" t="s">
        <v>1433</v>
      </c>
      <c r="L214" s="18" t="str">
        <f aca="false">+VLOOKUP(K214,'Correl CIIU'!$A$1:$F$26,2,FALSE())</f>
        <v>Agricultura, ganadería, silvicultura y pesca</v>
      </c>
      <c r="M214" s="18" t="str">
        <f aca="false">+VLOOKUP(K214,'Correl CIIU'!$A$1:$F$26,3,FALSE())</f>
        <v>Agricultura</v>
      </c>
      <c r="N214" s="18" t="str">
        <f aca="false">+VLOOKUP(K214,'Correl CIIU'!$A$1:$F$26,4,FALSE())</f>
        <v>Agriculture, forestry and fishing</v>
      </c>
      <c r="O214" s="18" t="n">
        <v>1</v>
      </c>
      <c r="P214" s="19" t="str">
        <f aca="false">+VLOOKUP(O214,bio!$A$2:$B$4,2,FALSE())</f>
        <v>Bioeconomía</v>
      </c>
    </row>
    <row r="215" customFormat="false" ht="14.25" hidden="false" customHeight="false" outlineLevel="0" collapsed="false">
      <c r="A215" s="29" t="s">
        <v>1218</v>
      </c>
      <c r="B215" s="1" t="s">
        <v>1430</v>
      </c>
      <c r="C215" s="1" t="s">
        <v>1614</v>
      </c>
      <c r="D215" s="1" t="s">
        <v>1705</v>
      </c>
      <c r="E215" s="1" t="s">
        <v>1705</v>
      </c>
      <c r="F215" s="1" t="n">
        <v>1</v>
      </c>
      <c r="G215" s="1" t="s">
        <v>1616</v>
      </c>
      <c r="H215" s="1" t="s">
        <v>1617</v>
      </c>
      <c r="I215" s="1" t="s">
        <v>1436</v>
      </c>
      <c r="J215" s="1" t="s">
        <v>1437</v>
      </c>
      <c r="K215" s="18" t="s">
        <v>1433</v>
      </c>
      <c r="L215" s="18" t="str">
        <f aca="false">+VLOOKUP(K215,'Correl CIIU'!$A$1:$F$26,2,FALSE())</f>
        <v>Agricultura, ganadería, silvicultura y pesca</v>
      </c>
      <c r="M215" s="18" t="str">
        <f aca="false">+VLOOKUP(K215,'Correl CIIU'!$A$1:$F$26,3,FALSE())</f>
        <v>Agricultura</v>
      </c>
      <c r="N215" s="18" t="str">
        <f aca="false">+VLOOKUP(K215,'Correl CIIU'!$A$1:$F$26,4,FALSE())</f>
        <v>Agriculture, forestry and fishing</v>
      </c>
      <c r="O215" s="18" t="n">
        <v>1</v>
      </c>
      <c r="P215" s="19" t="str">
        <f aca="false">+VLOOKUP(O215,bio!$A$2:$B$4,2,FALSE())</f>
        <v>Bioeconomía</v>
      </c>
    </row>
    <row r="216" customFormat="false" ht="14.25" hidden="false" customHeight="false" outlineLevel="0" collapsed="false">
      <c r="A216" s="29" t="s">
        <v>1220</v>
      </c>
      <c r="B216" s="1" t="s">
        <v>1430</v>
      </c>
      <c r="C216" s="1" t="s">
        <v>1614</v>
      </c>
      <c r="D216" s="1" t="s">
        <v>1705</v>
      </c>
      <c r="E216" s="1" t="s">
        <v>1705</v>
      </c>
      <c r="F216" s="1" t="n">
        <v>1</v>
      </c>
      <c r="G216" s="1" t="s">
        <v>1616</v>
      </c>
      <c r="H216" s="1" t="s">
        <v>1617</v>
      </c>
      <c r="I216" s="1" t="s">
        <v>1438</v>
      </c>
      <c r="J216" s="1" t="s">
        <v>1439</v>
      </c>
      <c r="K216" s="18" t="s">
        <v>1433</v>
      </c>
      <c r="L216" s="18" t="str">
        <f aca="false">+VLOOKUP(K216,'Correl CIIU'!$A$1:$F$26,2,FALSE())</f>
        <v>Agricultura, ganadería, silvicultura y pesca</v>
      </c>
      <c r="M216" s="18" t="str">
        <f aca="false">+VLOOKUP(K216,'Correl CIIU'!$A$1:$F$26,3,FALSE())</f>
        <v>Agricultura</v>
      </c>
      <c r="N216" s="18" t="str">
        <f aca="false">+VLOOKUP(K216,'Correl CIIU'!$A$1:$F$26,4,FALSE())</f>
        <v>Agriculture, forestry and fishing</v>
      </c>
      <c r="O216" s="18" t="n">
        <v>1</v>
      </c>
      <c r="P216" s="19" t="str">
        <f aca="false">+VLOOKUP(O216,bio!$A$2:$B$4,2,FALSE())</f>
        <v>Bioeconomía</v>
      </c>
    </row>
    <row r="217" customFormat="false" ht="14.25" hidden="false" customHeight="false" outlineLevel="0" collapsed="false">
      <c r="A217" s="29" t="s">
        <v>1222</v>
      </c>
      <c r="B217" s="1" t="s">
        <v>1430</v>
      </c>
      <c r="C217" s="1" t="s">
        <v>1614</v>
      </c>
      <c r="D217" s="1" t="s">
        <v>1705</v>
      </c>
      <c r="E217" s="1" t="s">
        <v>1705</v>
      </c>
      <c r="F217" s="1" t="n">
        <v>1</v>
      </c>
      <c r="G217" s="1" t="s">
        <v>1616</v>
      </c>
      <c r="H217" s="1" t="s">
        <v>1617</v>
      </c>
      <c r="I217" s="1" t="s">
        <v>1440</v>
      </c>
      <c r="J217" s="1" t="s">
        <v>1441</v>
      </c>
      <c r="K217" s="18" t="s">
        <v>1433</v>
      </c>
      <c r="L217" s="18" t="str">
        <f aca="false">+VLOOKUP(K217,'Correl CIIU'!$A$1:$F$26,2,FALSE())</f>
        <v>Agricultura, ganadería, silvicultura y pesca</v>
      </c>
      <c r="M217" s="18" t="str">
        <f aca="false">+VLOOKUP(K217,'Correl CIIU'!$A$1:$F$26,3,FALSE())</f>
        <v>Agricultura</v>
      </c>
      <c r="N217" s="18" t="str">
        <f aca="false">+VLOOKUP(K217,'Correl CIIU'!$A$1:$F$26,4,FALSE())</f>
        <v>Agriculture, forestry and fishing</v>
      </c>
      <c r="O217" s="18" t="n">
        <v>1</v>
      </c>
      <c r="P217" s="19" t="str">
        <f aca="false">+VLOOKUP(O217,bio!$A$2:$B$4,2,FALSE())</f>
        <v>Bioeconomía</v>
      </c>
    </row>
    <row r="218" customFormat="false" ht="14.25" hidden="false" customHeight="false" outlineLevel="0" collapsed="false">
      <c r="A218" s="29" t="s">
        <v>1224</v>
      </c>
      <c r="B218" s="1" t="s">
        <v>1430</v>
      </c>
      <c r="C218" s="1" t="s">
        <v>1614</v>
      </c>
      <c r="D218" s="1" t="s">
        <v>1705</v>
      </c>
      <c r="E218" s="1" t="s">
        <v>1705</v>
      </c>
      <c r="F218" s="1" t="n">
        <v>1</v>
      </c>
      <c r="G218" s="1" t="s">
        <v>1616</v>
      </c>
      <c r="H218" s="1" t="s">
        <v>1617</v>
      </c>
      <c r="I218" s="1" t="s">
        <v>1442</v>
      </c>
      <c r="J218" s="1" t="s">
        <v>1443</v>
      </c>
      <c r="K218" s="18" t="s">
        <v>1433</v>
      </c>
      <c r="L218" s="18" t="str">
        <f aca="false">+VLOOKUP(K218,'Correl CIIU'!$A$1:$F$26,2,FALSE())</f>
        <v>Agricultura, ganadería, silvicultura y pesca</v>
      </c>
      <c r="M218" s="18" t="str">
        <f aca="false">+VLOOKUP(K218,'Correl CIIU'!$A$1:$F$26,3,FALSE())</f>
        <v>Agricultura</v>
      </c>
      <c r="N218" s="18" t="str">
        <f aca="false">+VLOOKUP(K218,'Correl CIIU'!$A$1:$F$26,4,FALSE())</f>
        <v>Agriculture, forestry and fishing</v>
      </c>
      <c r="O218" s="18" t="n">
        <v>1</v>
      </c>
      <c r="P218" s="19" t="str">
        <f aca="false">+VLOOKUP(O218,bio!$A$2:$B$4,2,FALSE())</f>
        <v>Bioeconomía</v>
      </c>
    </row>
    <row r="219" customFormat="false" ht="14.25" hidden="false" customHeight="false" outlineLevel="0" collapsed="false">
      <c r="A219" s="29" t="s">
        <v>1226</v>
      </c>
      <c r="B219" s="1" t="s">
        <v>1430</v>
      </c>
      <c r="C219" s="1" t="s">
        <v>1614</v>
      </c>
      <c r="D219" s="1" t="s">
        <v>1705</v>
      </c>
      <c r="E219" s="1" t="s">
        <v>1705</v>
      </c>
      <c r="F219" s="1" t="n">
        <v>1</v>
      </c>
      <c r="G219" s="1" t="s">
        <v>1616</v>
      </c>
      <c r="H219" s="1" t="s">
        <v>1617</v>
      </c>
      <c r="I219" s="1" t="s">
        <v>1444</v>
      </c>
      <c r="J219" s="1" t="s">
        <v>1445</v>
      </c>
      <c r="K219" s="18" t="s">
        <v>1433</v>
      </c>
      <c r="L219" s="18" t="str">
        <f aca="false">+VLOOKUP(K219,'Correl CIIU'!$A$1:$F$26,2,FALSE())</f>
        <v>Agricultura, ganadería, silvicultura y pesca</v>
      </c>
      <c r="M219" s="18" t="str">
        <f aca="false">+VLOOKUP(K219,'Correl CIIU'!$A$1:$F$26,3,FALSE())</f>
        <v>Agricultura</v>
      </c>
      <c r="N219" s="18" t="str">
        <f aca="false">+VLOOKUP(K219,'Correl CIIU'!$A$1:$F$26,4,FALSE())</f>
        <v>Agriculture, forestry and fishing</v>
      </c>
      <c r="O219" s="18" t="n">
        <v>1</v>
      </c>
      <c r="P219" s="19" t="str">
        <f aca="false">+VLOOKUP(O219,bio!$A$2:$B$4,2,FALSE())</f>
        <v>Bioeconomía</v>
      </c>
    </row>
    <row r="220" customFormat="false" ht="14.25" hidden="false" customHeight="false" outlineLevel="0" collapsed="false">
      <c r="A220" s="29" t="s">
        <v>1228</v>
      </c>
      <c r="B220" s="1" t="s">
        <v>1430</v>
      </c>
      <c r="C220" s="1" t="s">
        <v>1614</v>
      </c>
      <c r="D220" s="1" t="s">
        <v>1705</v>
      </c>
      <c r="E220" s="1" t="s">
        <v>1705</v>
      </c>
      <c r="F220" s="1" t="n">
        <v>1</v>
      </c>
      <c r="G220" s="1" t="s">
        <v>1616</v>
      </c>
      <c r="H220" s="1" t="s">
        <v>1617</v>
      </c>
      <c r="I220" s="1" t="s">
        <v>1446</v>
      </c>
      <c r="J220" s="1" t="s">
        <v>1447</v>
      </c>
      <c r="K220" s="18" t="s">
        <v>1433</v>
      </c>
      <c r="L220" s="18" t="str">
        <f aca="false">+VLOOKUP(K220,'Correl CIIU'!$A$1:$F$26,2,FALSE())</f>
        <v>Agricultura, ganadería, silvicultura y pesca</v>
      </c>
      <c r="M220" s="18" t="str">
        <f aca="false">+VLOOKUP(K220,'Correl CIIU'!$A$1:$F$26,3,FALSE())</f>
        <v>Agricultura</v>
      </c>
      <c r="N220" s="18" t="str">
        <f aca="false">+VLOOKUP(K220,'Correl CIIU'!$A$1:$F$26,4,FALSE())</f>
        <v>Agriculture, forestry and fishing</v>
      </c>
      <c r="O220" s="18" t="n">
        <v>1</v>
      </c>
      <c r="P220" s="19" t="str">
        <f aca="false">+VLOOKUP(O220,bio!$A$2:$B$4,2,FALSE())</f>
        <v>Bioeconomía</v>
      </c>
    </row>
    <row r="221" customFormat="false" ht="14.25" hidden="false" customHeight="false" outlineLevel="0" collapsed="false">
      <c r="A221" s="29" t="s">
        <v>1230</v>
      </c>
      <c r="B221" s="1" t="s">
        <v>1430</v>
      </c>
      <c r="C221" s="1" t="s">
        <v>1614</v>
      </c>
      <c r="D221" s="1" t="s">
        <v>1705</v>
      </c>
      <c r="E221" s="1" t="s">
        <v>1705</v>
      </c>
      <c r="F221" s="1" t="n">
        <v>1</v>
      </c>
      <c r="G221" s="1" t="s">
        <v>1616</v>
      </c>
      <c r="H221" s="1" t="s">
        <v>1617</v>
      </c>
      <c r="I221" s="1" t="s">
        <v>1448</v>
      </c>
      <c r="J221" s="1" t="s">
        <v>1449</v>
      </c>
      <c r="K221" s="18" t="s">
        <v>1433</v>
      </c>
      <c r="L221" s="18" t="str">
        <f aca="false">+VLOOKUP(K221,'Correl CIIU'!$A$1:$F$26,2,FALSE())</f>
        <v>Agricultura, ganadería, silvicultura y pesca</v>
      </c>
      <c r="M221" s="18" t="str">
        <f aca="false">+VLOOKUP(K221,'Correl CIIU'!$A$1:$F$26,3,FALSE())</f>
        <v>Agricultura</v>
      </c>
      <c r="N221" s="18" t="str">
        <f aca="false">+VLOOKUP(K221,'Correl CIIU'!$A$1:$F$26,4,FALSE())</f>
        <v>Agriculture, forestry and fishing</v>
      </c>
      <c r="O221" s="18" t="n">
        <v>1</v>
      </c>
      <c r="P221" s="19" t="str">
        <f aca="false">+VLOOKUP(O221,bio!$A$2:$B$4,2,FALSE())</f>
        <v>Bioeconomía</v>
      </c>
    </row>
    <row r="222" customFormat="false" ht="14.25" hidden="false" customHeight="false" outlineLevel="0" collapsed="false">
      <c r="A222" s="29" t="s">
        <v>1232</v>
      </c>
      <c r="B222" s="1" t="s">
        <v>1430</v>
      </c>
      <c r="C222" s="1" t="s">
        <v>1614</v>
      </c>
      <c r="D222" s="1" t="s">
        <v>1705</v>
      </c>
      <c r="E222" s="1" t="s">
        <v>1705</v>
      </c>
      <c r="F222" s="1" t="n">
        <v>1</v>
      </c>
      <c r="G222" s="1" t="s">
        <v>1616</v>
      </c>
      <c r="H222" s="1" t="s">
        <v>1617</v>
      </c>
      <c r="I222" s="1" t="s">
        <v>1450</v>
      </c>
      <c r="J222" s="1" t="s">
        <v>1451</v>
      </c>
      <c r="K222" s="18" t="s">
        <v>1433</v>
      </c>
      <c r="L222" s="18" t="str">
        <f aca="false">+VLOOKUP(K222,'Correl CIIU'!$A$1:$F$26,2,FALSE())</f>
        <v>Agricultura, ganadería, silvicultura y pesca</v>
      </c>
      <c r="M222" s="18" t="str">
        <f aca="false">+VLOOKUP(K222,'Correl CIIU'!$A$1:$F$26,3,FALSE())</f>
        <v>Agricultura</v>
      </c>
      <c r="N222" s="18" t="str">
        <f aca="false">+VLOOKUP(K222,'Correl CIIU'!$A$1:$F$26,4,FALSE())</f>
        <v>Agriculture, forestry and fishing</v>
      </c>
      <c r="O222" s="18" t="n">
        <v>1</v>
      </c>
      <c r="P222" s="19" t="str">
        <f aca="false">+VLOOKUP(O222,bio!$A$2:$B$4,2,FALSE())</f>
        <v>Bioeconomía</v>
      </c>
    </row>
    <row r="223" customFormat="false" ht="14.25" hidden="false" customHeight="false" outlineLevel="0" collapsed="false">
      <c r="A223" s="29" t="s">
        <v>1234</v>
      </c>
      <c r="B223" s="1" t="s">
        <v>1430</v>
      </c>
      <c r="C223" s="1" t="s">
        <v>1614</v>
      </c>
      <c r="D223" s="1" t="s">
        <v>1705</v>
      </c>
      <c r="E223" s="1" t="s">
        <v>1705</v>
      </c>
      <c r="F223" s="1" t="n">
        <v>1</v>
      </c>
      <c r="G223" s="1" t="s">
        <v>1616</v>
      </c>
      <c r="H223" s="1" t="s">
        <v>1617</v>
      </c>
      <c r="I223" s="1" t="s">
        <v>1452</v>
      </c>
      <c r="J223" s="1" t="s">
        <v>1453</v>
      </c>
      <c r="K223" s="18" t="s">
        <v>1433</v>
      </c>
      <c r="L223" s="18" t="str">
        <f aca="false">+VLOOKUP(K223,'Correl CIIU'!$A$1:$F$26,2,FALSE())</f>
        <v>Agricultura, ganadería, silvicultura y pesca</v>
      </c>
      <c r="M223" s="18" t="str">
        <f aca="false">+VLOOKUP(K223,'Correl CIIU'!$A$1:$F$26,3,FALSE())</f>
        <v>Agricultura</v>
      </c>
      <c r="N223" s="18" t="str">
        <f aca="false">+VLOOKUP(K223,'Correl CIIU'!$A$1:$F$26,4,FALSE())</f>
        <v>Agriculture, forestry and fishing</v>
      </c>
      <c r="O223" s="18" t="n">
        <v>1</v>
      </c>
      <c r="P223" s="19" t="str">
        <f aca="false">+VLOOKUP(O223,bio!$A$2:$B$4,2,FALSE())</f>
        <v>Bioeconomía</v>
      </c>
    </row>
    <row r="224" customFormat="false" ht="14.25" hidden="false" customHeight="false" outlineLevel="0" collapsed="false">
      <c r="A224" s="29" t="s">
        <v>1236</v>
      </c>
      <c r="B224" s="1" t="s">
        <v>1430</v>
      </c>
      <c r="C224" s="1" t="s">
        <v>1614</v>
      </c>
      <c r="D224" s="1" t="s">
        <v>1705</v>
      </c>
      <c r="E224" s="1" t="s">
        <v>1705</v>
      </c>
      <c r="F224" s="1" t="n">
        <v>1</v>
      </c>
      <c r="G224" s="1" t="s">
        <v>1616</v>
      </c>
      <c r="H224" s="1" t="s">
        <v>1617</v>
      </c>
      <c r="I224" s="1" t="s">
        <v>1454</v>
      </c>
      <c r="J224" s="1" t="s">
        <v>1455</v>
      </c>
      <c r="K224" s="18" t="s">
        <v>1433</v>
      </c>
      <c r="L224" s="18" t="str">
        <f aca="false">+VLOOKUP(K224,'Correl CIIU'!$A$1:$F$26,2,FALSE())</f>
        <v>Agricultura, ganadería, silvicultura y pesca</v>
      </c>
      <c r="M224" s="18" t="str">
        <f aca="false">+VLOOKUP(K224,'Correl CIIU'!$A$1:$F$26,3,FALSE())</f>
        <v>Agricultura</v>
      </c>
      <c r="N224" s="18" t="str">
        <f aca="false">+VLOOKUP(K224,'Correl CIIU'!$A$1:$F$26,4,FALSE())</f>
        <v>Agriculture, forestry and fishing</v>
      </c>
      <c r="O224" s="18" t="n">
        <v>1</v>
      </c>
      <c r="P224" s="19" t="str">
        <f aca="false">+VLOOKUP(O224,bio!$A$2:$B$4,2,FALSE())</f>
        <v>Bioeconomía</v>
      </c>
    </row>
    <row r="225" customFormat="false" ht="14.25" hidden="false" customHeight="false" outlineLevel="0" collapsed="false">
      <c r="A225" s="29" t="s">
        <v>1238</v>
      </c>
      <c r="B225" s="1" t="s">
        <v>1430</v>
      </c>
      <c r="C225" s="1" t="s">
        <v>1614</v>
      </c>
      <c r="D225" s="1" t="s">
        <v>1705</v>
      </c>
      <c r="E225" s="1" t="s">
        <v>1705</v>
      </c>
      <c r="F225" s="1" t="n">
        <v>1</v>
      </c>
      <c r="G225" s="1" t="s">
        <v>1616</v>
      </c>
      <c r="H225" s="1" t="s">
        <v>1617</v>
      </c>
      <c r="I225" s="1" t="s">
        <v>1456</v>
      </c>
      <c r="J225" s="1" t="s">
        <v>1457</v>
      </c>
      <c r="K225" s="18" t="s">
        <v>1433</v>
      </c>
      <c r="L225" s="18" t="str">
        <f aca="false">+VLOOKUP(K225,'Correl CIIU'!$A$1:$F$26,2,FALSE())</f>
        <v>Agricultura, ganadería, silvicultura y pesca</v>
      </c>
      <c r="M225" s="18" t="str">
        <f aca="false">+VLOOKUP(K225,'Correl CIIU'!$A$1:$F$26,3,FALSE())</f>
        <v>Agricultura</v>
      </c>
      <c r="N225" s="18" t="str">
        <f aca="false">+VLOOKUP(K225,'Correl CIIU'!$A$1:$F$26,4,FALSE())</f>
        <v>Agriculture, forestry and fishing</v>
      </c>
      <c r="O225" s="18" t="n">
        <v>1</v>
      </c>
      <c r="P225" s="19" t="str">
        <f aca="false">+VLOOKUP(O225,bio!$A$2:$B$4,2,FALSE())</f>
        <v>Bioeconomía</v>
      </c>
    </row>
    <row r="226" customFormat="false" ht="14.25" hidden="false" customHeight="false" outlineLevel="0" collapsed="false">
      <c r="A226" s="29" t="s">
        <v>1240</v>
      </c>
      <c r="B226" s="1" t="s">
        <v>1430</v>
      </c>
      <c r="C226" s="1" t="s">
        <v>1614</v>
      </c>
      <c r="D226" s="1" t="s">
        <v>1705</v>
      </c>
      <c r="E226" s="1" t="s">
        <v>1705</v>
      </c>
      <c r="F226" s="1" t="n">
        <v>1</v>
      </c>
      <c r="G226" s="1" t="s">
        <v>1616</v>
      </c>
      <c r="H226" s="1" t="s">
        <v>1617</v>
      </c>
      <c r="I226" s="1" t="s">
        <v>1458</v>
      </c>
      <c r="J226" s="1" t="s">
        <v>1459</v>
      </c>
      <c r="K226" s="18" t="s">
        <v>1433</v>
      </c>
      <c r="L226" s="18" t="str">
        <f aca="false">+VLOOKUP(K226,'Correl CIIU'!$A$1:$F$26,2,FALSE())</f>
        <v>Agricultura, ganadería, silvicultura y pesca</v>
      </c>
      <c r="M226" s="18" t="str">
        <f aca="false">+VLOOKUP(K226,'Correl CIIU'!$A$1:$F$26,3,FALSE())</f>
        <v>Agricultura</v>
      </c>
      <c r="N226" s="18" t="str">
        <f aca="false">+VLOOKUP(K226,'Correl CIIU'!$A$1:$F$26,4,FALSE())</f>
        <v>Agriculture, forestry and fishing</v>
      </c>
      <c r="O226" s="18" t="n">
        <v>1</v>
      </c>
      <c r="P226" s="19" t="str">
        <f aca="false">+VLOOKUP(O226,bio!$A$2:$B$4,2,FALSE())</f>
        <v>Bioeconomía</v>
      </c>
    </row>
    <row r="227" customFormat="false" ht="14.25" hidden="false" customHeight="false" outlineLevel="0" collapsed="false">
      <c r="A227" s="29" t="s">
        <v>1242</v>
      </c>
      <c r="B227" s="1" t="s">
        <v>1430</v>
      </c>
      <c r="C227" s="1" t="s">
        <v>1614</v>
      </c>
      <c r="D227" s="1" t="s">
        <v>1705</v>
      </c>
      <c r="E227" s="1" t="s">
        <v>1705</v>
      </c>
      <c r="F227" s="1" t="n">
        <v>1</v>
      </c>
      <c r="G227" s="1" t="s">
        <v>1616</v>
      </c>
      <c r="H227" s="1" t="s">
        <v>1617</v>
      </c>
      <c r="I227" s="1" t="s">
        <v>1460</v>
      </c>
      <c r="J227" s="1" t="s">
        <v>1461</v>
      </c>
      <c r="K227" s="18" t="s">
        <v>1433</v>
      </c>
      <c r="L227" s="18" t="str">
        <f aca="false">+VLOOKUP(K227,'Correl CIIU'!$A$1:$F$26,2,FALSE())</f>
        <v>Agricultura, ganadería, silvicultura y pesca</v>
      </c>
      <c r="M227" s="18" t="str">
        <f aca="false">+VLOOKUP(K227,'Correl CIIU'!$A$1:$F$26,3,FALSE())</f>
        <v>Agricultura</v>
      </c>
      <c r="N227" s="18" t="str">
        <f aca="false">+VLOOKUP(K227,'Correl CIIU'!$A$1:$F$26,4,FALSE())</f>
        <v>Agriculture, forestry and fishing</v>
      </c>
      <c r="O227" s="18" t="n">
        <v>1</v>
      </c>
      <c r="P227" s="19" t="str">
        <f aca="false">+VLOOKUP(O227,bio!$A$2:$B$4,2,FALSE())</f>
        <v>Bioeconomía</v>
      </c>
    </row>
    <row r="228" customFormat="false" ht="14.25" hidden="false" customHeight="false" outlineLevel="0" collapsed="false">
      <c r="A228" s="29" t="s">
        <v>1244</v>
      </c>
      <c r="B228" s="1" t="s">
        <v>1430</v>
      </c>
      <c r="C228" s="1" t="s">
        <v>1614</v>
      </c>
      <c r="D228" s="1" t="s">
        <v>1705</v>
      </c>
      <c r="E228" s="1" t="s">
        <v>1705</v>
      </c>
      <c r="F228" s="1" t="n">
        <v>1</v>
      </c>
      <c r="G228" s="1" t="s">
        <v>1616</v>
      </c>
      <c r="H228" s="1" t="s">
        <v>1617</v>
      </c>
      <c r="I228" s="1" t="s">
        <v>1462</v>
      </c>
      <c r="J228" s="1" t="s">
        <v>1463</v>
      </c>
      <c r="K228" s="18" t="s">
        <v>1464</v>
      </c>
      <c r="L228" s="18" t="str">
        <f aca="false">+VLOOKUP(K228,'Correl CIIU'!$A$1:$F$26,2,FALSE())</f>
        <v>Explotación de minas y canteras</v>
      </c>
      <c r="M228" s="18" t="str">
        <f aca="false">+VLOOKUP(K228,'Correl CIIU'!$A$1:$F$26,3,FALSE())</f>
        <v>Minería</v>
      </c>
      <c r="N228" s="18" t="str">
        <f aca="false">+VLOOKUP(K228,'Correl CIIU'!$A$1:$F$26,4,FALSE())</f>
        <v>Mining and quarrying</v>
      </c>
      <c r="O228" s="18" t="n">
        <v>3</v>
      </c>
      <c r="P228" s="19" t="str">
        <f aca="false">+VLOOKUP(O228,bio!$A$2:$B$4,2,FALSE())</f>
        <v>No bioeconomía</v>
      </c>
    </row>
    <row r="229" customFormat="false" ht="14.25" hidden="false" customHeight="false" outlineLevel="0" collapsed="false">
      <c r="A229" s="29" t="s">
        <v>1246</v>
      </c>
      <c r="B229" s="1" t="s">
        <v>1430</v>
      </c>
      <c r="C229" s="1" t="s">
        <v>1614</v>
      </c>
      <c r="D229" s="1" t="s">
        <v>1705</v>
      </c>
      <c r="E229" s="1" t="s">
        <v>1705</v>
      </c>
      <c r="F229" s="1" t="n">
        <v>1</v>
      </c>
      <c r="G229" s="1" t="s">
        <v>1616</v>
      </c>
      <c r="H229" s="1" t="s">
        <v>1617</v>
      </c>
      <c r="I229" s="1" t="s">
        <v>1465</v>
      </c>
      <c r="J229" s="1" t="s">
        <v>1466</v>
      </c>
      <c r="K229" s="18" t="s">
        <v>1467</v>
      </c>
      <c r="L229" s="18" t="str">
        <f aca="false">+VLOOKUP(K229,'Correl CIIU'!$A$1:$F$26,2,FALSE())</f>
        <v>Industrias manufactureras</v>
      </c>
      <c r="M229" s="18" t="str">
        <f aca="false">+VLOOKUP(K229,'Correl CIIU'!$A$1:$F$26,3,FALSE())</f>
        <v>Manufacturas</v>
      </c>
      <c r="N229" s="18" t="str">
        <f aca="false">+VLOOKUP(K229,'Correl CIIU'!$A$1:$F$26,4,FALSE())</f>
        <v>Manufacturing</v>
      </c>
      <c r="O229" s="18" t="n">
        <v>1</v>
      </c>
      <c r="P229" s="19" t="str">
        <f aca="false">+VLOOKUP(O229,bio!$A$2:$B$4,2,FALSE())</f>
        <v>Bioeconomía</v>
      </c>
    </row>
    <row r="230" customFormat="false" ht="14.25" hidden="false" customHeight="false" outlineLevel="0" collapsed="false">
      <c r="A230" s="29" t="s">
        <v>1248</v>
      </c>
      <c r="B230" s="1" t="s">
        <v>1430</v>
      </c>
      <c r="C230" s="1" t="s">
        <v>1614</v>
      </c>
      <c r="D230" s="1" t="s">
        <v>1705</v>
      </c>
      <c r="E230" s="1" t="s">
        <v>1705</v>
      </c>
      <c r="F230" s="1" t="n">
        <v>1</v>
      </c>
      <c r="G230" s="1" t="s">
        <v>1616</v>
      </c>
      <c r="H230" s="1" t="s">
        <v>1617</v>
      </c>
      <c r="I230" s="1" t="s">
        <v>1468</v>
      </c>
      <c r="J230" s="1" t="s">
        <v>1469</v>
      </c>
      <c r="K230" s="18" t="s">
        <v>1467</v>
      </c>
      <c r="L230" s="18" t="str">
        <f aca="false">+VLOOKUP(K230,'Correl CIIU'!$A$1:$F$26,2,FALSE())</f>
        <v>Industrias manufactureras</v>
      </c>
      <c r="M230" s="18" t="str">
        <f aca="false">+VLOOKUP(K230,'Correl CIIU'!$A$1:$F$26,3,FALSE())</f>
        <v>Manufacturas</v>
      </c>
      <c r="N230" s="18" t="str">
        <f aca="false">+VLOOKUP(K230,'Correl CIIU'!$A$1:$F$26,4,FALSE())</f>
        <v>Manufacturing</v>
      </c>
      <c r="O230" s="18" t="n">
        <v>1</v>
      </c>
      <c r="P230" s="19" t="str">
        <f aca="false">+VLOOKUP(O230,bio!$A$2:$B$4,2,FALSE())</f>
        <v>Bioeconomía</v>
      </c>
    </row>
    <row r="231" customFormat="false" ht="14.25" hidden="false" customHeight="false" outlineLevel="0" collapsed="false">
      <c r="A231" s="29" t="s">
        <v>1250</v>
      </c>
      <c r="B231" s="1" t="s">
        <v>1430</v>
      </c>
      <c r="C231" s="1" t="s">
        <v>1614</v>
      </c>
      <c r="D231" s="1" t="s">
        <v>1705</v>
      </c>
      <c r="E231" s="1" t="s">
        <v>1705</v>
      </c>
      <c r="F231" s="1" t="n">
        <v>1</v>
      </c>
      <c r="G231" s="1" t="s">
        <v>1616</v>
      </c>
      <c r="H231" s="1" t="s">
        <v>1617</v>
      </c>
      <c r="I231" s="1" t="s">
        <v>1470</v>
      </c>
      <c r="J231" s="1" t="s">
        <v>1471</v>
      </c>
      <c r="K231" s="18" t="s">
        <v>1467</v>
      </c>
      <c r="L231" s="18" t="str">
        <f aca="false">+VLOOKUP(K231,'Correl CIIU'!$A$1:$F$26,2,FALSE())</f>
        <v>Industrias manufactureras</v>
      </c>
      <c r="M231" s="18" t="str">
        <f aca="false">+VLOOKUP(K231,'Correl CIIU'!$A$1:$F$26,3,FALSE())</f>
        <v>Manufacturas</v>
      </c>
      <c r="N231" s="18" t="str">
        <f aca="false">+VLOOKUP(K231,'Correl CIIU'!$A$1:$F$26,4,FALSE())</f>
        <v>Manufacturing</v>
      </c>
      <c r="O231" s="18" t="n">
        <v>1</v>
      </c>
      <c r="P231" s="19" t="str">
        <f aca="false">+VLOOKUP(O231,bio!$A$2:$B$4,2,FALSE())</f>
        <v>Bioeconomía</v>
      </c>
    </row>
    <row r="232" customFormat="false" ht="14.25" hidden="false" customHeight="false" outlineLevel="0" collapsed="false">
      <c r="A232" s="29" t="s">
        <v>1252</v>
      </c>
      <c r="B232" s="1" t="s">
        <v>1430</v>
      </c>
      <c r="C232" s="1" t="s">
        <v>1614</v>
      </c>
      <c r="D232" s="1" t="s">
        <v>1705</v>
      </c>
      <c r="E232" s="1" t="s">
        <v>1705</v>
      </c>
      <c r="F232" s="1" t="n">
        <v>1</v>
      </c>
      <c r="G232" s="1" t="s">
        <v>1616</v>
      </c>
      <c r="H232" s="1" t="s">
        <v>1617</v>
      </c>
      <c r="I232" s="1" t="s">
        <v>1472</v>
      </c>
      <c r="J232" s="1" t="s">
        <v>1473</v>
      </c>
      <c r="K232" s="18" t="s">
        <v>1467</v>
      </c>
      <c r="L232" s="18" t="str">
        <f aca="false">+VLOOKUP(K232,'Correl CIIU'!$A$1:$F$26,2,FALSE())</f>
        <v>Industrias manufactureras</v>
      </c>
      <c r="M232" s="18" t="str">
        <f aca="false">+VLOOKUP(K232,'Correl CIIU'!$A$1:$F$26,3,FALSE())</f>
        <v>Manufacturas</v>
      </c>
      <c r="N232" s="18" t="str">
        <f aca="false">+VLOOKUP(K232,'Correl CIIU'!$A$1:$F$26,4,FALSE())</f>
        <v>Manufacturing</v>
      </c>
      <c r="O232" s="18" t="n">
        <v>1</v>
      </c>
      <c r="P232" s="19" t="str">
        <f aca="false">+VLOOKUP(O232,bio!$A$2:$B$4,2,FALSE())</f>
        <v>Bioeconomía</v>
      </c>
    </row>
    <row r="233" customFormat="false" ht="14.25" hidden="false" customHeight="false" outlineLevel="0" collapsed="false">
      <c r="A233" s="29" t="s">
        <v>1254</v>
      </c>
      <c r="B233" s="1" t="s">
        <v>1430</v>
      </c>
      <c r="C233" s="1" t="s">
        <v>1614</v>
      </c>
      <c r="D233" s="1" t="s">
        <v>1705</v>
      </c>
      <c r="E233" s="1" t="s">
        <v>1705</v>
      </c>
      <c r="F233" s="1" t="n">
        <v>1</v>
      </c>
      <c r="G233" s="1" t="s">
        <v>1616</v>
      </c>
      <c r="H233" s="1" t="s">
        <v>1617</v>
      </c>
      <c r="I233" s="1" t="s">
        <v>1474</v>
      </c>
      <c r="J233" s="1" t="s">
        <v>1475</v>
      </c>
      <c r="K233" s="18" t="s">
        <v>1467</v>
      </c>
      <c r="L233" s="18" t="str">
        <f aca="false">+VLOOKUP(K233,'Correl CIIU'!$A$1:$F$26,2,FALSE())</f>
        <v>Industrias manufactureras</v>
      </c>
      <c r="M233" s="18" t="str">
        <f aca="false">+VLOOKUP(K233,'Correl CIIU'!$A$1:$F$26,3,FALSE())</f>
        <v>Manufacturas</v>
      </c>
      <c r="N233" s="18" t="str">
        <f aca="false">+VLOOKUP(K233,'Correl CIIU'!$A$1:$F$26,4,FALSE())</f>
        <v>Manufacturing</v>
      </c>
      <c r="O233" s="18" t="n">
        <v>1</v>
      </c>
      <c r="P233" s="19" t="str">
        <f aca="false">+VLOOKUP(O233,bio!$A$2:$B$4,2,FALSE())</f>
        <v>Bioeconomía</v>
      </c>
    </row>
    <row r="234" customFormat="false" ht="14.25" hidden="false" customHeight="false" outlineLevel="0" collapsed="false">
      <c r="A234" s="29" t="s">
        <v>1256</v>
      </c>
      <c r="B234" s="1" t="s">
        <v>1430</v>
      </c>
      <c r="C234" s="1" t="s">
        <v>1614</v>
      </c>
      <c r="D234" s="1" t="s">
        <v>1705</v>
      </c>
      <c r="E234" s="1" t="s">
        <v>1705</v>
      </c>
      <c r="F234" s="1" t="n">
        <v>1</v>
      </c>
      <c r="G234" s="1" t="s">
        <v>1616</v>
      </c>
      <c r="H234" s="1" t="s">
        <v>1617</v>
      </c>
      <c r="I234" s="1" t="s">
        <v>1476</v>
      </c>
      <c r="J234" s="1" t="s">
        <v>1477</v>
      </c>
      <c r="K234" s="18" t="s">
        <v>1467</v>
      </c>
      <c r="L234" s="18" t="str">
        <f aca="false">+VLOOKUP(K234,'Correl CIIU'!$A$1:$F$26,2,FALSE())</f>
        <v>Industrias manufactureras</v>
      </c>
      <c r="M234" s="18" t="str">
        <f aca="false">+VLOOKUP(K234,'Correl CIIU'!$A$1:$F$26,3,FALSE())</f>
        <v>Manufacturas</v>
      </c>
      <c r="N234" s="18" t="str">
        <f aca="false">+VLOOKUP(K234,'Correl CIIU'!$A$1:$F$26,4,FALSE())</f>
        <v>Manufacturing</v>
      </c>
      <c r="O234" s="18" t="n">
        <v>1</v>
      </c>
      <c r="P234" s="19" t="str">
        <f aca="false">+VLOOKUP(O234,bio!$A$2:$B$4,2,FALSE())</f>
        <v>Bioeconomía</v>
      </c>
    </row>
    <row r="235" customFormat="false" ht="14.25" hidden="false" customHeight="false" outlineLevel="0" collapsed="false">
      <c r="A235" s="29" t="s">
        <v>1258</v>
      </c>
      <c r="B235" s="1" t="s">
        <v>1430</v>
      </c>
      <c r="C235" s="1" t="s">
        <v>1614</v>
      </c>
      <c r="D235" s="1" t="s">
        <v>1705</v>
      </c>
      <c r="E235" s="1" t="s">
        <v>1705</v>
      </c>
      <c r="F235" s="1" t="n">
        <v>1</v>
      </c>
      <c r="G235" s="1" t="s">
        <v>1616</v>
      </c>
      <c r="H235" s="1" t="s">
        <v>1617</v>
      </c>
      <c r="I235" s="1" t="s">
        <v>1478</v>
      </c>
      <c r="J235" s="1" t="s">
        <v>1479</v>
      </c>
      <c r="K235" s="18" t="s">
        <v>1467</v>
      </c>
      <c r="L235" s="18" t="str">
        <f aca="false">+VLOOKUP(K235,'Correl CIIU'!$A$1:$F$26,2,FALSE())</f>
        <v>Industrias manufactureras</v>
      </c>
      <c r="M235" s="18" t="str">
        <f aca="false">+VLOOKUP(K235,'Correl CIIU'!$A$1:$F$26,3,FALSE())</f>
        <v>Manufacturas</v>
      </c>
      <c r="N235" s="18" t="str">
        <f aca="false">+VLOOKUP(K235,'Correl CIIU'!$A$1:$F$26,4,FALSE())</f>
        <v>Manufacturing</v>
      </c>
      <c r="O235" s="18" t="n">
        <v>1</v>
      </c>
      <c r="P235" s="19" t="str">
        <f aca="false">+VLOOKUP(O235,bio!$A$2:$B$4,2,FALSE())</f>
        <v>Bioeconomía</v>
      </c>
    </row>
    <row r="236" customFormat="false" ht="14.25" hidden="false" customHeight="false" outlineLevel="0" collapsed="false">
      <c r="A236" s="29" t="s">
        <v>1260</v>
      </c>
      <c r="B236" s="1" t="s">
        <v>1430</v>
      </c>
      <c r="C236" s="1" t="s">
        <v>1614</v>
      </c>
      <c r="D236" s="1" t="s">
        <v>1705</v>
      </c>
      <c r="E236" s="1" t="s">
        <v>1705</v>
      </c>
      <c r="F236" s="1" t="n">
        <v>1</v>
      </c>
      <c r="G236" s="1" t="s">
        <v>1616</v>
      </c>
      <c r="H236" s="1" t="s">
        <v>1617</v>
      </c>
      <c r="I236" s="1" t="s">
        <v>1480</v>
      </c>
      <c r="J236" s="1" t="s">
        <v>1481</v>
      </c>
      <c r="K236" s="18" t="s">
        <v>1467</v>
      </c>
      <c r="L236" s="18" t="str">
        <f aca="false">+VLOOKUP(K236,'Correl CIIU'!$A$1:$F$26,2,FALSE())</f>
        <v>Industrias manufactureras</v>
      </c>
      <c r="M236" s="18" t="str">
        <f aca="false">+VLOOKUP(K236,'Correl CIIU'!$A$1:$F$26,3,FALSE())</f>
        <v>Manufacturas</v>
      </c>
      <c r="N236" s="18" t="str">
        <f aca="false">+VLOOKUP(K236,'Correl CIIU'!$A$1:$F$26,4,FALSE())</f>
        <v>Manufacturing</v>
      </c>
      <c r="O236" s="18" t="n">
        <v>1</v>
      </c>
      <c r="P236" s="19" t="str">
        <f aca="false">+VLOOKUP(O236,bio!$A$2:$B$4,2,FALSE())</f>
        <v>Bioeconomía</v>
      </c>
    </row>
    <row r="237" customFormat="false" ht="14.25" hidden="false" customHeight="false" outlineLevel="0" collapsed="false">
      <c r="A237" s="29" t="s">
        <v>1262</v>
      </c>
      <c r="B237" s="1" t="s">
        <v>1430</v>
      </c>
      <c r="C237" s="1" t="s">
        <v>1614</v>
      </c>
      <c r="D237" s="1" t="s">
        <v>1705</v>
      </c>
      <c r="E237" s="1" t="s">
        <v>1705</v>
      </c>
      <c r="F237" s="1" t="n">
        <v>1</v>
      </c>
      <c r="G237" s="1" t="s">
        <v>1616</v>
      </c>
      <c r="H237" s="1" t="s">
        <v>1617</v>
      </c>
      <c r="I237" s="1" t="s">
        <v>1482</v>
      </c>
      <c r="J237" s="1" t="s">
        <v>1483</v>
      </c>
      <c r="K237" s="18" t="s">
        <v>1467</v>
      </c>
      <c r="L237" s="18" t="str">
        <f aca="false">+VLOOKUP(K237,'Correl CIIU'!$A$1:$F$26,2,FALSE())</f>
        <v>Industrias manufactureras</v>
      </c>
      <c r="M237" s="18" t="str">
        <f aca="false">+VLOOKUP(K237,'Correl CIIU'!$A$1:$F$26,3,FALSE())</f>
        <v>Manufacturas</v>
      </c>
      <c r="N237" s="18" t="str">
        <f aca="false">+VLOOKUP(K237,'Correl CIIU'!$A$1:$F$26,4,FALSE())</f>
        <v>Manufacturing</v>
      </c>
      <c r="O237" s="18" t="n">
        <v>2</v>
      </c>
      <c r="P237" s="19" t="str">
        <f aca="false">+VLOOKUP(O237,bio!$A$2:$B$4,2,FALSE())</f>
        <v>Bioeconomía extendida</v>
      </c>
    </row>
    <row r="238" customFormat="false" ht="14.25" hidden="false" customHeight="false" outlineLevel="0" collapsed="false">
      <c r="A238" s="29" t="s">
        <v>1264</v>
      </c>
      <c r="B238" s="1" t="s">
        <v>1430</v>
      </c>
      <c r="C238" s="1" t="s">
        <v>1614</v>
      </c>
      <c r="D238" s="1" t="s">
        <v>1705</v>
      </c>
      <c r="E238" s="1" t="s">
        <v>1705</v>
      </c>
      <c r="F238" s="1" t="n">
        <v>1</v>
      </c>
      <c r="G238" s="1" t="s">
        <v>1616</v>
      </c>
      <c r="H238" s="1" t="s">
        <v>1617</v>
      </c>
      <c r="I238" s="1" t="s">
        <v>1484</v>
      </c>
      <c r="J238" s="1" t="s">
        <v>1485</v>
      </c>
      <c r="K238" s="18" t="s">
        <v>1467</v>
      </c>
      <c r="L238" s="18" t="str">
        <f aca="false">+VLOOKUP(K238,'Correl CIIU'!$A$1:$F$26,2,FALSE())</f>
        <v>Industrias manufactureras</v>
      </c>
      <c r="M238" s="18" t="str">
        <f aca="false">+VLOOKUP(K238,'Correl CIIU'!$A$1:$F$26,3,FALSE())</f>
        <v>Manufacturas</v>
      </c>
      <c r="N238" s="18" t="str">
        <f aca="false">+VLOOKUP(K238,'Correl CIIU'!$A$1:$F$26,4,FALSE())</f>
        <v>Manufacturing</v>
      </c>
      <c r="O238" s="18" t="n">
        <v>2</v>
      </c>
      <c r="P238" s="19" t="str">
        <f aca="false">+VLOOKUP(O238,bio!$A$2:$B$4,2,FALSE())</f>
        <v>Bioeconomía extendida</v>
      </c>
    </row>
    <row r="239" customFormat="false" ht="14.25" hidden="false" customHeight="false" outlineLevel="0" collapsed="false">
      <c r="A239" s="29" t="s">
        <v>1266</v>
      </c>
      <c r="B239" s="1" t="s">
        <v>1430</v>
      </c>
      <c r="C239" s="1" t="s">
        <v>1614</v>
      </c>
      <c r="D239" s="1" t="s">
        <v>1705</v>
      </c>
      <c r="E239" s="1" t="s">
        <v>1705</v>
      </c>
      <c r="F239" s="1" t="n">
        <v>1</v>
      </c>
      <c r="G239" s="1" t="s">
        <v>1616</v>
      </c>
      <c r="H239" s="1" t="s">
        <v>1617</v>
      </c>
      <c r="I239" s="1" t="s">
        <v>1486</v>
      </c>
      <c r="J239" s="1" t="s">
        <v>1487</v>
      </c>
      <c r="K239" s="18" t="s">
        <v>1467</v>
      </c>
      <c r="L239" s="18" t="str">
        <f aca="false">+VLOOKUP(K239,'Correl CIIU'!$A$1:$F$26,2,FALSE())</f>
        <v>Industrias manufactureras</v>
      </c>
      <c r="M239" s="18" t="str">
        <f aca="false">+VLOOKUP(K239,'Correl CIIU'!$A$1:$F$26,3,FALSE())</f>
        <v>Manufacturas</v>
      </c>
      <c r="N239" s="18" t="str">
        <f aca="false">+VLOOKUP(K239,'Correl CIIU'!$A$1:$F$26,4,FALSE())</f>
        <v>Manufacturing</v>
      </c>
      <c r="O239" s="18" t="n">
        <v>1</v>
      </c>
      <c r="P239" s="19" t="str">
        <f aca="false">+VLOOKUP(O239,bio!$A$2:$B$4,2,FALSE())</f>
        <v>Bioeconomía</v>
      </c>
    </row>
    <row r="240" customFormat="false" ht="14.25" hidden="false" customHeight="false" outlineLevel="0" collapsed="false">
      <c r="A240" s="29" t="s">
        <v>1268</v>
      </c>
      <c r="B240" s="1" t="s">
        <v>1430</v>
      </c>
      <c r="C240" s="1" t="s">
        <v>1614</v>
      </c>
      <c r="D240" s="1" t="s">
        <v>1705</v>
      </c>
      <c r="E240" s="1" t="s">
        <v>1705</v>
      </c>
      <c r="F240" s="1" t="n">
        <v>1</v>
      </c>
      <c r="G240" s="1" t="s">
        <v>1616</v>
      </c>
      <c r="H240" s="1" t="s">
        <v>1617</v>
      </c>
      <c r="I240" s="1" t="s">
        <v>1488</v>
      </c>
      <c r="J240" s="1" t="s">
        <v>1489</v>
      </c>
      <c r="K240" s="18" t="s">
        <v>1467</v>
      </c>
      <c r="L240" s="18" t="str">
        <f aca="false">+VLOOKUP(K240,'Correl CIIU'!$A$1:$F$26,2,FALSE())</f>
        <v>Industrias manufactureras</v>
      </c>
      <c r="M240" s="18" t="str">
        <f aca="false">+VLOOKUP(K240,'Correl CIIU'!$A$1:$F$26,3,FALSE())</f>
        <v>Manufacturas</v>
      </c>
      <c r="N240" s="18" t="str">
        <f aca="false">+VLOOKUP(K240,'Correl CIIU'!$A$1:$F$26,4,FALSE())</f>
        <v>Manufacturing</v>
      </c>
      <c r="O240" s="18" t="n">
        <v>1</v>
      </c>
      <c r="P240" s="19" t="str">
        <f aca="false">+VLOOKUP(O240,bio!$A$2:$B$4,2,FALSE())</f>
        <v>Bioeconomía</v>
      </c>
    </row>
    <row r="241" customFormat="false" ht="14.25" hidden="false" customHeight="false" outlineLevel="0" collapsed="false">
      <c r="A241" s="29" t="s">
        <v>1270</v>
      </c>
      <c r="B241" s="1" t="s">
        <v>1430</v>
      </c>
      <c r="C241" s="1" t="s">
        <v>1614</v>
      </c>
      <c r="D241" s="1" t="s">
        <v>1705</v>
      </c>
      <c r="E241" s="1" t="s">
        <v>1705</v>
      </c>
      <c r="F241" s="1" t="n">
        <v>1</v>
      </c>
      <c r="G241" s="1" t="s">
        <v>1616</v>
      </c>
      <c r="H241" s="1" t="s">
        <v>1617</v>
      </c>
      <c r="I241" s="1" t="s">
        <v>1490</v>
      </c>
      <c r="J241" s="1" t="s">
        <v>1491</v>
      </c>
      <c r="K241" s="18" t="s">
        <v>1467</v>
      </c>
      <c r="L241" s="18" t="str">
        <f aca="false">+VLOOKUP(K241,'Correl CIIU'!$A$1:$F$26,2,FALSE())</f>
        <v>Industrias manufactureras</v>
      </c>
      <c r="M241" s="18" t="str">
        <f aca="false">+VLOOKUP(K241,'Correl CIIU'!$A$1:$F$26,3,FALSE())</f>
        <v>Manufacturas</v>
      </c>
      <c r="N241" s="18" t="str">
        <f aca="false">+VLOOKUP(K241,'Correl CIIU'!$A$1:$F$26,4,FALSE())</f>
        <v>Manufacturing</v>
      </c>
      <c r="O241" s="18" t="n">
        <v>2</v>
      </c>
      <c r="P241" s="19" t="str">
        <f aca="false">+VLOOKUP(O241,bio!$A$2:$B$4,2,FALSE())</f>
        <v>Bioeconomía extendida</v>
      </c>
    </row>
    <row r="242" customFormat="false" ht="14.25" hidden="false" customHeight="false" outlineLevel="0" collapsed="false">
      <c r="A242" s="29" t="s">
        <v>1272</v>
      </c>
      <c r="B242" s="1" t="s">
        <v>1430</v>
      </c>
      <c r="C242" s="1" t="s">
        <v>1614</v>
      </c>
      <c r="D242" s="1" t="s">
        <v>1705</v>
      </c>
      <c r="E242" s="1" t="s">
        <v>1705</v>
      </c>
      <c r="F242" s="1" t="n">
        <v>1</v>
      </c>
      <c r="G242" s="1" t="s">
        <v>1616</v>
      </c>
      <c r="H242" s="1" t="s">
        <v>1617</v>
      </c>
      <c r="I242" s="1" t="s">
        <v>1492</v>
      </c>
      <c r="J242" s="1" t="s">
        <v>1493</v>
      </c>
      <c r="K242" s="18" t="s">
        <v>1467</v>
      </c>
      <c r="L242" s="18" t="str">
        <f aca="false">+VLOOKUP(K242,'Correl CIIU'!$A$1:$F$26,2,FALSE())</f>
        <v>Industrias manufactureras</v>
      </c>
      <c r="M242" s="18" t="str">
        <f aca="false">+VLOOKUP(K242,'Correl CIIU'!$A$1:$F$26,3,FALSE())</f>
        <v>Manufacturas</v>
      </c>
      <c r="N242" s="18" t="str">
        <f aca="false">+VLOOKUP(K242,'Correl CIIU'!$A$1:$F$26,4,FALSE())</f>
        <v>Manufacturing</v>
      </c>
      <c r="O242" s="18" t="n">
        <v>2</v>
      </c>
      <c r="P242" s="19" t="str">
        <f aca="false">+VLOOKUP(O242,bio!$A$2:$B$4,2,FALSE())</f>
        <v>Bioeconomía extendida</v>
      </c>
    </row>
    <row r="243" customFormat="false" ht="14.25" hidden="false" customHeight="false" outlineLevel="0" collapsed="false">
      <c r="A243" s="29" t="s">
        <v>1274</v>
      </c>
      <c r="B243" s="1" t="s">
        <v>1430</v>
      </c>
      <c r="C243" s="1" t="s">
        <v>1614</v>
      </c>
      <c r="D243" s="1" t="s">
        <v>1705</v>
      </c>
      <c r="E243" s="1" t="s">
        <v>1705</v>
      </c>
      <c r="F243" s="1" t="n">
        <v>1</v>
      </c>
      <c r="G243" s="1" t="s">
        <v>1616</v>
      </c>
      <c r="H243" s="1" t="s">
        <v>1617</v>
      </c>
      <c r="I243" s="1" t="s">
        <v>1494</v>
      </c>
      <c r="J243" s="1" t="s">
        <v>1495</v>
      </c>
      <c r="K243" s="18" t="s">
        <v>1467</v>
      </c>
      <c r="L243" s="18" t="str">
        <f aca="false">+VLOOKUP(K243,'Correl CIIU'!$A$1:$F$26,2,FALSE())</f>
        <v>Industrias manufactureras</v>
      </c>
      <c r="M243" s="18" t="str">
        <f aca="false">+VLOOKUP(K243,'Correl CIIU'!$A$1:$F$26,3,FALSE())</f>
        <v>Manufacturas</v>
      </c>
      <c r="N243" s="18" t="str">
        <f aca="false">+VLOOKUP(K243,'Correl CIIU'!$A$1:$F$26,4,FALSE())</f>
        <v>Manufacturing</v>
      </c>
      <c r="O243" s="18" t="n">
        <v>2</v>
      </c>
      <c r="P243" s="19" t="str">
        <f aca="false">+VLOOKUP(O243,bio!$A$2:$B$4,2,FALSE())</f>
        <v>Bioeconomía extendida</v>
      </c>
    </row>
    <row r="244" customFormat="false" ht="14.25" hidden="false" customHeight="false" outlineLevel="0" collapsed="false">
      <c r="A244" s="29" t="s">
        <v>1276</v>
      </c>
      <c r="B244" s="1" t="s">
        <v>1430</v>
      </c>
      <c r="C244" s="1" t="s">
        <v>1614</v>
      </c>
      <c r="D244" s="1" t="s">
        <v>1705</v>
      </c>
      <c r="E244" s="1" t="s">
        <v>1705</v>
      </c>
      <c r="F244" s="1" t="n">
        <v>1</v>
      </c>
      <c r="G244" s="1" t="s">
        <v>1616</v>
      </c>
      <c r="H244" s="1" t="s">
        <v>1617</v>
      </c>
      <c r="I244" s="1" t="s">
        <v>1496</v>
      </c>
      <c r="J244" s="1" t="s">
        <v>1497</v>
      </c>
      <c r="K244" s="18" t="s">
        <v>1467</v>
      </c>
      <c r="L244" s="18" t="str">
        <f aca="false">+VLOOKUP(K244,'Correl CIIU'!$A$1:$F$26,2,FALSE())</f>
        <v>Industrias manufactureras</v>
      </c>
      <c r="M244" s="18" t="str">
        <f aca="false">+VLOOKUP(K244,'Correl CIIU'!$A$1:$F$26,3,FALSE())</f>
        <v>Manufacturas</v>
      </c>
      <c r="N244" s="18" t="str">
        <f aca="false">+VLOOKUP(K244,'Correl CIIU'!$A$1:$F$26,4,FALSE())</f>
        <v>Manufacturing</v>
      </c>
      <c r="O244" s="18" t="n">
        <v>3</v>
      </c>
      <c r="P244" s="19" t="str">
        <f aca="false">+VLOOKUP(O244,bio!$A$2:$B$4,2,FALSE())</f>
        <v>No bioeconomía</v>
      </c>
    </row>
    <row r="245" customFormat="false" ht="14.25" hidden="false" customHeight="false" outlineLevel="0" collapsed="false">
      <c r="A245" s="29" t="s">
        <v>1278</v>
      </c>
      <c r="B245" s="1" t="s">
        <v>1430</v>
      </c>
      <c r="C245" s="1" t="s">
        <v>1614</v>
      </c>
      <c r="D245" s="1" t="s">
        <v>1705</v>
      </c>
      <c r="E245" s="1" t="s">
        <v>1705</v>
      </c>
      <c r="F245" s="1" t="n">
        <v>1</v>
      </c>
      <c r="G245" s="1" t="s">
        <v>1616</v>
      </c>
      <c r="H245" s="1" t="s">
        <v>1617</v>
      </c>
      <c r="I245" s="1" t="s">
        <v>1498</v>
      </c>
      <c r="J245" s="1" t="s">
        <v>1499</v>
      </c>
      <c r="K245" s="18" t="s">
        <v>1467</v>
      </c>
      <c r="L245" s="18" t="str">
        <f aca="false">+VLOOKUP(K245,'Correl CIIU'!$A$1:$F$26,2,FALSE())</f>
        <v>Industrias manufactureras</v>
      </c>
      <c r="M245" s="18" t="str">
        <f aca="false">+VLOOKUP(K245,'Correl CIIU'!$A$1:$F$26,3,FALSE())</f>
        <v>Manufacturas</v>
      </c>
      <c r="N245" s="18" t="str">
        <f aca="false">+VLOOKUP(K245,'Correl CIIU'!$A$1:$F$26,4,FALSE())</f>
        <v>Manufacturing</v>
      </c>
      <c r="O245" s="18" t="n">
        <v>3</v>
      </c>
      <c r="P245" s="19" t="str">
        <f aca="false">+VLOOKUP(O245,bio!$A$2:$B$4,2,FALSE())</f>
        <v>No bioeconomía</v>
      </c>
    </row>
    <row r="246" customFormat="false" ht="14.25" hidden="false" customHeight="false" outlineLevel="0" collapsed="false">
      <c r="A246" s="29" t="s">
        <v>1280</v>
      </c>
      <c r="B246" s="1" t="s">
        <v>1430</v>
      </c>
      <c r="C246" s="1" t="s">
        <v>1614</v>
      </c>
      <c r="D246" s="1" t="s">
        <v>1705</v>
      </c>
      <c r="E246" s="1" t="s">
        <v>1705</v>
      </c>
      <c r="F246" s="1" t="n">
        <v>1</v>
      </c>
      <c r="G246" s="1" t="s">
        <v>1616</v>
      </c>
      <c r="H246" s="1" t="s">
        <v>1617</v>
      </c>
      <c r="I246" s="1" t="s">
        <v>1500</v>
      </c>
      <c r="J246" s="1" t="s">
        <v>1501</v>
      </c>
      <c r="K246" s="18" t="s">
        <v>1467</v>
      </c>
      <c r="L246" s="18" t="str">
        <f aca="false">+VLOOKUP(K246,'Correl CIIU'!$A$1:$F$26,2,FALSE())</f>
        <v>Industrias manufactureras</v>
      </c>
      <c r="M246" s="18" t="str">
        <f aca="false">+VLOOKUP(K246,'Correl CIIU'!$A$1:$F$26,3,FALSE())</f>
        <v>Manufacturas</v>
      </c>
      <c r="N246" s="18" t="str">
        <f aca="false">+VLOOKUP(K246,'Correl CIIU'!$A$1:$F$26,4,FALSE())</f>
        <v>Manufacturing</v>
      </c>
      <c r="O246" s="18" t="n">
        <v>3</v>
      </c>
      <c r="P246" s="19" t="str">
        <f aca="false">+VLOOKUP(O246,bio!$A$2:$B$4,2,FALSE())</f>
        <v>No bioeconomía</v>
      </c>
    </row>
    <row r="247" customFormat="false" ht="14.25" hidden="false" customHeight="false" outlineLevel="0" collapsed="false">
      <c r="A247" s="29" t="s">
        <v>1282</v>
      </c>
      <c r="B247" s="1" t="s">
        <v>1430</v>
      </c>
      <c r="C247" s="1" t="s">
        <v>1614</v>
      </c>
      <c r="D247" s="1" t="s">
        <v>1705</v>
      </c>
      <c r="E247" s="1" t="s">
        <v>1705</v>
      </c>
      <c r="F247" s="1" t="n">
        <v>1</v>
      </c>
      <c r="G247" s="1" t="s">
        <v>1616</v>
      </c>
      <c r="H247" s="1" t="s">
        <v>1617</v>
      </c>
      <c r="I247" s="1" t="s">
        <v>1502</v>
      </c>
      <c r="J247" s="1" t="s">
        <v>1503</v>
      </c>
      <c r="K247" s="18" t="s">
        <v>1467</v>
      </c>
      <c r="L247" s="18" t="str">
        <f aca="false">+VLOOKUP(K247,'Correl CIIU'!$A$1:$F$26,2,FALSE())</f>
        <v>Industrias manufactureras</v>
      </c>
      <c r="M247" s="18" t="str">
        <f aca="false">+VLOOKUP(K247,'Correl CIIU'!$A$1:$F$26,3,FALSE())</f>
        <v>Manufacturas</v>
      </c>
      <c r="N247" s="18" t="str">
        <f aca="false">+VLOOKUP(K247,'Correl CIIU'!$A$1:$F$26,4,FALSE())</f>
        <v>Manufacturing</v>
      </c>
      <c r="O247" s="18" t="n">
        <v>3</v>
      </c>
      <c r="P247" s="19" t="str">
        <f aca="false">+VLOOKUP(O247,bio!$A$2:$B$4,2,FALSE())</f>
        <v>No bioeconomía</v>
      </c>
    </row>
    <row r="248" customFormat="false" ht="14.25" hidden="false" customHeight="false" outlineLevel="0" collapsed="false">
      <c r="A248" s="29" t="s">
        <v>1284</v>
      </c>
      <c r="B248" s="1" t="s">
        <v>1430</v>
      </c>
      <c r="C248" s="1" t="s">
        <v>1614</v>
      </c>
      <c r="D248" s="1" t="s">
        <v>1705</v>
      </c>
      <c r="E248" s="1" t="s">
        <v>1705</v>
      </c>
      <c r="F248" s="1" t="n">
        <v>1</v>
      </c>
      <c r="G248" s="1" t="s">
        <v>1616</v>
      </c>
      <c r="H248" s="1" t="s">
        <v>1617</v>
      </c>
      <c r="I248" s="1" t="s">
        <v>1504</v>
      </c>
      <c r="J248" s="1" t="s">
        <v>1505</v>
      </c>
      <c r="K248" s="18" t="s">
        <v>1467</v>
      </c>
      <c r="L248" s="18" t="str">
        <f aca="false">+VLOOKUP(K248,'Correl CIIU'!$A$1:$F$26,2,FALSE())</f>
        <v>Industrias manufactureras</v>
      </c>
      <c r="M248" s="18" t="str">
        <f aca="false">+VLOOKUP(K248,'Correl CIIU'!$A$1:$F$26,3,FALSE())</f>
        <v>Manufacturas</v>
      </c>
      <c r="N248" s="18" t="str">
        <f aca="false">+VLOOKUP(K248,'Correl CIIU'!$A$1:$F$26,4,FALSE())</f>
        <v>Manufacturing</v>
      </c>
      <c r="O248" s="18" t="n">
        <v>3</v>
      </c>
      <c r="P248" s="19" t="str">
        <f aca="false">+VLOOKUP(O248,bio!$A$2:$B$4,2,FALSE())</f>
        <v>No bioeconomía</v>
      </c>
    </row>
    <row r="249" customFormat="false" ht="14.25" hidden="false" customHeight="false" outlineLevel="0" collapsed="false">
      <c r="A249" s="29" t="s">
        <v>1286</v>
      </c>
      <c r="B249" s="1" t="s">
        <v>1430</v>
      </c>
      <c r="C249" s="1" t="s">
        <v>1614</v>
      </c>
      <c r="D249" s="1" t="s">
        <v>1705</v>
      </c>
      <c r="E249" s="1" t="s">
        <v>1705</v>
      </c>
      <c r="F249" s="1" t="n">
        <v>1</v>
      </c>
      <c r="G249" s="1" t="s">
        <v>1616</v>
      </c>
      <c r="H249" s="1" t="s">
        <v>1617</v>
      </c>
      <c r="I249" s="1" t="s">
        <v>1506</v>
      </c>
      <c r="J249" s="1" t="s">
        <v>1507</v>
      </c>
      <c r="K249" s="18" t="s">
        <v>1467</v>
      </c>
      <c r="L249" s="18" t="str">
        <f aca="false">+VLOOKUP(K249,'Correl CIIU'!$A$1:$F$26,2,FALSE())</f>
        <v>Industrias manufactureras</v>
      </c>
      <c r="M249" s="18" t="str">
        <f aca="false">+VLOOKUP(K249,'Correl CIIU'!$A$1:$F$26,3,FALSE())</f>
        <v>Manufacturas</v>
      </c>
      <c r="N249" s="18" t="str">
        <f aca="false">+VLOOKUP(K249,'Correl CIIU'!$A$1:$F$26,4,FALSE())</f>
        <v>Manufacturing</v>
      </c>
      <c r="O249" s="18" t="n">
        <v>3</v>
      </c>
      <c r="P249" s="19" t="str">
        <f aca="false">+VLOOKUP(O249,bio!$A$2:$B$4,2,FALSE())</f>
        <v>No bioeconomía</v>
      </c>
    </row>
    <row r="250" customFormat="false" ht="14.25" hidden="false" customHeight="false" outlineLevel="0" collapsed="false">
      <c r="A250" s="29" t="s">
        <v>1288</v>
      </c>
      <c r="B250" s="1" t="s">
        <v>1430</v>
      </c>
      <c r="C250" s="1" t="s">
        <v>1614</v>
      </c>
      <c r="D250" s="1" t="s">
        <v>1705</v>
      </c>
      <c r="E250" s="1" t="s">
        <v>1705</v>
      </c>
      <c r="F250" s="1" t="n">
        <v>1</v>
      </c>
      <c r="G250" s="1" t="s">
        <v>1616</v>
      </c>
      <c r="H250" s="1" t="s">
        <v>1617</v>
      </c>
      <c r="I250" s="1" t="s">
        <v>1508</v>
      </c>
      <c r="J250" s="1" t="s">
        <v>1509</v>
      </c>
      <c r="K250" s="18" t="s">
        <v>1467</v>
      </c>
      <c r="L250" s="18" t="str">
        <f aca="false">+VLOOKUP(K250,'Correl CIIU'!$A$1:$F$26,2,FALSE())</f>
        <v>Industrias manufactureras</v>
      </c>
      <c r="M250" s="18" t="str">
        <f aca="false">+VLOOKUP(K250,'Correl CIIU'!$A$1:$F$26,3,FALSE())</f>
        <v>Manufacturas</v>
      </c>
      <c r="N250" s="18" t="str">
        <f aca="false">+VLOOKUP(K250,'Correl CIIU'!$A$1:$F$26,4,FALSE())</f>
        <v>Manufacturing</v>
      </c>
      <c r="O250" s="18" t="n">
        <v>3</v>
      </c>
      <c r="P250" s="19" t="str">
        <f aca="false">+VLOOKUP(O250,bio!$A$2:$B$4,2,FALSE())</f>
        <v>No bioeconomía</v>
      </c>
    </row>
    <row r="251" customFormat="false" ht="14.25" hidden="false" customHeight="false" outlineLevel="0" collapsed="false">
      <c r="A251" s="29" t="s">
        <v>1290</v>
      </c>
      <c r="B251" s="1" t="s">
        <v>1430</v>
      </c>
      <c r="C251" s="1" t="s">
        <v>1614</v>
      </c>
      <c r="D251" s="1" t="s">
        <v>1705</v>
      </c>
      <c r="E251" s="1" t="s">
        <v>1705</v>
      </c>
      <c r="F251" s="1" t="n">
        <v>1</v>
      </c>
      <c r="G251" s="1" t="s">
        <v>1616</v>
      </c>
      <c r="H251" s="1" t="s">
        <v>1617</v>
      </c>
      <c r="I251" s="1" t="s">
        <v>1510</v>
      </c>
      <c r="J251" s="1" t="s">
        <v>1511</v>
      </c>
      <c r="K251" s="18" t="s">
        <v>1512</v>
      </c>
      <c r="L251" s="18" t="str">
        <f aca="false">+VLOOKUP(K251,'Correl CIIU'!$A$1:$F$26,2,FALSE())</f>
        <v>Suministro de electricidad, gas, vapor y aire acondicionado</v>
      </c>
      <c r="M251" s="18" t="str">
        <f aca="false">+VLOOKUP(K251,'Correl CIIU'!$A$1:$F$26,3,FALSE())</f>
        <v>Servicios básicos</v>
      </c>
      <c r="N251" s="18" t="str">
        <f aca="false">+VLOOKUP(K251,'Correl CIIU'!$A$1:$F$26,4,FALSE())</f>
        <v>Electricity, gas, steam and air conditioning supply</v>
      </c>
      <c r="O251" s="18" t="n">
        <v>3</v>
      </c>
      <c r="P251" s="19" t="str">
        <f aca="false">+VLOOKUP(O251,bio!$A$2:$B$4,2,FALSE())</f>
        <v>No bioeconomía</v>
      </c>
    </row>
    <row r="252" customFormat="false" ht="14.25" hidden="false" customHeight="false" outlineLevel="0" collapsed="false">
      <c r="A252" s="29" t="s">
        <v>1292</v>
      </c>
      <c r="B252" s="1" t="s">
        <v>1430</v>
      </c>
      <c r="C252" s="1" t="s">
        <v>1614</v>
      </c>
      <c r="D252" s="1" t="s">
        <v>1705</v>
      </c>
      <c r="E252" s="1" t="s">
        <v>1705</v>
      </c>
      <c r="F252" s="1" t="n">
        <v>1</v>
      </c>
      <c r="G252" s="1" t="s">
        <v>1616</v>
      </c>
      <c r="H252" s="1" t="s">
        <v>1617</v>
      </c>
      <c r="I252" s="1" t="s">
        <v>1513</v>
      </c>
      <c r="J252" s="1" t="s">
        <v>1514</v>
      </c>
      <c r="K252" s="18" t="s">
        <v>1515</v>
      </c>
      <c r="L252" s="18" t="str">
        <f aca="false">+VLOOKUP(K252,'Correl CIIU'!$A$1:$F$26,2,FALSE())</f>
        <v>Suministro de agua; evacuación de aguas residuales, gestión de desechos y descontaminación</v>
      </c>
      <c r="M252" s="18" t="str">
        <f aca="false">+VLOOKUP(K252,'Correl CIIU'!$A$1:$F$26,3,FALSE())</f>
        <v>Suministro de agua</v>
      </c>
      <c r="N252" s="18" t="str">
        <f aca="false">+VLOOKUP(K252,'Correl CIIU'!$A$1:$F$26,4,FALSE())</f>
        <v>Water supply; sewerage, waste management and remediation activities</v>
      </c>
      <c r="O252" s="18" t="n">
        <v>3</v>
      </c>
      <c r="P252" s="19" t="str">
        <f aca="false">+VLOOKUP(O252,bio!$A$2:$B$4,2,FALSE())</f>
        <v>No bioeconomía</v>
      </c>
    </row>
    <row r="253" customFormat="false" ht="14.25" hidden="false" customHeight="false" outlineLevel="0" collapsed="false">
      <c r="A253" s="29" t="s">
        <v>1294</v>
      </c>
      <c r="B253" s="1" t="s">
        <v>1430</v>
      </c>
      <c r="C253" s="1" t="s">
        <v>1614</v>
      </c>
      <c r="D253" s="1" t="s">
        <v>1705</v>
      </c>
      <c r="E253" s="1" t="s">
        <v>1705</v>
      </c>
      <c r="F253" s="1" t="n">
        <v>1</v>
      </c>
      <c r="G253" s="1" t="s">
        <v>1616</v>
      </c>
      <c r="H253" s="1" t="s">
        <v>1617</v>
      </c>
      <c r="I253" s="1" t="s">
        <v>1516</v>
      </c>
      <c r="J253" s="1" t="s">
        <v>1517</v>
      </c>
      <c r="K253" s="18" t="s">
        <v>1515</v>
      </c>
      <c r="L253" s="18" t="str">
        <f aca="false">+VLOOKUP(K253,'Correl CIIU'!$A$1:$F$26,2,FALSE())</f>
        <v>Suministro de agua; evacuación de aguas residuales, gestión de desechos y descontaminación</v>
      </c>
      <c r="M253" s="18" t="str">
        <f aca="false">+VLOOKUP(K253,'Correl CIIU'!$A$1:$F$26,3,FALSE())</f>
        <v>Suministro de agua</v>
      </c>
      <c r="N253" s="18" t="str">
        <f aca="false">+VLOOKUP(K253,'Correl CIIU'!$A$1:$F$26,4,FALSE())</f>
        <v>Water supply; sewerage, waste management and remediation activities</v>
      </c>
      <c r="O253" s="18" t="n">
        <v>2</v>
      </c>
      <c r="P253" s="19" t="str">
        <f aca="false">+VLOOKUP(O253,bio!$A$2:$B$4,2,FALSE())</f>
        <v>Bioeconomía extendida</v>
      </c>
    </row>
    <row r="254" customFormat="false" ht="14.25" hidden="false" customHeight="false" outlineLevel="0" collapsed="false">
      <c r="A254" s="29" t="s">
        <v>1296</v>
      </c>
      <c r="B254" s="1" t="s">
        <v>1430</v>
      </c>
      <c r="C254" s="1" t="s">
        <v>1614</v>
      </c>
      <c r="D254" s="1" t="s">
        <v>1705</v>
      </c>
      <c r="E254" s="1" t="s">
        <v>1705</v>
      </c>
      <c r="F254" s="1" t="n">
        <v>1</v>
      </c>
      <c r="G254" s="1" t="s">
        <v>1616</v>
      </c>
      <c r="H254" s="1" t="s">
        <v>1617</v>
      </c>
      <c r="I254" s="1" t="s">
        <v>1518</v>
      </c>
      <c r="J254" s="1" t="s">
        <v>1519</v>
      </c>
      <c r="K254" s="18" t="s">
        <v>1520</v>
      </c>
      <c r="L254" s="18" t="str">
        <f aca="false">+VLOOKUP(K254,'Correl CIIU'!$A$1:$F$26,2,FALSE())</f>
        <v>Construcción</v>
      </c>
      <c r="M254" s="18" t="str">
        <f aca="false">+VLOOKUP(K254,'Correl CIIU'!$A$1:$F$26,3,FALSE())</f>
        <v>Construcción</v>
      </c>
      <c r="N254" s="18" t="str">
        <f aca="false">+VLOOKUP(K254,'Correl CIIU'!$A$1:$F$26,4,FALSE())</f>
        <v>Construction</v>
      </c>
      <c r="O254" s="18" t="n">
        <v>3</v>
      </c>
      <c r="P254" s="19" t="str">
        <f aca="false">+VLOOKUP(O254,bio!$A$2:$B$4,2,FALSE())</f>
        <v>No bioeconomía</v>
      </c>
    </row>
    <row r="255" customFormat="false" ht="14.25" hidden="false" customHeight="false" outlineLevel="0" collapsed="false">
      <c r="A255" s="29" t="s">
        <v>1298</v>
      </c>
      <c r="B255" s="1" t="s">
        <v>1430</v>
      </c>
      <c r="C255" s="1" t="s">
        <v>1614</v>
      </c>
      <c r="D255" s="1" t="s">
        <v>1705</v>
      </c>
      <c r="E255" s="1" t="s">
        <v>1705</v>
      </c>
      <c r="F255" s="1" t="n">
        <v>1</v>
      </c>
      <c r="G255" s="1" t="s">
        <v>1616</v>
      </c>
      <c r="H255" s="1" t="s">
        <v>1617</v>
      </c>
      <c r="I255" s="1" t="s">
        <v>1521</v>
      </c>
      <c r="J255" s="1" t="s">
        <v>1522</v>
      </c>
      <c r="K255" s="18" t="s">
        <v>1523</v>
      </c>
      <c r="L255" s="18" t="str">
        <f aca="false">+VLOOKUP(K255,'Correl CIIU'!$A$1:$F$26,2,FALSE())</f>
        <v>Comercio al por mayor y al por menor; reparación de vehículos automotores y motocicletas</v>
      </c>
      <c r="M255" s="18" t="str">
        <f aca="false">+VLOOKUP(K255,'Correl CIIU'!$A$1:$F$26,3,FALSE())</f>
        <v>Comercio</v>
      </c>
      <c r="N255" s="18" t="str">
        <f aca="false">+VLOOKUP(K255,'Correl CIIU'!$A$1:$F$26,4,FALSE())</f>
        <v>Wholesale and retail trade; repair of motor vehicles and motorcycles</v>
      </c>
      <c r="O255" s="18" t="n">
        <v>3</v>
      </c>
      <c r="P255" s="19" t="str">
        <f aca="false">+VLOOKUP(O255,bio!$A$2:$B$4,2,FALSE())</f>
        <v>No bioeconomía</v>
      </c>
    </row>
    <row r="256" customFormat="false" ht="14.25" hidden="false" customHeight="false" outlineLevel="0" collapsed="false">
      <c r="A256" s="29" t="s">
        <v>1300</v>
      </c>
      <c r="B256" s="1" t="s">
        <v>1430</v>
      </c>
      <c r="C256" s="1" t="s">
        <v>1614</v>
      </c>
      <c r="D256" s="1" t="s">
        <v>1705</v>
      </c>
      <c r="E256" s="1" t="s">
        <v>1705</v>
      </c>
      <c r="F256" s="1" t="n">
        <v>1</v>
      </c>
      <c r="G256" s="1" t="s">
        <v>1616</v>
      </c>
      <c r="H256" s="1" t="s">
        <v>1617</v>
      </c>
      <c r="I256" s="1" t="s">
        <v>1524</v>
      </c>
      <c r="J256" s="1" t="s">
        <v>1525</v>
      </c>
      <c r="K256" s="18" t="s">
        <v>1523</v>
      </c>
      <c r="L256" s="18" t="str">
        <f aca="false">+VLOOKUP(K256,'Correl CIIU'!$A$1:$F$26,2,FALSE())</f>
        <v>Comercio al por mayor y al por menor; reparación de vehículos automotores y motocicletas</v>
      </c>
      <c r="M256" s="18" t="str">
        <f aca="false">+VLOOKUP(K256,'Correl CIIU'!$A$1:$F$26,3,FALSE())</f>
        <v>Comercio</v>
      </c>
      <c r="N256" s="18" t="str">
        <f aca="false">+VLOOKUP(K256,'Correl CIIU'!$A$1:$F$26,4,FALSE())</f>
        <v>Wholesale and retail trade; repair of motor vehicles and motorcycles</v>
      </c>
      <c r="O256" s="18" t="n">
        <v>3</v>
      </c>
      <c r="P256" s="19" t="str">
        <f aca="false">+VLOOKUP(O256,bio!$A$2:$B$4,2,FALSE())</f>
        <v>No bioeconomía</v>
      </c>
    </row>
    <row r="257" customFormat="false" ht="14.25" hidden="false" customHeight="false" outlineLevel="0" collapsed="false">
      <c r="A257" s="29" t="s">
        <v>1302</v>
      </c>
      <c r="B257" s="1" t="s">
        <v>1430</v>
      </c>
      <c r="C257" s="1" t="s">
        <v>1614</v>
      </c>
      <c r="D257" s="1" t="s">
        <v>1705</v>
      </c>
      <c r="E257" s="1" t="s">
        <v>1705</v>
      </c>
      <c r="F257" s="1" t="n">
        <v>1</v>
      </c>
      <c r="G257" s="1" t="s">
        <v>1616</v>
      </c>
      <c r="H257" s="1" t="s">
        <v>1617</v>
      </c>
      <c r="I257" s="1" t="s">
        <v>1526</v>
      </c>
      <c r="J257" s="1" t="s">
        <v>1527</v>
      </c>
      <c r="K257" s="18" t="s">
        <v>1523</v>
      </c>
      <c r="L257" s="18" t="str">
        <f aca="false">+VLOOKUP(K257,'Correl CIIU'!$A$1:$F$26,2,FALSE())</f>
        <v>Comercio al por mayor y al por menor; reparación de vehículos automotores y motocicletas</v>
      </c>
      <c r="M257" s="18" t="str">
        <f aca="false">+VLOOKUP(K257,'Correl CIIU'!$A$1:$F$26,3,FALSE())</f>
        <v>Comercio</v>
      </c>
      <c r="N257" s="18" t="str">
        <f aca="false">+VLOOKUP(K257,'Correl CIIU'!$A$1:$F$26,4,FALSE())</f>
        <v>Wholesale and retail trade; repair of motor vehicles and motorcycles</v>
      </c>
      <c r="O257" s="18" t="n">
        <v>3</v>
      </c>
      <c r="P257" s="19" t="str">
        <f aca="false">+VLOOKUP(O257,bio!$A$2:$B$4,2,FALSE())</f>
        <v>No bioeconomía</v>
      </c>
    </row>
    <row r="258" customFormat="false" ht="14.25" hidden="false" customHeight="false" outlineLevel="0" collapsed="false">
      <c r="A258" s="29" t="s">
        <v>1304</v>
      </c>
      <c r="B258" s="1" t="s">
        <v>1430</v>
      </c>
      <c r="C258" s="1" t="s">
        <v>1614</v>
      </c>
      <c r="D258" s="1" t="s">
        <v>1705</v>
      </c>
      <c r="E258" s="1" t="s">
        <v>1705</v>
      </c>
      <c r="F258" s="1" t="n">
        <v>1</v>
      </c>
      <c r="G258" s="1" t="s">
        <v>1616</v>
      </c>
      <c r="H258" s="1" t="s">
        <v>1617</v>
      </c>
      <c r="I258" s="1" t="s">
        <v>1528</v>
      </c>
      <c r="J258" s="1" t="s">
        <v>1529</v>
      </c>
      <c r="K258" s="18" t="s">
        <v>1530</v>
      </c>
      <c r="L258" s="18" t="str">
        <f aca="false">+VLOOKUP(K258,'Correl CIIU'!$A$1:$F$26,2,FALSE())</f>
        <v>Transporte y almacenamiento</v>
      </c>
      <c r="M258" s="18" t="str">
        <f aca="false">+VLOOKUP(K258,'Correl CIIU'!$A$1:$F$26,3,FALSE())</f>
        <v>Transporte y almacenamiento</v>
      </c>
      <c r="N258" s="18" t="str">
        <f aca="false">+VLOOKUP(K258,'Correl CIIU'!$A$1:$F$26,4,FALSE())</f>
        <v>Transportation and storage</v>
      </c>
      <c r="O258" s="18" t="n">
        <v>3</v>
      </c>
      <c r="P258" s="19" t="str">
        <f aca="false">+VLOOKUP(O258,bio!$A$2:$B$4,2,FALSE())</f>
        <v>No bioeconomía</v>
      </c>
    </row>
    <row r="259" customFormat="false" ht="14.25" hidden="false" customHeight="false" outlineLevel="0" collapsed="false">
      <c r="A259" s="29" t="s">
        <v>1306</v>
      </c>
      <c r="B259" s="1" t="s">
        <v>1430</v>
      </c>
      <c r="C259" s="1" t="s">
        <v>1614</v>
      </c>
      <c r="D259" s="1" t="s">
        <v>1705</v>
      </c>
      <c r="E259" s="1" t="s">
        <v>1705</v>
      </c>
      <c r="F259" s="1" t="n">
        <v>1</v>
      </c>
      <c r="G259" s="1" t="s">
        <v>1616</v>
      </c>
      <c r="H259" s="1" t="s">
        <v>1617</v>
      </c>
      <c r="I259" s="1" t="s">
        <v>1531</v>
      </c>
      <c r="J259" s="1" t="s">
        <v>1532</v>
      </c>
      <c r="K259" s="18" t="s">
        <v>1530</v>
      </c>
      <c r="L259" s="18" t="str">
        <f aca="false">+VLOOKUP(K259,'Correl CIIU'!$A$1:$F$26,2,FALSE())</f>
        <v>Transporte y almacenamiento</v>
      </c>
      <c r="M259" s="18" t="str">
        <f aca="false">+VLOOKUP(K259,'Correl CIIU'!$A$1:$F$26,3,FALSE())</f>
        <v>Transporte y almacenamiento</v>
      </c>
      <c r="N259" s="18" t="str">
        <f aca="false">+VLOOKUP(K259,'Correl CIIU'!$A$1:$F$26,4,FALSE())</f>
        <v>Transportation and storage</v>
      </c>
      <c r="O259" s="18" t="n">
        <v>3</v>
      </c>
      <c r="P259" s="19" t="str">
        <f aca="false">+VLOOKUP(O259,bio!$A$2:$B$4,2,FALSE())</f>
        <v>No bioeconomía</v>
      </c>
    </row>
    <row r="260" customFormat="false" ht="14.25" hidden="false" customHeight="false" outlineLevel="0" collapsed="false">
      <c r="A260" s="29" t="s">
        <v>1308</v>
      </c>
      <c r="B260" s="1" t="s">
        <v>1430</v>
      </c>
      <c r="C260" s="1" t="s">
        <v>1614</v>
      </c>
      <c r="D260" s="1" t="s">
        <v>1705</v>
      </c>
      <c r="E260" s="1" t="s">
        <v>1705</v>
      </c>
      <c r="F260" s="1" t="n">
        <v>1</v>
      </c>
      <c r="G260" s="1" t="s">
        <v>1616</v>
      </c>
      <c r="H260" s="1" t="s">
        <v>1617</v>
      </c>
      <c r="I260" s="1" t="n">
        <v>39.2</v>
      </c>
      <c r="J260" s="1" t="s">
        <v>1533</v>
      </c>
      <c r="K260" s="18" t="s">
        <v>1530</v>
      </c>
      <c r="L260" s="18" t="str">
        <f aca="false">+VLOOKUP(K260,'Correl CIIU'!$A$1:$F$26,2,FALSE())</f>
        <v>Transporte y almacenamiento</v>
      </c>
      <c r="M260" s="18" t="str">
        <f aca="false">+VLOOKUP(K260,'Correl CIIU'!$A$1:$F$26,3,FALSE())</f>
        <v>Transporte y almacenamiento</v>
      </c>
      <c r="N260" s="18" t="str">
        <f aca="false">+VLOOKUP(K260,'Correl CIIU'!$A$1:$F$26,4,FALSE())</f>
        <v>Transportation and storage</v>
      </c>
      <c r="O260" s="18" t="n">
        <v>3</v>
      </c>
      <c r="P260" s="19" t="str">
        <f aca="false">+VLOOKUP(O260,bio!$A$2:$B$4,2,FALSE())</f>
        <v>No bioeconomía</v>
      </c>
    </row>
    <row r="261" customFormat="false" ht="14.25" hidden="false" customHeight="false" outlineLevel="0" collapsed="false">
      <c r="A261" s="29" t="s">
        <v>1310</v>
      </c>
      <c r="B261" s="1" t="s">
        <v>1430</v>
      </c>
      <c r="C261" s="1" t="s">
        <v>1614</v>
      </c>
      <c r="D261" s="1" t="s">
        <v>1705</v>
      </c>
      <c r="E261" s="1" t="s">
        <v>1705</v>
      </c>
      <c r="F261" s="1" t="n">
        <v>1</v>
      </c>
      <c r="G261" s="1" t="s">
        <v>1616</v>
      </c>
      <c r="H261" s="1" t="s">
        <v>1617</v>
      </c>
      <c r="I261" s="1" t="s">
        <v>1534</v>
      </c>
      <c r="J261" s="1" t="s">
        <v>1535</v>
      </c>
      <c r="K261" s="18" t="s">
        <v>1530</v>
      </c>
      <c r="L261" s="18" t="str">
        <f aca="false">+VLOOKUP(K261,'Correl CIIU'!$A$1:$F$26,2,FALSE())</f>
        <v>Transporte y almacenamiento</v>
      </c>
      <c r="M261" s="18" t="str">
        <f aca="false">+VLOOKUP(K261,'Correl CIIU'!$A$1:$F$26,3,FALSE())</f>
        <v>Transporte y almacenamiento</v>
      </c>
      <c r="N261" s="18" t="str">
        <f aca="false">+VLOOKUP(K261,'Correl CIIU'!$A$1:$F$26,4,FALSE())</f>
        <v>Transportation and storage</v>
      </c>
      <c r="O261" s="18" t="n">
        <v>3</v>
      </c>
      <c r="P261" s="19" t="str">
        <f aca="false">+VLOOKUP(O261,bio!$A$2:$B$4,2,FALSE())</f>
        <v>No bioeconomía</v>
      </c>
    </row>
    <row r="262" customFormat="false" ht="14.25" hidden="false" customHeight="false" outlineLevel="0" collapsed="false">
      <c r="A262" s="29" t="s">
        <v>1312</v>
      </c>
      <c r="B262" s="1" t="s">
        <v>1430</v>
      </c>
      <c r="C262" s="1" t="s">
        <v>1614</v>
      </c>
      <c r="D262" s="1" t="s">
        <v>1705</v>
      </c>
      <c r="E262" s="1" t="s">
        <v>1705</v>
      </c>
      <c r="F262" s="1" t="n">
        <v>1</v>
      </c>
      <c r="G262" s="1" t="s">
        <v>1616</v>
      </c>
      <c r="H262" s="1" t="s">
        <v>1617</v>
      </c>
      <c r="I262" s="1" t="s">
        <v>1536</v>
      </c>
      <c r="J262" s="1" t="s">
        <v>1537</v>
      </c>
      <c r="K262" s="18" t="s">
        <v>1530</v>
      </c>
      <c r="L262" s="18" t="str">
        <f aca="false">+VLOOKUP(K262,'Correl CIIU'!$A$1:$F$26,2,FALSE())</f>
        <v>Transporte y almacenamiento</v>
      </c>
      <c r="M262" s="18" t="str">
        <f aca="false">+VLOOKUP(K262,'Correl CIIU'!$A$1:$F$26,3,FALSE())</f>
        <v>Transporte y almacenamiento</v>
      </c>
      <c r="N262" s="18" t="str">
        <f aca="false">+VLOOKUP(K262,'Correl CIIU'!$A$1:$F$26,4,FALSE())</f>
        <v>Transportation and storage</v>
      </c>
      <c r="O262" s="18" t="n">
        <v>3</v>
      </c>
      <c r="P262" s="19" t="str">
        <f aca="false">+VLOOKUP(O262,bio!$A$2:$B$4,2,FALSE())</f>
        <v>No bioeconomía</v>
      </c>
    </row>
    <row r="263" customFormat="false" ht="14.25" hidden="false" customHeight="false" outlineLevel="0" collapsed="false">
      <c r="A263" s="29" t="s">
        <v>1314</v>
      </c>
      <c r="B263" s="1" t="s">
        <v>1430</v>
      </c>
      <c r="C263" s="1" t="s">
        <v>1614</v>
      </c>
      <c r="D263" s="1" t="s">
        <v>1705</v>
      </c>
      <c r="E263" s="1" t="s">
        <v>1705</v>
      </c>
      <c r="F263" s="1" t="n">
        <v>1</v>
      </c>
      <c r="G263" s="1" t="s">
        <v>1616</v>
      </c>
      <c r="H263" s="1" t="s">
        <v>1617</v>
      </c>
      <c r="I263" s="1" t="s">
        <v>1538</v>
      </c>
      <c r="J263" s="1" t="s">
        <v>1539</v>
      </c>
      <c r="K263" s="18" t="s">
        <v>1530</v>
      </c>
      <c r="L263" s="18" t="str">
        <f aca="false">+VLOOKUP(K263,'Correl CIIU'!$A$1:$F$26,2,FALSE())</f>
        <v>Transporte y almacenamiento</v>
      </c>
      <c r="M263" s="18" t="str">
        <f aca="false">+VLOOKUP(K263,'Correl CIIU'!$A$1:$F$26,3,FALSE())</f>
        <v>Transporte y almacenamiento</v>
      </c>
      <c r="N263" s="18" t="str">
        <f aca="false">+VLOOKUP(K263,'Correl CIIU'!$A$1:$F$26,4,FALSE())</f>
        <v>Transportation and storage</v>
      </c>
      <c r="O263" s="18" t="n">
        <v>3</v>
      </c>
      <c r="P263" s="19" t="str">
        <f aca="false">+VLOOKUP(O263,bio!$A$2:$B$4,2,FALSE())</f>
        <v>No bioeconomía</v>
      </c>
    </row>
    <row r="264" customFormat="false" ht="14.25" hidden="false" customHeight="false" outlineLevel="0" collapsed="false">
      <c r="A264" s="29" t="s">
        <v>1316</v>
      </c>
      <c r="B264" s="1" t="s">
        <v>1430</v>
      </c>
      <c r="C264" s="1" t="s">
        <v>1614</v>
      </c>
      <c r="D264" s="1" t="s">
        <v>1705</v>
      </c>
      <c r="E264" s="1" t="s">
        <v>1705</v>
      </c>
      <c r="F264" s="1" t="n">
        <v>1</v>
      </c>
      <c r="G264" s="1" t="s">
        <v>1616</v>
      </c>
      <c r="H264" s="1" t="s">
        <v>1617</v>
      </c>
      <c r="I264" s="1" t="s">
        <v>1540</v>
      </c>
      <c r="J264" s="1" t="s">
        <v>1541</v>
      </c>
      <c r="K264" s="18" t="s">
        <v>1530</v>
      </c>
      <c r="L264" s="18" t="str">
        <f aca="false">+VLOOKUP(K264,'Correl CIIU'!$A$1:$F$26,2,FALSE())</f>
        <v>Transporte y almacenamiento</v>
      </c>
      <c r="M264" s="18" t="str">
        <f aca="false">+VLOOKUP(K264,'Correl CIIU'!$A$1:$F$26,3,FALSE())</f>
        <v>Transporte y almacenamiento</v>
      </c>
      <c r="N264" s="18" t="str">
        <f aca="false">+VLOOKUP(K264,'Correl CIIU'!$A$1:$F$26,4,FALSE())</f>
        <v>Transportation and storage</v>
      </c>
      <c r="O264" s="18" t="n">
        <v>3</v>
      </c>
      <c r="P264" s="19" t="str">
        <f aca="false">+VLOOKUP(O264,bio!$A$2:$B$4,2,FALSE())</f>
        <v>No bioeconomía</v>
      </c>
    </row>
    <row r="265" customFormat="false" ht="14.25" hidden="false" customHeight="false" outlineLevel="0" collapsed="false">
      <c r="A265" s="29" t="s">
        <v>1318</v>
      </c>
      <c r="B265" s="1" t="s">
        <v>1430</v>
      </c>
      <c r="C265" s="1" t="s">
        <v>1614</v>
      </c>
      <c r="D265" s="1" t="s">
        <v>1705</v>
      </c>
      <c r="E265" s="1" t="s">
        <v>1705</v>
      </c>
      <c r="F265" s="1" t="n">
        <v>1</v>
      </c>
      <c r="G265" s="1" t="s">
        <v>1616</v>
      </c>
      <c r="H265" s="1" t="s">
        <v>1617</v>
      </c>
      <c r="I265" s="1" t="s">
        <v>1542</v>
      </c>
      <c r="J265" s="1" t="s">
        <v>1543</v>
      </c>
      <c r="K265" s="18" t="s">
        <v>1530</v>
      </c>
      <c r="L265" s="18" t="str">
        <f aca="false">+VLOOKUP(K265,'Correl CIIU'!$A$1:$F$26,2,FALSE())</f>
        <v>Transporte y almacenamiento</v>
      </c>
      <c r="M265" s="18" t="str">
        <f aca="false">+VLOOKUP(K265,'Correl CIIU'!$A$1:$F$26,3,FALSE())</f>
        <v>Transporte y almacenamiento</v>
      </c>
      <c r="N265" s="18" t="str">
        <f aca="false">+VLOOKUP(K265,'Correl CIIU'!$A$1:$F$26,4,FALSE())</f>
        <v>Transportation and storage</v>
      </c>
      <c r="O265" s="18" t="n">
        <v>3</v>
      </c>
      <c r="P265" s="19" t="str">
        <f aca="false">+VLOOKUP(O265,bio!$A$2:$B$4,2,FALSE())</f>
        <v>No bioeconomía</v>
      </c>
    </row>
    <row r="266" customFormat="false" ht="14.25" hidden="false" customHeight="false" outlineLevel="0" collapsed="false">
      <c r="A266" s="29" t="s">
        <v>1320</v>
      </c>
      <c r="B266" s="1" t="s">
        <v>1430</v>
      </c>
      <c r="C266" s="1" t="s">
        <v>1614</v>
      </c>
      <c r="D266" s="1" t="s">
        <v>1705</v>
      </c>
      <c r="E266" s="1" t="s">
        <v>1705</v>
      </c>
      <c r="F266" s="1" t="n">
        <v>1</v>
      </c>
      <c r="G266" s="1" t="s">
        <v>1616</v>
      </c>
      <c r="H266" s="1" t="s">
        <v>1617</v>
      </c>
      <c r="I266" s="1" t="s">
        <v>1544</v>
      </c>
      <c r="J266" s="1" t="s">
        <v>1545</v>
      </c>
      <c r="K266" s="18" t="s">
        <v>1530</v>
      </c>
      <c r="L266" s="18" t="str">
        <f aca="false">+VLOOKUP(K266,'Correl CIIU'!$A$1:$F$26,2,FALSE())</f>
        <v>Transporte y almacenamiento</v>
      </c>
      <c r="M266" s="18" t="str">
        <f aca="false">+VLOOKUP(K266,'Correl CIIU'!$A$1:$F$26,3,FALSE())</f>
        <v>Transporte y almacenamiento</v>
      </c>
      <c r="N266" s="18" t="str">
        <f aca="false">+VLOOKUP(K266,'Correl CIIU'!$A$1:$F$26,4,FALSE())</f>
        <v>Transportation and storage</v>
      </c>
      <c r="O266" s="18" t="n">
        <v>3</v>
      </c>
      <c r="P266" s="19" t="str">
        <f aca="false">+VLOOKUP(O266,bio!$A$2:$B$4,2,FALSE())</f>
        <v>No bioeconomía</v>
      </c>
    </row>
    <row r="267" customFormat="false" ht="14.25" hidden="false" customHeight="false" outlineLevel="0" collapsed="false">
      <c r="A267" s="29" t="s">
        <v>1322</v>
      </c>
      <c r="B267" s="1" t="s">
        <v>1430</v>
      </c>
      <c r="C267" s="1" t="s">
        <v>1614</v>
      </c>
      <c r="D267" s="1" t="s">
        <v>1705</v>
      </c>
      <c r="E267" s="1" t="s">
        <v>1705</v>
      </c>
      <c r="F267" s="1" t="n">
        <v>1</v>
      </c>
      <c r="G267" s="1" t="s">
        <v>1616</v>
      </c>
      <c r="H267" s="1" t="s">
        <v>1617</v>
      </c>
      <c r="I267" s="1" t="s">
        <v>1546</v>
      </c>
      <c r="J267" s="1" t="s">
        <v>1547</v>
      </c>
      <c r="K267" s="20" t="s">
        <v>1548</v>
      </c>
      <c r="L267" s="20" t="s">
        <v>1549</v>
      </c>
      <c r="M267" s="20" t="s">
        <v>1549</v>
      </c>
      <c r="N267" s="20" t="s">
        <v>1550</v>
      </c>
      <c r="O267" s="18" t="n">
        <v>3</v>
      </c>
      <c r="P267" s="19" t="str">
        <f aca="false">+VLOOKUP(O267,bio!$A$2:$B$4,2,FALSE())</f>
        <v>No bioeconomía</v>
      </c>
    </row>
    <row r="268" customFormat="false" ht="14.25" hidden="false" customHeight="false" outlineLevel="0" collapsed="false">
      <c r="A268" s="29" t="s">
        <v>1324</v>
      </c>
      <c r="B268" s="1" t="s">
        <v>1430</v>
      </c>
      <c r="C268" s="1" t="s">
        <v>1614</v>
      </c>
      <c r="D268" s="1" t="s">
        <v>1705</v>
      </c>
      <c r="E268" s="1" t="s">
        <v>1705</v>
      </c>
      <c r="F268" s="1" t="n">
        <v>1</v>
      </c>
      <c r="G268" s="1" t="s">
        <v>1616</v>
      </c>
      <c r="H268" s="1" t="s">
        <v>1617</v>
      </c>
      <c r="I268" s="1" t="s">
        <v>1551</v>
      </c>
      <c r="J268" s="1" t="s">
        <v>1552</v>
      </c>
      <c r="K268" s="18" t="s">
        <v>1553</v>
      </c>
      <c r="L268" s="18" t="str">
        <f aca="false">+VLOOKUP(K268,'Correl CIIU'!$A$1:$F$26,2,FALSE())</f>
        <v>Actividades de alojamiento y de servicio de comidas</v>
      </c>
      <c r="M268" s="18" t="str">
        <f aca="false">+VLOOKUP(K268,'Correl CIIU'!$A$1:$F$26,3,FALSE())</f>
        <v>Alojamiento y alimentación</v>
      </c>
      <c r="N268" s="18" t="str">
        <f aca="false">+VLOOKUP(K268,'Correl CIIU'!$A$1:$F$26,4,FALSE())</f>
        <v>Accommodation and food service activities</v>
      </c>
      <c r="O268" s="18" t="n">
        <v>3</v>
      </c>
      <c r="P268" s="19" t="str">
        <f aca="false">+VLOOKUP(O268,bio!$A$2:$B$4,2,FALSE())</f>
        <v>No bioeconomía</v>
      </c>
    </row>
    <row r="269" customFormat="false" ht="14.25" hidden="false" customHeight="false" outlineLevel="0" collapsed="false">
      <c r="A269" s="29" t="s">
        <v>1326</v>
      </c>
      <c r="B269" s="1" t="s">
        <v>1430</v>
      </c>
      <c r="C269" s="1" t="s">
        <v>1614</v>
      </c>
      <c r="D269" s="1" t="s">
        <v>1705</v>
      </c>
      <c r="E269" s="1" t="s">
        <v>1705</v>
      </c>
      <c r="F269" s="1" t="n">
        <v>1</v>
      </c>
      <c r="G269" s="1" t="s">
        <v>1616</v>
      </c>
      <c r="H269" s="1" t="s">
        <v>1617</v>
      </c>
      <c r="I269" s="1" t="s">
        <v>1554</v>
      </c>
      <c r="J269" s="1" t="s">
        <v>1555</v>
      </c>
      <c r="K269" s="18" t="s">
        <v>1553</v>
      </c>
      <c r="L269" s="18" t="str">
        <f aca="false">+VLOOKUP(K269,'Correl CIIU'!$A$1:$F$26,2,FALSE())</f>
        <v>Actividades de alojamiento y de servicio de comidas</v>
      </c>
      <c r="M269" s="18" t="str">
        <f aca="false">+VLOOKUP(K269,'Correl CIIU'!$A$1:$F$26,3,FALSE())</f>
        <v>Alojamiento y alimentación</v>
      </c>
      <c r="N269" s="18" t="str">
        <f aca="false">+VLOOKUP(K269,'Correl CIIU'!$A$1:$F$26,4,FALSE())</f>
        <v>Accommodation and food service activities</v>
      </c>
      <c r="O269" s="18" t="n">
        <v>2</v>
      </c>
      <c r="P269" s="19" t="str">
        <f aca="false">+VLOOKUP(O269,bio!$A$2:$B$4,2,FALSE())</f>
        <v>Bioeconomía extendida</v>
      </c>
    </row>
    <row r="270" customFormat="false" ht="14.25" hidden="false" customHeight="false" outlineLevel="0" collapsed="false">
      <c r="A270" s="29" t="s">
        <v>1328</v>
      </c>
      <c r="B270" s="1" t="s">
        <v>1430</v>
      </c>
      <c r="C270" s="1" t="s">
        <v>1614</v>
      </c>
      <c r="D270" s="1" t="s">
        <v>1705</v>
      </c>
      <c r="E270" s="1" t="s">
        <v>1705</v>
      </c>
      <c r="F270" s="1" t="n">
        <v>1</v>
      </c>
      <c r="G270" s="1" t="s">
        <v>1616</v>
      </c>
      <c r="H270" s="1" t="s">
        <v>1617</v>
      </c>
      <c r="I270" s="1" t="s">
        <v>1556</v>
      </c>
      <c r="J270" s="1" t="s">
        <v>1557</v>
      </c>
      <c r="K270" s="20" t="s">
        <v>1548</v>
      </c>
      <c r="L270" s="20" t="s">
        <v>1549</v>
      </c>
      <c r="M270" s="20" t="s">
        <v>1549</v>
      </c>
      <c r="N270" s="20" t="s">
        <v>1550</v>
      </c>
      <c r="O270" s="18" t="n">
        <v>3</v>
      </c>
      <c r="P270" s="19" t="str">
        <f aca="false">+VLOOKUP(O270,bio!$A$2:$B$4,2,FALSE())</f>
        <v>No bioeconomía</v>
      </c>
    </row>
    <row r="271" customFormat="false" ht="14.25" hidden="false" customHeight="false" outlineLevel="0" collapsed="false">
      <c r="A271" s="29" t="s">
        <v>1330</v>
      </c>
      <c r="B271" s="1" t="s">
        <v>1430</v>
      </c>
      <c r="C271" s="1" t="s">
        <v>1614</v>
      </c>
      <c r="D271" s="1" t="s">
        <v>1705</v>
      </c>
      <c r="E271" s="1" t="s">
        <v>1705</v>
      </c>
      <c r="F271" s="1" t="n">
        <v>1</v>
      </c>
      <c r="G271" s="1" t="s">
        <v>1616</v>
      </c>
      <c r="H271" s="1" t="s">
        <v>1617</v>
      </c>
      <c r="I271" s="1" t="s">
        <v>1558</v>
      </c>
      <c r="J271" s="1" t="s">
        <v>1559</v>
      </c>
      <c r="K271" s="18" t="s">
        <v>1548</v>
      </c>
      <c r="L271" s="18" t="str">
        <f aca="false">+VLOOKUP(K271,'Correl CIIU'!$A$1:$F$26,2,FALSE())</f>
        <v>Información y comunicaciones</v>
      </c>
      <c r="M271" s="18" t="str">
        <f aca="false">+VLOOKUP(K271,'Correl CIIU'!$A$1:$F$26,3,FALSE())</f>
        <v>Información y comunicaciones</v>
      </c>
      <c r="N271" s="18" t="str">
        <f aca="false">+VLOOKUP(K271,'Correl CIIU'!$A$1:$F$26,4,FALSE())</f>
        <v>Information and communication</v>
      </c>
      <c r="O271" s="18" t="n">
        <v>3</v>
      </c>
      <c r="P271" s="19" t="str">
        <f aca="false">+VLOOKUP(O271,bio!$A$2:$B$4,2,FALSE())</f>
        <v>No bioeconomía</v>
      </c>
    </row>
    <row r="272" customFormat="false" ht="14.25" hidden="false" customHeight="false" outlineLevel="0" collapsed="false">
      <c r="A272" s="29" t="s">
        <v>1332</v>
      </c>
      <c r="B272" s="1" t="s">
        <v>1430</v>
      </c>
      <c r="C272" s="1" t="s">
        <v>1614</v>
      </c>
      <c r="D272" s="1" t="s">
        <v>1705</v>
      </c>
      <c r="E272" s="1" t="s">
        <v>1705</v>
      </c>
      <c r="F272" s="1" t="n">
        <v>1</v>
      </c>
      <c r="G272" s="1" t="s">
        <v>1616</v>
      </c>
      <c r="H272" s="1" t="s">
        <v>1617</v>
      </c>
      <c r="I272" s="1" t="s">
        <v>1560</v>
      </c>
      <c r="J272" s="1" t="s">
        <v>1561</v>
      </c>
      <c r="K272" s="18" t="s">
        <v>1562</v>
      </c>
      <c r="L272" s="18" t="str">
        <f aca="false">+VLOOKUP(K272,'Correl CIIU'!$A$1:$F$26,2,FALSE())</f>
        <v>Actividades financieras y de seguros</v>
      </c>
      <c r="M272" s="18" t="str">
        <f aca="false">+VLOOKUP(K272,'Correl CIIU'!$A$1:$F$26,3,FALSE())</f>
        <v>Finanzas y seguros</v>
      </c>
      <c r="N272" s="18" t="str">
        <f aca="false">+VLOOKUP(K272,'Correl CIIU'!$A$1:$F$26,4,FALSE())</f>
        <v>Financial and insurance activities</v>
      </c>
      <c r="O272" s="18" t="n">
        <v>3</v>
      </c>
      <c r="P272" s="19" t="str">
        <f aca="false">+VLOOKUP(O272,bio!$A$2:$B$4,2,FALSE())</f>
        <v>No bioeconomía</v>
      </c>
    </row>
    <row r="273" customFormat="false" ht="14.25" hidden="false" customHeight="false" outlineLevel="0" collapsed="false">
      <c r="A273" s="29" t="s">
        <v>1334</v>
      </c>
      <c r="B273" s="1" t="s">
        <v>1430</v>
      </c>
      <c r="C273" s="1" t="s">
        <v>1614</v>
      </c>
      <c r="D273" s="1" t="s">
        <v>1705</v>
      </c>
      <c r="E273" s="1" t="s">
        <v>1705</v>
      </c>
      <c r="F273" s="1" t="n">
        <v>2</v>
      </c>
      <c r="G273" s="1" t="s">
        <v>1706</v>
      </c>
      <c r="H273" s="1" t="s">
        <v>1617</v>
      </c>
      <c r="I273" s="1" t="s">
        <v>1563</v>
      </c>
      <c r="J273" s="1" t="s">
        <v>1564</v>
      </c>
      <c r="K273" s="18" t="s">
        <v>1562</v>
      </c>
      <c r="L273" s="18" t="str">
        <f aca="false">+VLOOKUP(K273,'Correl CIIU'!$A$1:$F$26,2,FALSE())</f>
        <v>Actividades financieras y de seguros</v>
      </c>
      <c r="M273" s="18" t="str">
        <f aca="false">+VLOOKUP(K273,'Correl CIIU'!$A$1:$F$26,3,FALSE())</f>
        <v>Finanzas y seguros</v>
      </c>
      <c r="N273" s="18" t="str">
        <f aca="false">+VLOOKUP(K273,'Correl CIIU'!$A$1:$F$26,4,FALSE())</f>
        <v>Financial and insurance activities</v>
      </c>
      <c r="O273" s="18" t="n">
        <v>3</v>
      </c>
      <c r="P273" s="19" t="str">
        <f aca="false">+VLOOKUP(O273,bio!$A$2:$B$4,2,FALSE())</f>
        <v>No bioeconomía</v>
      </c>
    </row>
    <row r="274" customFormat="false" ht="14.25" hidden="false" customHeight="false" outlineLevel="0" collapsed="false">
      <c r="A274" s="29" t="s">
        <v>1336</v>
      </c>
      <c r="B274" s="1" t="s">
        <v>1430</v>
      </c>
      <c r="C274" s="1" t="s">
        <v>1614</v>
      </c>
      <c r="D274" s="1" t="s">
        <v>1705</v>
      </c>
      <c r="E274" s="1" t="s">
        <v>1705</v>
      </c>
      <c r="F274" s="1" t="n">
        <v>3</v>
      </c>
      <c r="G274" s="1" t="s">
        <v>1707</v>
      </c>
      <c r="H274" s="1" t="s">
        <v>1617</v>
      </c>
      <c r="I274" s="1" t="s">
        <v>1565</v>
      </c>
      <c r="J274" s="1" t="s">
        <v>1566</v>
      </c>
      <c r="K274" s="18" t="s">
        <v>1562</v>
      </c>
      <c r="L274" s="18" t="str">
        <f aca="false">+VLOOKUP(K274,'Correl CIIU'!$A$1:$F$26,2,FALSE())</f>
        <v>Actividades financieras y de seguros</v>
      </c>
      <c r="M274" s="18" t="str">
        <f aca="false">+VLOOKUP(K274,'Correl CIIU'!$A$1:$F$26,3,FALSE())</f>
        <v>Finanzas y seguros</v>
      </c>
      <c r="N274" s="18" t="str">
        <f aca="false">+VLOOKUP(K274,'Correl CIIU'!$A$1:$F$26,4,FALSE())</f>
        <v>Financial and insurance activities</v>
      </c>
      <c r="O274" s="18" t="n">
        <v>3</v>
      </c>
      <c r="P274" s="19" t="str">
        <f aca="false">+VLOOKUP(O274,bio!$A$2:$B$4,2,FALSE())</f>
        <v>No bioeconomía</v>
      </c>
    </row>
    <row r="275" customFormat="false" ht="14.25" hidden="false" customHeight="false" outlineLevel="0" collapsed="false">
      <c r="A275" s="29" t="s">
        <v>1338</v>
      </c>
      <c r="B275" s="1" t="s">
        <v>1430</v>
      </c>
      <c r="C275" s="1" t="s">
        <v>1614</v>
      </c>
      <c r="D275" s="1" t="s">
        <v>1705</v>
      </c>
      <c r="E275" s="1" t="s">
        <v>1705</v>
      </c>
      <c r="F275" s="1" t="n">
        <v>4</v>
      </c>
      <c r="G275" s="1" t="s">
        <v>1708</v>
      </c>
      <c r="H275" s="1" t="s">
        <v>1617</v>
      </c>
      <c r="I275" s="1" t="s">
        <v>1567</v>
      </c>
      <c r="J275" s="1" t="s">
        <v>1568</v>
      </c>
      <c r="K275" s="18" t="s">
        <v>1569</v>
      </c>
      <c r="L275" s="18" t="str">
        <f aca="false">+VLOOKUP(K275,'Correl CIIU'!$A$1:$F$26,2,FALSE())</f>
        <v>Actividades inmobiliarias</v>
      </c>
      <c r="M275" s="18" t="str">
        <f aca="false">+VLOOKUP(K275,'Correl CIIU'!$A$1:$F$26,3,FALSE())</f>
        <v>Inmobiliarios</v>
      </c>
      <c r="N275" s="18" t="str">
        <f aca="false">+VLOOKUP(K275,'Correl CIIU'!$A$1:$F$26,4,FALSE())</f>
        <v>Real estate activities</v>
      </c>
      <c r="O275" s="18" t="n">
        <v>3</v>
      </c>
      <c r="P275" s="19" t="str">
        <f aca="false">+VLOOKUP(O275,bio!$A$2:$B$4,2,FALSE())</f>
        <v>No bioeconomía</v>
      </c>
    </row>
    <row r="276" customFormat="false" ht="14.25" hidden="false" customHeight="false" outlineLevel="0" collapsed="false">
      <c r="A276" s="29" t="s">
        <v>1340</v>
      </c>
      <c r="B276" s="1" t="s">
        <v>1430</v>
      </c>
      <c r="C276" s="1" t="s">
        <v>1614</v>
      </c>
      <c r="D276" s="1" t="s">
        <v>1705</v>
      </c>
      <c r="E276" s="1" t="s">
        <v>1705</v>
      </c>
      <c r="F276" s="1" t="n">
        <v>5</v>
      </c>
      <c r="G276" s="1" t="s">
        <v>1709</v>
      </c>
      <c r="H276" s="1" t="s">
        <v>1617</v>
      </c>
      <c r="I276" s="1" t="s">
        <v>1570</v>
      </c>
      <c r="J276" s="1" t="s">
        <v>1571</v>
      </c>
      <c r="K276" s="18" t="s">
        <v>1569</v>
      </c>
      <c r="L276" s="18" t="str">
        <f aca="false">+VLOOKUP(K276,'Correl CIIU'!$A$1:$F$26,2,FALSE())</f>
        <v>Actividades inmobiliarias</v>
      </c>
      <c r="M276" s="18" t="str">
        <f aca="false">+VLOOKUP(K276,'Correl CIIU'!$A$1:$F$26,3,FALSE())</f>
        <v>Inmobiliarios</v>
      </c>
      <c r="N276" s="18" t="str">
        <f aca="false">+VLOOKUP(K276,'Correl CIIU'!$A$1:$F$26,4,FALSE())</f>
        <v>Real estate activities</v>
      </c>
      <c r="O276" s="18" t="n">
        <v>3</v>
      </c>
      <c r="P276" s="19" t="str">
        <f aca="false">+VLOOKUP(O276,bio!$A$2:$B$4,2,FALSE())</f>
        <v>No bioeconomía</v>
      </c>
      <c r="XFD276" s="26"/>
    </row>
    <row r="277" customFormat="false" ht="14.25" hidden="false" customHeight="false" outlineLevel="0" collapsed="false">
      <c r="A277" s="29" t="s">
        <v>1342</v>
      </c>
      <c r="B277" s="1" t="s">
        <v>1430</v>
      </c>
      <c r="C277" s="1" t="s">
        <v>1614</v>
      </c>
      <c r="D277" s="1" t="s">
        <v>1705</v>
      </c>
      <c r="E277" s="1" t="s">
        <v>1705</v>
      </c>
      <c r="F277" s="1" t="n">
        <v>6</v>
      </c>
      <c r="G277" s="1" t="s">
        <v>1675</v>
      </c>
      <c r="H277" s="1" t="s">
        <v>1617</v>
      </c>
      <c r="I277" s="1" t="s">
        <v>1572</v>
      </c>
      <c r="J277" s="1" t="s">
        <v>1573</v>
      </c>
      <c r="K277" s="18" t="s">
        <v>1574</v>
      </c>
      <c r="L277" s="18" t="str">
        <f aca="false">+VLOOKUP(K277,'Correl CIIU'!$A$1:$F$26,2,FALSE())</f>
        <v>Actividades profesionales, científicas y técnicas</v>
      </c>
      <c r="M277" s="18" t="str">
        <f aca="false">+VLOOKUP(K277,'Correl CIIU'!$A$1:$F$26,3,FALSE())</f>
        <v>Servicios profesionales</v>
      </c>
      <c r="N277" s="18" t="str">
        <f aca="false">+VLOOKUP(K277,'Correl CIIU'!$A$1:$F$26,4,FALSE())</f>
        <v>Professional, scientific and technical activities</v>
      </c>
      <c r="O277" s="18" t="n">
        <v>3</v>
      </c>
      <c r="P277" s="19" t="str">
        <f aca="false">+VLOOKUP(O277,bio!$A$2:$B$4,2,FALSE())</f>
        <v>No bioeconomía</v>
      </c>
      <c r="XFD277" s="1"/>
    </row>
    <row r="278" customFormat="false" ht="14.25" hidden="false" customHeight="false" outlineLevel="0" collapsed="false">
      <c r="A278" s="29" t="s">
        <v>1344</v>
      </c>
      <c r="B278" s="1" t="s">
        <v>1430</v>
      </c>
      <c r="C278" s="1" t="s">
        <v>1614</v>
      </c>
      <c r="D278" s="1" t="s">
        <v>1705</v>
      </c>
      <c r="E278" s="1" t="s">
        <v>1705</v>
      </c>
      <c r="F278" s="1" t="n">
        <v>7</v>
      </c>
      <c r="G278" s="1" t="s">
        <v>1710</v>
      </c>
      <c r="H278" s="1" t="s">
        <v>1617</v>
      </c>
      <c r="I278" s="1" t="s">
        <v>1575</v>
      </c>
      <c r="J278" s="1" t="s">
        <v>1576</v>
      </c>
      <c r="K278" s="18" t="s">
        <v>1574</v>
      </c>
      <c r="L278" s="18" t="str">
        <f aca="false">+VLOOKUP(K278,'Correl CIIU'!$A$1:$F$26,2,FALSE())</f>
        <v>Actividades profesionales, científicas y técnicas</v>
      </c>
      <c r="M278" s="18" t="str">
        <f aca="false">+VLOOKUP(K278,'Correl CIIU'!$A$1:$F$26,3,FALSE())</f>
        <v>Servicios profesionales</v>
      </c>
      <c r="N278" s="18" t="str">
        <f aca="false">+VLOOKUP(K278,'Correl CIIU'!$A$1:$F$26,4,FALSE())</f>
        <v>Professional, scientific and technical activities</v>
      </c>
      <c r="O278" s="18" t="n">
        <v>3</v>
      </c>
      <c r="P278" s="19" t="str">
        <f aca="false">+VLOOKUP(O278,bio!$A$2:$B$4,2,FALSE())</f>
        <v>No bioeconomía</v>
      </c>
    </row>
    <row r="279" customFormat="false" ht="14.25" hidden="false" customHeight="false" outlineLevel="0" collapsed="false">
      <c r="A279" s="29" t="s">
        <v>1346</v>
      </c>
      <c r="B279" s="1" t="s">
        <v>1430</v>
      </c>
      <c r="C279" s="1" t="s">
        <v>1614</v>
      </c>
      <c r="D279" s="1" t="s">
        <v>1705</v>
      </c>
      <c r="E279" s="1" t="s">
        <v>1705</v>
      </c>
      <c r="F279" s="1" t="n">
        <v>8</v>
      </c>
      <c r="G279" s="1" t="s">
        <v>1711</v>
      </c>
      <c r="H279" s="1" t="s">
        <v>1617</v>
      </c>
      <c r="I279" s="1" t="s">
        <v>1577</v>
      </c>
      <c r="J279" s="1" t="s">
        <v>1578</v>
      </c>
      <c r="K279" s="18" t="s">
        <v>1574</v>
      </c>
      <c r="L279" s="18" t="str">
        <f aca="false">+VLOOKUP(K279,'Correl CIIU'!$A$1:$F$26,2,FALSE())</f>
        <v>Actividades profesionales, científicas y técnicas</v>
      </c>
      <c r="M279" s="18" t="str">
        <f aca="false">+VLOOKUP(K279,'Correl CIIU'!$A$1:$F$26,3,FALSE())</f>
        <v>Servicios profesionales</v>
      </c>
      <c r="N279" s="18" t="str">
        <f aca="false">+VLOOKUP(K279,'Correl CIIU'!$A$1:$F$26,4,FALSE())</f>
        <v>Professional, scientific and technical activities</v>
      </c>
      <c r="O279" s="18" t="n">
        <v>2</v>
      </c>
      <c r="P279" s="19" t="str">
        <f aca="false">+VLOOKUP(O279,bio!$A$2:$B$4,2,FALSE())</f>
        <v>Bioeconomía extendida</v>
      </c>
    </row>
    <row r="280" customFormat="false" ht="14.25" hidden="false" customHeight="false" outlineLevel="0" collapsed="false">
      <c r="A280" s="29" t="s">
        <v>1348</v>
      </c>
      <c r="B280" s="1" t="s">
        <v>1430</v>
      </c>
      <c r="C280" s="1" t="s">
        <v>1614</v>
      </c>
      <c r="D280" s="1" t="s">
        <v>1705</v>
      </c>
      <c r="E280" s="1" t="s">
        <v>1705</v>
      </c>
      <c r="F280" s="1" t="n">
        <v>9</v>
      </c>
      <c r="G280" s="1" t="s">
        <v>1712</v>
      </c>
      <c r="H280" s="1" t="s">
        <v>1617</v>
      </c>
      <c r="I280" s="1" t="s">
        <v>1579</v>
      </c>
      <c r="J280" s="1" t="s">
        <v>1580</v>
      </c>
      <c r="K280" s="18" t="s">
        <v>1581</v>
      </c>
      <c r="L280" s="18" t="str">
        <f aca="false">+VLOOKUP(K280,'Correl CIIU'!$A$1:$F$26,2,FALSE())</f>
        <v>Actividades de servicios administrativos y de apoyo</v>
      </c>
      <c r="M280" s="18" t="str">
        <f aca="false">+VLOOKUP(K280,'Correl CIIU'!$A$1:$F$26,3,FALSE())</f>
        <v>Servicios administrativos</v>
      </c>
      <c r="N280" s="18" t="str">
        <f aca="false">+VLOOKUP(K280,'Correl CIIU'!$A$1:$F$26,4,FALSE())</f>
        <v>Administrative and support service activities</v>
      </c>
      <c r="O280" s="18" t="n">
        <v>3</v>
      </c>
      <c r="P280" s="19" t="str">
        <f aca="false">+VLOOKUP(O280,bio!$A$2:$B$4,2,FALSE())</f>
        <v>No bioeconomía</v>
      </c>
    </row>
    <row r="281" customFormat="false" ht="14.25" hidden="false" customHeight="false" outlineLevel="0" collapsed="false">
      <c r="A281" s="29" t="s">
        <v>1350</v>
      </c>
      <c r="B281" s="1" t="s">
        <v>1430</v>
      </c>
      <c r="C281" s="1" t="s">
        <v>1614</v>
      </c>
      <c r="D281" s="1" t="s">
        <v>1705</v>
      </c>
      <c r="E281" s="1" t="s">
        <v>1705</v>
      </c>
      <c r="F281" s="1" t="n">
        <v>10</v>
      </c>
      <c r="G281" s="1" t="s">
        <v>1713</v>
      </c>
      <c r="H281" s="1" t="s">
        <v>1617</v>
      </c>
      <c r="I281" s="1" t="s">
        <v>1582</v>
      </c>
      <c r="J281" s="1" t="s">
        <v>1583</v>
      </c>
      <c r="K281" s="18" t="s">
        <v>1574</v>
      </c>
      <c r="L281" s="18" t="str">
        <f aca="false">+VLOOKUP(K281,'Correl CIIU'!$A$1:$F$26,2,FALSE())</f>
        <v>Actividades profesionales, científicas y técnicas</v>
      </c>
      <c r="M281" s="18" t="str">
        <f aca="false">+VLOOKUP(K281,'Correl CIIU'!$A$1:$F$26,3,FALSE())</f>
        <v>Servicios profesionales</v>
      </c>
      <c r="N281" s="18" t="str">
        <f aca="false">+VLOOKUP(K281,'Correl CIIU'!$A$1:$F$26,4,FALSE())</f>
        <v>Professional, scientific and technical activities</v>
      </c>
      <c r="O281" s="18" t="n">
        <v>2</v>
      </c>
      <c r="P281" s="19" t="str">
        <f aca="false">+VLOOKUP(O281,bio!$A$2:$B$4,2,FALSE())</f>
        <v>Bioeconomía extendida</v>
      </c>
    </row>
    <row r="282" customFormat="false" ht="14.25" hidden="false" customHeight="false" outlineLevel="0" collapsed="false">
      <c r="A282" s="29" t="s">
        <v>1352</v>
      </c>
      <c r="B282" s="1" t="s">
        <v>1430</v>
      </c>
      <c r="C282" s="1" t="s">
        <v>1614</v>
      </c>
      <c r="D282" s="1" t="s">
        <v>1705</v>
      </c>
      <c r="E282" s="1" t="s">
        <v>1705</v>
      </c>
      <c r="F282" s="1" t="n">
        <v>11</v>
      </c>
      <c r="G282" s="1" t="s">
        <v>1430</v>
      </c>
      <c r="H282" s="1" t="s">
        <v>1617</v>
      </c>
      <c r="I282" s="1" t="s">
        <v>1584</v>
      </c>
      <c r="J282" s="1" t="s">
        <v>1585</v>
      </c>
      <c r="K282" s="18" t="s">
        <v>1574</v>
      </c>
      <c r="L282" s="18" t="str">
        <f aca="false">+VLOOKUP(K282,'Correl CIIU'!$A$1:$F$26,2,FALSE())</f>
        <v>Actividades profesionales, científicas y técnicas</v>
      </c>
      <c r="M282" s="18" t="str">
        <f aca="false">+VLOOKUP(K282,'Correl CIIU'!$A$1:$F$26,3,FALSE())</f>
        <v>Servicios profesionales</v>
      </c>
      <c r="N282" s="18" t="str">
        <f aca="false">+VLOOKUP(K282,'Correl CIIU'!$A$1:$F$26,4,FALSE())</f>
        <v>Professional, scientific and technical activities</v>
      </c>
      <c r="O282" s="18" t="n">
        <v>3</v>
      </c>
      <c r="P282" s="19" t="str">
        <f aca="false">+VLOOKUP(O282,bio!$A$2:$B$4,2,FALSE())</f>
        <v>No bioeconomía</v>
      </c>
    </row>
    <row r="283" customFormat="false" ht="14.25" hidden="false" customHeight="false" outlineLevel="0" collapsed="false">
      <c r="A283" s="29" t="s">
        <v>1354</v>
      </c>
      <c r="B283" s="1" t="s">
        <v>1430</v>
      </c>
      <c r="C283" s="1" t="s">
        <v>1614</v>
      </c>
      <c r="D283" s="1" t="s">
        <v>1705</v>
      </c>
      <c r="E283" s="1" t="s">
        <v>1705</v>
      </c>
      <c r="F283" s="1" t="n">
        <v>12</v>
      </c>
      <c r="G283" s="1" t="s">
        <v>1598</v>
      </c>
      <c r="H283" s="1" t="s">
        <v>1617</v>
      </c>
      <c r="I283" s="1" t="s">
        <v>1586</v>
      </c>
      <c r="J283" s="1" t="s">
        <v>1587</v>
      </c>
      <c r="K283" s="18" t="s">
        <v>1588</v>
      </c>
      <c r="L283" s="18" t="str">
        <f aca="false">+VLOOKUP(K283,'Correl CIIU'!$A$1:$F$26,2,FALSE())</f>
        <v>Enseñanza</v>
      </c>
      <c r="M283" s="18" t="str">
        <f aca="false">+VLOOKUP(K283,'Correl CIIU'!$A$1:$F$26,3,FALSE())</f>
        <v>Enseñanza</v>
      </c>
      <c r="N283" s="18" t="str">
        <f aca="false">+VLOOKUP(K283,'Correl CIIU'!$A$1:$F$26,4,FALSE())</f>
        <v>Education</v>
      </c>
      <c r="O283" s="18" t="n">
        <v>3</v>
      </c>
      <c r="P283" s="19" t="str">
        <f aca="false">+VLOOKUP(O283,bio!$A$2:$B$4,2,FALSE())</f>
        <v>No bioeconomía</v>
      </c>
    </row>
    <row r="284" customFormat="false" ht="14.25" hidden="false" customHeight="false" outlineLevel="0" collapsed="false">
      <c r="A284" s="29" t="s">
        <v>1356</v>
      </c>
      <c r="B284" s="1" t="s">
        <v>1430</v>
      </c>
      <c r="C284" s="1" t="s">
        <v>1614</v>
      </c>
      <c r="D284" s="1" t="s">
        <v>1705</v>
      </c>
      <c r="E284" s="1" t="s">
        <v>1705</v>
      </c>
      <c r="F284" s="1" t="n">
        <v>13</v>
      </c>
      <c r="G284" s="1" t="s">
        <v>1613</v>
      </c>
      <c r="H284" s="1" t="s">
        <v>1617</v>
      </c>
      <c r="I284" s="1" t="s">
        <v>1589</v>
      </c>
      <c r="J284" s="1" t="s">
        <v>1590</v>
      </c>
      <c r="K284" s="18" t="s">
        <v>1591</v>
      </c>
      <c r="L284" s="18" t="str">
        <f aca="false">+VLOOKUP(K284,'Correl CIIU'!$A$1:$F$26,2,FALSE())</f>
        <v>Actividades de atención de la salud humana y de asistencia social</v>
      </c>
      <c r="M284" s="18" t="str">
        <f aca="false">+VLOOKUP(K284,'Correl CIIU'!$A$1:$F$26,3,FALSE())</f>
        <v>Salud</v>
      </c>
      <c r="N284" s="18" t="str">
        <f aca="false">+VLOOKUP(K284,'Correl CIIU'!$A$1:$F$26,4,FALSE())</f>
        <v>Human health and social work activities</v>
      </c>
      <c r="O284" s="18" t="n">
        <v>3</v>
      </c>
      <c r="P284" s="19" t="str">
        <f aca="false">+VLOOKUP(O284,bio!$A$2:$B$4,2,FALSE())</f>
        <v>No bioeconomía</v>
      </c>
    </row>
    <row r="285" customFormat="false" ht="14.25" hidden="false" customHeight="false" outlineLevel="0" collapsed="false">
      <c r="A285" s="29" t="s">
        <v>1358</v>
      </c>
      <c r="B285" s="1" t="s">
        <v>1430</v>
      </c>
      <c r="C285" s="1" t="s">
        <v>1614</v>
      </c>
      <c r="D285" s="1" t="s">
        <v>1705</v>
      </c>
      <c r="E285" s="1" t="s">
        <v>1705</v>
      </c>
      <c r="F285" s="1" t="n">
        <v>14</v>
      </c>
      <c r="G285" s="1" t="s">
        <v>1714</v>
      </c>
      <c r="H285" s="1" t="s">
        <v>1617</v>
      </c>
      <c r="I285" s="1" t="s">
        <v>1592</v>
      </c>
      <c r="J285" s="1" t="s">
        <v>1593</v>
      </c>
      <c r="K285" s="18" t="s">
        <v>1594</v>
      </c>
      <c r="L285" s="18" t="str">
        <f aca="false">+VLOOKUP(K285,'Correl CIIU'!$A$1:$F$26,2,FALSE())</f>
        <v>Otras actividades de servicios</v>
      </c>
      <c r="M285" s="18" t="str">
        <f aca="false">+VLOOKUP(K285,'Correl CIIU'!$A$1:$F$26,3,FALSE())</f>
        <v>Otros servicios</v>
      </c>
      <c r="N285" s="18" t="str">
        <f aca="false">+VLOOKUP(K285,'Correl CIIU'!$A$1:$F$26,4,FALSE())</f>
        <v>Other service activities</v>
      </c>
      <c r="O285" s="18" t="n">
        <v>3</v>
      </c>
      <c r="P285" s="19" t="str">
        <f aca="false">+VLOOKUP(O285,bio!$A$2:$B$4,2,FALSE())</f>
        <v>No bioeconomía</v>
      </c>
    </row>
    <row r="286" customFormat="false" ht="14.25" hidden="false" customHeight="false" outlineLevel="0" collapsed="false">
      <c r="A286" s="29" t="s">
        <v>1360</v>
      </c>
      <c r="B286" s="1" t="s">
        <v>1430</v>
      </c>
      <c r="C286" s="1" t="s">
        <v>1614</v>
      </c>
      <c r="D286" s="1" t="s">
        <v>1705</v>
      </c>
      <c r="E286" s="1" t="s">
        <v>1705</v>
      </c>
      <c r="F286" s="1" t="n">
        <v>15</v>
      </c>
      <c r="G286" s="1" t="s">
        <v>1715</v>
      </c>
      <c r="H286" s="1" t="s">
        <v>1617</v>
      </c>
      <c r="I286" s="1" t="s">
        <v>1595</v>
      </c>
      <c r="J286" s="1" t="s">
        <v>1596</v>
      </c>
      <c r="K286" s="18" t="s">
        <v>1594</v>
      </c>
      <c r="L286" s="18" t="str">
        <f aca="false">+VLOOKUP(K286,'Correl CIIU'!$A$1:$F$26,2,FALSE())</f>
        <v>Otras actividades de servicios</v>
      </c>
      <c r="M286" s="18" t="str">
        <f aca="false">+VLOOKUP(K286,'Correl CIIU'!$A$1:$F$26,3,FALSE())</f>
        <v>Otros servicios</v>
      </c>
      <c r="N286" s="18" t="str">
        <f aca="false">+VLOOKUP(K286,'Correl CIIU'!$A$1:$F$26,4,FALSE())</f>
        <v>Other service activities</v>
      </c>
      <c r="O286" s="18" t="n">
        <v>3</v>
      </c>
      <c r="P286" s="19" t="str">
        <f aca="false">+VLOOKUP(O286,bio!$A$2:$B$4,2,FALSE())</f>
        <v>No bioeconomía</v>
      </c>
    </row>
    <row r="287" customFormat="false" ht="14.25" hidden="false" customHeight="false" outlineLevel="0" collapsed="false">
      <c r="A287" s="30" t="s">
        <v>1362</v>
      </c>
      <c r="C287" s="24" t="s">
        <v>1631</v>
      </c>
      <c r="D287" s="24" t="s">
        <v>1705</v>
      </c>
      <c r="E287" s="24" t="s">
        <v>1705</v>
      </c>
      <c r="F287" s="24" t="n">
        <v>16</v>
      </c>
      <c r="G287" s="24" t="s">
        <v>1716</v>
      </c>
      <c r="H287" s="24" t="s">
        <v>1617</v>
      </c>
      <c r="I287" s="24"/>
      <c r="J287" s="24" t="s">
        <v>1667</v>
      </c>
      <c r="K287" s="25"/>
      <c r="L287" s="25"/>
      <c r="M287" s="25"/>
      <c r="N287" s="25"/>
      <c r="O287" s="25"/>
      <c r="P287" s="26"/>
    </row>
    <row r="288" customFormat="false" ht="14.25" hidden="false" customHeight="false" outlineLevel="0" collapsed="false">
      <c r="A288" s="29" t="s">
        <v>1364</v>
      </c>
      <c r="B288" s="1" t="s">
        <v>1430</v>
      </c>
      <c r="C288" s="1" t="s">
        <v>1614</v>
      </c>
      <c r="D288" s="1" t="s">
        <v>1705</v>
      </c>
      <c r="E288" s="1" t="s">
        <v>1705</v>
      </c>
      <c r="F288" s="1" t="n">
        <v>17</v>
      </c>
      <c r="G288" s="1" t="s">
        <v>1717</v>
      </c>
      <c r="H288" s="1" t="s">
        <v>1617</v>
      </c>
      <c r="I288" s="1" t="s">
        <v>1599</v>
      </c>
      <c r="J288" s="1" t="s">
        <v>1519</v>
      </c>
      <c r="K288" s="20" t="s">
        <v>1520</v>
      </c>
      <c r="L288" s="20" t="s">
        <v>1600</v>
      </c>
      <c r="M288" s="20" t="s">
        <v>1600</v>
      </c>
      <c r="N288" s="20" t="s">
        <v>1601</v>
      </c>
      <c r="O288" s="20" t="n">
        <v>3</v>
      </c>
      <c r="P288" s="27" t="s">
        <v>1602</v>
      </c>
    </row>
    <row r="289" customFormat="false" ht="14.25" hidden="false" customHeight="false" outlineLevel="0" collapsed="false">
      <c r="A289" s="29" t="s">
        <v>1366</v>
      </c>
      <c r="B289" s="1" t="s">
        <v>1430</v>
      </c>
      <c r="C289" s="1" t="s">
        <v>1614</v>
      </c>
      <c r="D289" s="1" t="s">
        <v>1705</v>
      </c>
      <c r="E289" s="1" t="s">
        <v>1705</v>
      </c>
      <c r="F289" s="1" t="n">
        <v>18</v>
      </c>
      <c r="G289" s="1" t="s">
        <v>1718</v>
      </c>
      <c r="H289" s="1" t="s">
        <v>1617</v>
      </c>
      <c r="I289" s="1" t="s">
        <v>1603</v>
      </c>
      <c r="J289" s="1" t="s">
        <v>1568</v>
      </c>
      <c r="K289" s="20" t="s">
        <v>1569</v>
      </c>
      <c r="L289" s="20" t="s">
        <v>1604</v>
      </c>
      <c r="M289" s="20" t="s">
        <v>1605</v>
      </c>
      <c r="N289" s="20" t="s">
        <v>1606</v>
      </c>
      <c r="O289" s="20" t="n">
        <v>3</v>
      </c>
      <c r="P289" s="27" t="s">
        <v>1602</v>
      </c>
    </row>
    <row r="290" customFormat="false" ht="14.25" hidden="false" customHeight="false" outlineLevel="0" collapsed="false">
      <c r="A290" s="29" t="s">
        <v>1368</v>
      </c>
      <c r="B290" s="1" t="s">
        <v>1430</v>
      </c>
      <c r="C290" s="1" t="s">
        <v>1614</v>
      </c>
      <c r="D290" s="1" t="s">
        <v>1705</v>
      </c>
      <c r="E290" s="1" t="s">
        <v>1705</v>
      </c>
      <c r="F290" s="1" t="n">
        <v>19</v>
      </c>
      <c r="G290" s="1" t="s">
        <v>1719</v>
      </c>
      <c r="H290" s="1" t="s">
        <v>1617</v>
      </c>
      <c r="I290" s="1" t="n">
        <v>49.1</v>
      </c>
      <c r="J290" s="1" t="s">
        <v>1607</v>
      </c>
      <c r="K290" s="20" t="s">
        <v>1608</v>
      </c>
      <c r="L290" s="20" t="s">
        <v>1609</v>
      </c>
      <c r="M290" s="20" t="s">
        <v>1610</v>
      </c>
      <c r="N290" s="20" t="s">
        <v>1611</v>
      </c>
      <c r="O290" s="20" t="n">
        <v>3</v>
      </c>
      <c r="P290" s="27" t="s">
        <v>1602</v>
      </c>
    </row>
    <row r="291" s="24" customFormat="true" ht="14.25" hidden="false" customHeight="false" outlineLevel="0" collapsed="false">
      <c r="A291" s="30" t="s">
        <v>1370</v>
      </c>
      <c r="B291" s="1"/>
      <c r="C291" s="24" t="s">
        <v>1631</v>
      </c>
      <c r="D291" s="24" t="s">
        <v>1705</v>
      </c>
      <c r="E291" s="24" t="s">
        <v>1705</v>
      </c>
      <c r="F291" s="24" t="n">
        <v>20</v>
      </c>
      <c r="G291" s="24" t="s">
        <v>1720</v>
      </c>
      <c r="H291" s="24" t="s">
        <v>1617</v>
      </c>
      <c r="J291" s="24" t="s">
        <v>1668</v>
      </c>
      <c r="K291" s="25"/>
      <c r="L291" s="25"/>
      <c r="M291" s="25"/>
      <c r="N291" s="25"/>
      <c r="O291" s="25"/>
      <c r="P291" s="26"/>
      <c r="Q291" s="30"/>
      <c r="AA291" s="25"/>
      <c r="AB291" s="25"/>
      <c r="AC291" s="25"/>
      <c r="AD291" s="25"/>
      <c r="AE291" s="25"/>
      <c r="AF291" s="26"/>
      <c r="AG291" s="30"/>
      <c r="AQ291" s="25"/>
      <c r="AR291" s="25"/>
      <c r="AS291" s="25"/>
      <c r="AT291" s="25"/>
      <c r="AU291" s="25"/>
      <c r="AV291" s="26"/>
      <c r="AW291" s="30"/>
      <c r="BG291" s="25"/>
      <c r="BH291" s="25"/>
      <c r="BI291" s="25"/>
      <c r="BJ291" s="25"/>
      <c r="BK291" s="25"/>
      <c r="BL291" s="26"/>
      <c r="BM291" s="30"/>
      <c r="BW291" s="25"/>
      <c r="BX291" s="25"/>
      <c r="BY291" s="25"/>
      <c r="BZ291" s="25"/>
      <c r="CA291" s="25"/>
      <c r="CB291" s="26"/>
      <c r="CC291" s="30"/>
      <c r="CM291" s="25"/>
      <c r="CN291" s="25"/>
      <c r="CO291" s="25"/>
      <c r="CP291" s="25"/>
      <c r="CQ291" s="25"/>
      <c r="CR291" s="26"/>
      <c r="CS291" s="30"/>
      <c r="DC291" s="25"/>
      <c r="DD291" s="25"/>
      <c r="DE291" s="25"/>
      <c r="DF291" s="25"/>
      <c r="DG291" s="25"/>
      <c r="DH291" s="26"/>
      <c r="DI291" s="30"/>
      <c r="DS291" s="25"/>
      <c r="DT291" s="25"/>
      <c r="DU291" s="25"/>
      <c r="DV291" s="25"/>
      <c r="DW291" s="25"/>
      <c r="DX291" s="26"/>
      <c r="DY291" s="30"/>
      <c r="EI291" s="25"/>
      <c r="EJ291" s="25"/>
      <c r="EK291" s="25"/>
      <c r="EL291" s="25"/>
      <c r="EM291" s="25"/>
      <c r="EN291" s="26"/>
      <c r="EO291" s="30"/>
      <c r="EY291" s="25"/>
      <c r="EZ291" s="25"/>
      <c r="FA291" s="25"/>
      <c r="FB291" s="25"/>
      <c r="FC291" s="25"/>
      <c r="FD291" s="26"/>
      <c r="FE291" s="30"/>
      <c r="FO291" s="25"/>
      <c r="FP291" s="25"/>
      <c r="FQ291" s="25"/>
      <c r="FR291" s="25"/>
      <c r="FS291" s="25"/>
      <c r="FT291" s="26"/>
      <c r="FU291" s="30"/>
      <c r="GE291" s="25"/>
      <c r="GF291" s="25"/>
      <c r="GG291" s="25"/>
      <c r="GH291" s="25"/>
      <c r="GI291" s="25"/>
      <c r="GJ291" s="26"/>
      <c r="GK291" s="30"/>
      <c r="GU291" s="25"/>
      <c r="GV291" s="25"/>
      <c r="GW291" s="25"/>
      <c r="GX291" s="25"/>
      <c r="GY291" s="25"/>
      <c r="GZ291" s="26"/>
      <c r="HA291" s="30"/>
      <c r="HK291" s="25"/>
      <c r="HL291" s="25"/>
      <c r="HM291" s="25"/>
      <c r="HN291" s="25"/>
      <c r="HO291" s="25"/>
      <c r="HP291" s="26"/>
      <c r="HQ291" s="30"/>
      <c r="IA291" s="25"/>
      <c r="IB291" s="25"/>
      <c r="IC291" s="25"/>
      <c r="ID291" s="25"/>
      <c r="IE291" s="25"/>
      <c r="IF291" s="26"/>
      <c r="IG291" s="30"/>
      <c r="IQ291" s="25"/>
      <c r="IR291" s="25"/>
      <c r="IS291" s="25"/>
      <c r="IT291" s="25"/>
      <c r="IU291" s="25"/>
      <c r="IV291" s="26"/>
      <c r="IW291" s="30"/>
      <c r="JG291" s="25"/>
      <c r="JH291" s="25"/>
      <c r="JI291" s="25"/>
      <c r="JJ291" s="25"/>
      <c r="JK291" s="25"/>
      <c r="JL291" s="26"/>
      <c r="JM291" s="30"/>
      <c r="JW291" s="25"/>
      <c r="JX291" s="25"/>
      <c r="JY291" s="25"/>
      <c r="JZ291" s="25"/>
      <c r="KA291" s="25"/>
      <c r="KB291" s="26"/>
      <c r="KC291" s="30"/>
      <c r="KM291" s="25"/>
      <c r="KN291" s="25"/>
      <c r="KO291" s="25"/>
      <c r="KP291" s="25"/>
      <c r="KQ291" s="25"/>
      <c r="KR291" s="26"/>
      <c r="KS291" s="30"/>
      <c r="LC291" s="25"/>
      <c r="LD291" s="25"/>
      <c r="LE291" s="25"/>
      <c r="LF291" s="25"/>
      <c r="LG291" s="25"/>
      <c r="LH291" s="26"/>
      <c r="LI291" s="30"/>
      <c r="LS291" s="25"/>
      <c r="LT291" s="25"/>
      <c r="LU291" s="25"/>
      <c r="LV291" s="25"/>
      <c r="LW291" s="25"/>
      <c r="LX291" s="26"/>
      <c r="LY291" s="30"/>
      <c r="MI291" s="25"/>
      <c r="MJ291" s="25"/>
      <c r="MK291" s="25"/>
      <c r="ML291" s="25"/>
      <c r="MM291" s="25"/>
      <c r="MN291" s="26"/>
      <c r="MO291" s="30"/>
      <c r="MY291" s="25"/>
      <c r="MZ291" s="25"/>
      <c r="NA291" s="25"/>
      <c r="NB291" s="25"/>
      <c r="NC291" s="25"/>
      <c r="ND291" s="26"/>
      <c r="NE291" s="30"/>
      <c r="NO291" s="25"/>
      <c r="NP291" s="25"/>
      <c r="NQ291" s="25"/>
      <c r="NR291" s="25"/>
      <c r="NS291" s="25"/>
      <c r="NT291" s="26"/>
      <c r="NU291" s="30"/>
      <c r="OE291" s="25"/>
      <c r="OF291" s="25"/>
      <c r="OG291" s="25"/>
      <c r="OH291" s="25"/>
      <c r="OI291" s="25"/>
      <c r="OJ291" s="26"/>
      <c r="OK291" s="30"/>
      <c r="OU291" s="25"/>
      <c r="OV291" s="25"/>
      <c r="OW291" s="25"/>
      <c r="OX291" s="25"/>
      <c r="OY291" s="25"/>
      <c r="OZ291" s="26"/>
      <c r="PA291" s="30"/>
      <c r="PK291" s="25"/>
      <c r="PL291" s="25"/>
      <c r="PM291" s="25"/>
      <c r="PN291" s="25"/>
      <c r="PO291" s="25"/>
      <c r="PP291" s="26"/>
      <c r="PQ291" s="30"/>
      <c r="QA291" s="25"/>
      <c r="QB291" s="25"/>
      <c r="QC291" s="25"/>
      <c r="QD291" s="25"/>
      <c r="QE291" s="25"/>
      <c r="QF291" s="26"/>
      <c r="QG291" s="30"/>
      <c r="QQ291" s="25"/>
      <c r="QR291" s="25"/>
      <c r="QS291" s="25"/>
      <c r="QT291" s="25"/>
      <c r="QU291" s="25"/>
      <c r="QV291" s="26"/>
      <c r="QW291" s="30"/>
      <c r="RG291" s="25"/>
      <c r="RH291" s="25"/>
      <c r="RI291" s="25"/>
      <c r="RJ291" s="25"/>
      <c r="RK291" s="25"/>
      <c r="RL291" s="26"/>
      <c r="RM291" s="30"/>
      <c r="RW291" s="25"/>
      <c r="RX291" s="25"/>
      <c r="RY291" s="25"/>
      <c r="RZ291" s="25"/>
      <c r="SA291" s="25"/>
      <c r="SB291" s="26"/>
      <c r="SC291" s="30"/>
      <c r="SM291" s="25"/>
      <c r="SN291" s="25"/>
      <c r="SO291" s="25"/>
      <c r="SP291" s="25"/>
      <c r="SQ291" s="25"/>
      <c r="SR291" s="26"/>
      <c r="SS291" s="30"/>
      <c r="TC291" s="25"/>
      <c r="TD291" s="25"/>
      <c r="TE291" s="25"/>
      <c r="TF291" s="25"/>
      <c r="TG291" s="25"/>
      <c r="TH291" s="26"/>
      <c r="TI291" s="30"/>
      <c r="TS291" s="25"/>
      <c r="TT291" s="25"/>
      <c r="TU291" s="25"/>
      <c r="TV291" s="25"/>
      <c r="TW291" s="25"/>
      <c r="TX291" s="26"/>
      <c r="TY291" s="30"/>
      <c r="UI291" s="25"/>
      <c r="UJ291" s="25"/>
      <c r="UK291" s="25"/>
      <c r="UL291" s="25"/>
      <c r="UM291" s="25"/>
      <c r="UN291" s="26"/>
      <c r="UO291" s="30"/>
      <c r="UY291" s="25"/>
      <c r="UZ291" s="25"/>
      <c r="VA291" s="25"/>
      <c r="VB291" s="25"/>
      <c r="VC291" s="25"/>
      <c r="VD291" s="26"/>
      <c r="VE291" s="30"/>
      <c r="VO291" s="25"/>
      <c r="VP291" s="25"/>
      <c r="VQ291" s="25"/>
      <c r="VR291" s="25"/>
      <c r="VS291" s="25"/>
      <c r="VT291" s="26"/>
      <c r="VU291" s="30"/>
      <c r="WE291" s="25"/>
      <c r="WF291" s="25"/>
      <c r="WG291" s="25"/>
      <c r="WH291" s="25"/>
      <c r="WI291" s="25"/>
      <c r="WJ291" s="26"/>
      <c r="WK291" s="30"/>
      <c r="WU291" s="25"/>
      <c r="WV291" s="25"/>
      <c r="WW291" s="25"/>
      <c r="WX291" s="25"/>
      <c r="WY291" s="25"/>
      <c r="WZ291" s="26"/>
      <c r="XA291" s="30"/>
      <c r="XK291" s="25"/>
      <c r="XL291" s="25"/>
      <c r="XM291" s="25"/>
      <c r="XN291" s="25"/>
      <c r="XO291" s="25"/>
      <c r="XP291" s="26"/>
      <c r="XQ291" s="30"/>
      <c r="YA291" s="25"/>
      <c r="YB291" s="25"/>
      <c r="YC291" s="25"/>
      <c r="YD291" s="25"/>
      <c r="YE291" s="25"/>
      <c r="YF291" s="26"/>
      <c r="YG291" s="30"/>
      <c r="YQ291" s="25"/>
      <c r="YR291" s="25"/>
      <c r="YS291" s="25"/>
      <c r="YT291" s="25"/>
      <c r="YU291" s="25"/>
      <c r="YV291" s="26"/>
      <c r="YW291" s="30"/>
      <c r="ZG291" s="25"/>
      <c r="ZH291" s="25"/>
      <c r="ZI291" s="25"/>
      <c r="ZJ291" s="25"/>
      <c r="ZK291" s="25"/>
      <c r="ZL291" s="26"/>
      <c r="ZM291" s="30"/>
      <c r="ZW291" s="25"/>
      <c r="ZX291" s="25"/>
      <c r="ZY291" s="25"/>
      <c r="ZZ291" s="25"/>
      <c r="AAA291" s="25"/>
      <c r="AAB291" s="26"/>
      <c r="AAC291" s="30"/>
      <c r="AAM291" s="25"/>
      <c r="AAN291" s="25"/>
      <c r="AAO291" s="25"/>
      <c r="AAP291" s="25"/>
      <c r="AAQ291" s="25"/>
      <c r="AAR291" s="26"/>
      <c r="AAS291" s="30"/>
      <c r="ABC291" s="25"/>
      <c r="ABD291" s="25"/>
      <c r="ABE291" s="25"/>
      <c r="ABF291" s="25"/>
      <c r="ABG291" s="25"/>
      <c r="ABH291" s="26"/>
      <c r="ABI291" s="30"/>
      <c r="ABS291" s="25"/>
      <c r="ABT291" s="25"/>
      <c r="ABU291" s="25"/>
      <c r="ABV291" s="25"/>
      <c r="ABW291" s="25"/>
      <c r="ABX291" s="26"/>
      <c r="ABY291" s="30"/>
      <c r="ACI291" s="25"/>
      <c r="ACJ291" s="25"/>
      <c r="ACK291" s="25"/>
      <c r="ACL291" s="25"/>
      <c r="ACM291" s="25"/>
      <c r="ACN291" s="26"/>
      <c r="ACO291" s="30"/>
      <c r="ACY291" s="25"/>
      <c r="ACZ291" s="25"/>
      <c r="ADA291" s="25"/>
      <c r="ADB291" s="25"/>
      <c r="ADC291" s="25"/>
      <c r="ADD291" s="26"/>
      <c r="ADE291" s="30"/>
      <c r="ADO291" s="25"/>
      <c r="ADP291" s="25"/>
      <c r="ADQ291" s="25"/>
      <c r="ADR291" s="25"/>
      <c r="ADS291" s="25"/>
      <c r="ADT291" s="26"/>
      <c r="ADU291" s="30"/>
      <c r="AEE291" s="25"/>
      <c r="AEF291" s="25"/>
      <c r="AEG291" s="25"/>
      <c r="AEH291" s="25"/>
      <c r="AEI291" s="25"/>
      <c r="AEJ291" s="26"/>
      <c r="AEK291" s="30"/>
      <c r="AEU291" s="25"/>
      <c r="AEV291" s="25"/>
      <c r="AEW291" s="25"/>
      <c r="AEX291" s="25"/>
      <c r="AEY291" s="25"/>
      <c r="AEZ291" s="26"/>
      <c r="AFA291" s="30"/>
      <c r="AFK291" s="25"/>
      <c r="AFL291" s="25"/>
      <c r="AFM291" s="25"/>
      <c r="AFN291" s="25"/>
      <c r="AFO291" s="25"/>
      <c r="AFP291" s="26"/>
      <c r="AFQ291" s="30"/>
      <c r="AGA291" s="25"/>
      <c r="AGB291" s="25"/>
      <c r="AGC291" s="25"/>
      <c r="AGD291" s="25"/>
      <c r="AGE291" s="25"/>
      <c r="AGF291" s="26"/>
      <c r="AGG291" s="30"/>
      <c r="AGQ291" s="25"/>
      <c r="AGR291" s="25"/>
      <c r="AGS291" s="25"/>
      <c r="AGT291" s="25"/>
      <c r="AGU291" s="25"/>
      <c r="AGV291" s="26"/>
      <c r="AGW291" s="30"/>
      <c r="AHG291" s="25"/>
      <c r="AHH291" s="25"/>
      <c r="AHI291" s="25"/>
      <c r="AHJ291" s="25"/>
      <c r="AHK291" s="25"/>
      <c r="AHL291" s="26"/>
      <c r="AHM291" s="30"/>
      <c r="AHW291" s="25"/>
      <c r="AHX291" s="25"/>
      <c r="AHY291" s="25"/>
      <c r="AHZ291" s="25"/>
      <c r="AIA291" s="25"/>
      <c r="AIB291" s="26"/>
      <c r="AIC291" s="30"/>
      <c r="AIM291" s="25"/>
      <c r="AIN291" s="25"/>
      <c r="AIO291" s="25"/>
      <c r="AIP291" s="25"/>
      <c r="AIQ291" s="25"/>
      <c r="AIR291" s="26"/>
      <c r="AIS291" s="30"/>
      <c r="AJC291" s="25"/>
      <c r="AJD291" s="25"/>
      <c r="AJE291" s="25"/>
      <c r="AJF291" s="25"/>
      <c r="AJG291" s="25"/>
      <c r="AJH291" s="26"/>
      <c r="AJI291" s="30"/>
      <c r="AJS291" s="25"/>
      <c r="AJT291" s="25"/>
      <c r="AJU291" s="25"/>
      <c r="AJV291" s="25"/>
      <c r="AJW291" s="25"/>
      <c r="AJX291" s="26"/>
      <c r="AJY291" s="30"/>
      <c r="AKI291" s="25"/>
      <c r="AKJ291" s="25"/>
      <c r="AKK291" s="25"/>
      <c r="AKL291" s="25"/>
      <c r="AKM291" s="25"/>
      <c r="AKN291" s="26"/>
      <c r="AKO291" s="30"/>
      <c r="AKY291" s="25"/>
      <c r="AKZ291" s="25"/>
      <c r="ALA291" s="25"/>
      <c r="ALB291" s="25"/>
      <c r="ALC291" s="25"/>
      <c r="ALD291" s="26"/>
      <c r="ALE291" s="30"/>
      <c r="ALO291" s="25"/>
      <c r="ALP291" s="25"/>
      <c r="ALQ291" s="25"/>
      <c r="ALR291" s="25"/>
      <c r="ALS291" s="25"/>
      <c r="ALT291" s="26"/>
      <c r="ALU291" s="30"/>
      <c r="AME291" s="25"/>
      <c r="AMF291" s="25"/>
      <c r="AMG291" s="25"/>
      <c r="AMH291" s="25"/>
      <c r="AMI291" s="25"/>
      <c r="AMJ291" s="26"/>
      <c r="AMK291" s="30"/>
      <c r="AMU291" s="25"/>
      <c r="AMV291" s="25"/>
      <c r="AMW291" s="25"/>
      <c r="AMX291" s="25"/>
      <c r="AMY291" s="25"/>
      <c r="AMZ291" s="26"/>
      <c r="ANA291" s="30"/>
      <c r="ANK291" s="25"/>
      <c r="ANL291" s="25"/>
      <c r="ANM291" s="25"/>
      <c r="ANN291" s="25"/>
      <c r="ANO291" s="25"/>
      <c r="ANP291" s="26"/>
      <c r="ANQ291" s="30"/>
      <c r="AOA291" s="25"/>
      <c r="AOB291" s="25"/>
      <c r="AOC291" s="25"/>
      <c r="AOD291" s="25"/>
      <c r="AOE291" s="25"/>
      <c r="AOF291" s="26"/>
      <c r="AOG291" s="30"/>
      <c r="AOQ291" s="25"/>
      <c r="AOR291" s="25"/>
      <c r="AOS291" s="25"/>
      <c r="AOT291" s="25"/>
      <c r="AOU291" s="25"/>
      <c r="AOV291" s="26"/>
      <c r="AOW291" s="30"/>
      <c r="APG291" s="25"/>
      <c r="APH291" s="25"/>
      <c r="API291" s="25"/>
      <c r="APJ291" s="25"/>
      <c r="APK291" s="25"/>
      <c r="APL291" s="26"/>
      <c r="APM291" s="30"/>
      <c r="APW291" s="25"/>
      <c r="APX291" s="25"/>
      <c r="APY291" s="25"/>
      <c r="APZ291" s="25"/>
      <c r="AQA291" s="25"/>
      <c r="AQB291" s="26"/>
      <c r="AQC291" s="30"/>
      <c r="AQM291" s="25"/>
      <c r="AQN291" s="25"/>
      <c r="AQO291" s="25"/>
      <c r="AQP291" s="25"/>
      <c r="AQQ291" s="25"/>
      <c r="AQR291" s="26"/>
      <c r="AQS291" s="30"/>
      <c r="ARC291" s="25"/>
      <c r="ARD291" s="25"/>
      <c r="ARE291" s="25"/>
      <c r="ARF291" s="25"/>
      <c r="ARG291" s="25"/>
      <c r="ARH291" s="26"/>
      <c r="ARI291" s="30"/>
      <c r="ARS291" s="25"/>
      <c r="ART291" s="25"/>
      <c r="ARU291" s="25"/>
      <c r="ARV291" s="25"/>
      <c r="ARW291" s="25"/>
      <c r="ARX291" s="26"/>
      <c r="ARY291" s="30"/>
      <c r="ASI291" s="25"/>
      <c r="ASJ291" s="25"/>
      <c r="ASK291" s="25"/>
      <c r="ASL291" s="25"/>
      <c r="ASM291" s="25"/>
      <c r="ASN291" s="26"/>
      <c r="ASO291" s="30"/>
      <c r="ASY291" s="25"/>
      <c r="ASZ291" s="25"/>
      <c r="ATA291" s="25"/>
      <c r="ATB291" s="25"/>
      <c r="ATC291" s="25"/>
      <c r="ATD291" s="26"/>
      <c r="ATE291" s="30"/>
      <c r="ATO291" s="25"/>
      <c r="ATP291" s="25"/>
      <c r="ATQ291" s="25"/>
      <c r="ATR291" s="25"/>
      <c r="ATS291" s="25"/>
      <c r="ATT291" s="26"/>
      <c r="ATU291" s="30"/>
      <c r="AUE291" s="25"/>
      <c r="AUF291" s="25"/>
      <c r="AUG291" s="25"/>
      <c r="AUH291" s="25"/>
      <c r="AUI291" s="25"/>
      <c r="AUJ291" s="26"/>
      <c r="AUK291" s="30"/>
      <c r="AUU291" s="25"/>
      <c r="AUV291" s="25"/>
      <c r="AUW291" s="25"/>
      <c r="AUX291" s="25"/>
      <c r="AUY291" s="25"/>
      <c r="AUZ291" s="26"/>
      <c r="AVA291" s="30"/>
      <c r="AVK291" s="25"/>
      <c r="AVL291" s="25"/>
      <c r="AVM291" s="25"/>
      <c r="AVN291" s="25"/>
      <c r="AVO291" s="25"/>
      <c r="AVP291" s="26"/>
      <c r="AVQ291" s="30"/>
      <c r="AWA291" s="25"/>
      <c r="AWB291" s="25"/>
      <c r="AWC291" s="25"/>
      <c r="AWD291" s="25"/>
      <c r="AWE291" s="25"/>
      <c r="AWF291" s="26"/>
      <c r="AWG291" s="30"/>
      <c r="AWQ291" s="25"/>
      <c r="AWR291" s="25"/>
      <c r="AWS291" s="25"/>
      <c r="AWT291" s="25"/>
      <c r="AWU291" s="25"/>
      <c r="AWV291" s="26"/>
      <c r="AWW291" s="30"/>
      <c r="AXG291" s="25"/>
      <c r="AXH291" s="25"/>
      <c r="AXI291" s="25"/>
      <c r="AXJ291" s="25"/>
      <c r="AXK291" s="25"/>
      <c r="AXL291" s="26"/>
      <c r="AXM291" s="30"/>
      <c r="AXW291" s="25"/>
      <c r="AXX291" s="25"/>
      <c r="AXY291" s="25"/>
      <c r="AXZ291" s="25"/>
      <c r="AYA291" s="25"/>
      <c r="AYB291" s="26"/>
      <c r="AYC291" s="30"/>
      <c r="AYM291" s="25"/>
      <c r="AYN291" s="25"/>
      <c r="AYO291" s="25"/>
      <c r="AYP291" s="25"/>
      <c r="AYQ291" s="25"/>
      <c r="AYR291" s="26"/>
      <c r="AYS291" s="30"/>
      <c r="AZC291" s="25"/>
      <c r="AZD291" s="25"/>
      <c r="AZE291" s="25"/>
      <c r="AZF291" s="25"/>
      <c r="AZG291" s="25"/>
      <c r="AZH291" s="26"/>
      <c r="AZI291" s="30"/>
      <c r="AZS291" s="25"/>
      <c r="AZT291" s="25"/>
      <c r="AZU291" s="25"/>
      <c r="AZV291" s="25"/>
      <c r="AZW291" s="25"/>
      <c r="AZX291" s="26"/>
      <c r="AZY291" s="30"/>
      <c r="BAI291" s="25"/>
      <c r="BAJ291" s="25"/>
      <c r="BAK291" s="25"/>
      <c r="BAL291" s="25"/>
      <c r="BAM291" s="25"/>
      <c r="BAN291" s="26"/>
      <c r="BAO291" s="30"/>
      <c r="BAY291" s="25"/>
      <c r="BAZ291" s="25"/>
      <c r="BBA291" s="25"/>
      <c r="BBB291" s="25"/>
      <c r="BBC291" s="25"/>
      <c r="BBD291" s="26"/>
      <c r="BBE291" s="30"/>
      <c r="BBO291" s="25"/>
      <c r="BBP291" s="25"/>
      <c r="BBQ291" s="25"/>
      <c r="BBR291" s="25"/>
      <c r="BBS291" s="25"/>
      <c r="BBT291" s="26"/>
      <c r="BBU291" s="30"/>
      <c r="BCE291" s="25"/>
      <c r="BCF291" s="25"/>
      <c r="BCG291" s="25"/>
      <c r="BCH291" s="25"/>
      <c r="BCI291" s="25"/>
      <c r="BCJ291" s="26"/>
      <c r="BCK291" s="30"/>
      <c r="BCU291" s="25"/>
      <c r="BCV291" s="25"/>
      <c r="BCW291" s="25"/>
      <c r="BCX291" s="25"/>
      <c r="BCY291" s="25"/>
      <c r="BCZ291" s="26"/>
      <c r="BDA291" s="30"/>
      <c r="BDK291" s="25"/>
      <c r="BDL291" s="25"/>
      <c r="BDM291" s="25"/>
      <c r="BDN291" s="25"/>
      <c r="BDO291" s="25"/>
      <c r="BDP291" s="26"/>
      <c r="BDQ291" s="30"/>
      <c r="BEA291" s="25"/>
      <c r="BEB291" s="25"/>
      <c r="BEC291" s="25"/>
      <c r="BED291" s="25"/>
      <c r="BEE291" s="25"/>
      <c r="BEF291" s="26"/>
      <c r="BEG291" s="30"/>
      <c r="BEQ291" s="25"/>
      <c r="BER291" s="25"/>
      <c r="BES291" s="25"/>
      <c r="BET291" s="25"/>
      <c r="BEU291" s="25"/>
      <c r="BEV291" s="26"/>
      <c r="BEW291" s="30"/>
      <c r="BFG291" s="25"/>
      <c r="BFH291" s="25"/>
      <c r="BFI291" s="25"/>
      <c r="BFJ291" s="25"/>
      <c r="BFK291" s="25"/>
      <c r="BFL291" s="26"/>
      <c r="BFM291" s="30"/>
      <c r="BFW291" s="25"/>
      <c r="BFX291" s="25"/>
      <c r="BFY291" s="25"/>
      <c r="BFZ291" s="25"/>
      <c r="BGA291" s="25"/>
      <c r="BGB291" s="26"/>
      <c r="BGC291" s="30"/>
      <c r="BGM291" s="25"/>
      <c r="BGN291" s="25"/>
      <c r="BGO291" s="25"/>
      <c r="BGP291" s="25"/>
      <c r="BGQ291" s="25"/>
      <c r="BGR291" s="26"/>
      <c r="BGS291" s="30"/>
      <c r="BHC291" s="25"/>
      <c r="BHD291" s="25"/>
      <c r="BHE291" s="25"/>
      <c r="BHF291" s="25"/>
      <c r="BHG291" s="25"/>
      <c r="BHH291" s="26"/>
      <c r="BHI291" s="30"/>
      <c r="BHS291" s="25"/>
      <c r="BHT291" s="25"/>
      <c r="BHU291" s="25"/>
      <c r="BHV291" s="25"/>
      <c r="BHW291" s="25"/>
      <c r="BHX291" s="26"/>
      <c r="BHY291" s="30"/>
      <c r="BII291" s="25"/>
      <c r="BIJ291" s="25"/>
      <c r="BIK291" s="25"/>
      <c r="BIL291" s="25"/>
      <c r="BIM291" s="25"/>
      <c r="BIN291" s="26"/>
      <c r="BIO291" s="30"/>
      <c r="BIY291" s="25"/>
      <c r="BIZ291" s="25"/>
      <c r="BJA291" s="25"/>
      <c r="BJB291" s="25"/>
      <c r="BJC291" s="25"/>
      <c r="BJD291" s="26"/>
      <c r="BJE291" s="30"/>
      <c r="BJO291" s="25"/>
      <c r="BJP291" s="25"/>
      <c r="BJQ291" s="25"/>
      <c r="BJR291" s="25"/>
      <c r="BJS291" s="25"/>
      <c r="BJT291" s="26"/>
      <c r="BJU291" s="30"/>
      <c r="BKE291" s="25"/>
      <c r="BKF291" s="25"/>
      <c r="BKG291" s="25"/>
      <c r="BKH291" s="25"/>
      <c r="BKI291" s="25"/>
      <c r="BKJ291" s="26"/>
      <c r="BKK291" s="30"/>
      <c r="BKU291" s="25"/>
      <c r="BKV291" s="25"/>
      <c r="BKW291" s="25"/>
      <c r="BKX291" s="25"/>
      <c r="BKY291" s="25"/>
      <c r="BKZ291" s="26"/>
      <c r="BLA291" s="30"/>
      <c r="BLK291" s="25"/>
      <c r="BLL291" s="25"/>
      <c r="BLM291" s="25"/>
      <c r="BLN291" s="25"/>
      <c r="BLO291" s="25"/>
      <c r="BLP291" s="26"/>
      <c r="BLQ291" s="30"/>
      <c r="BMA291" s="25"/>
      <c r="BMB291" s="25"/>
      <c r="BMC291" s="25"/>
      <c r="BMD291" s="25"/>
      <c r="BME291" s="25"/>
      <c r="BMF291" s="26"/>
      <c r="BMG291" s="30"/>
      <c r="BMQ291" s="25"/>
      <c r="BMR291" s="25"/>
      <c r="BMS291" s="25"/>
      <c r="BMT291" s="25"/>
      <c r="BMU291" s="25"/>
      <c r="BMV291" s="26"/>
      <c r="BMW291" s="30"/>
      <c r="BNG291" s="25"/>
      <c r="BNH291" s="25"/>
      <c r="BNI291" s="25"/>
      <c r="BNJ291" s="25"/>
      <c r="BNK291" s="25"/>
      <c r="BNL291" s="26"/>
      <c r="BNM291" s="30"/>
      <c r="BNW291" s="25"/>
      <c r="BNX291" s="25"/>
      <c r="BNY291" s="25"/>
      <c r="BNZ291" s="25"/>
      <c r="BOA291" s="25"/>
      <c r="BOB291" s="26"/>
      <c r="BOC291" s="30"/>
      <c r="BOM291" s="25"/>
      <c r="BON291" s="25"/>
      <c r="BOO291" s="25"/>
      <c r="BOP291" s="25"/>
      <c r="BOQ291" s="25"/>
      <c r="BOR291" s="26"/>
      <c r="BOS291" s="30"/>
      <c r="BPC291" s="25"/>
      <c r="BPD291" s="25"/>
      <c r="BPE291" s="25"/>
      <c r="BPF291" s="25"/>
      <c r="BPG291" s="25"/>
      <c r="BPH291" s="26"/>
      <c r="BPI291" s="30"/>
      <c r="BPS291" s="25"/>
      <c r="BPT291" s="25"/>
      <c r="BPU291" s="25"/>
      <c r="BPV291" s="25"/>
      <c r="BPW291" s="25"/>
      <c r="BPX291" s="26"/>
      <c r="BPY291" s="30"/>
      <c r="BQI291" s="25"/>
      <c r="BQJ291" s="25"/>
      <c r="BQK291" s="25"/>
      <c r="BQL291" s="25"/>
      <c r="BQM291" s="25"/>
      <c r="BQN291" s="26"/>
      <c r="BQO291" s="30"/>
      <c r="BQY291" s="25"/>
      <c r="BQZ291" s="25"/>
      <c r="BRA291" s="25"/>
      <c r="BRB291" s="25"/>
      <c r="BRC291" s="25"/>
      <c r="BRD291" s="26"/>
      <c r="BRE291" s="30"/>
      <c r="BRO291" s="25"/>
      <c r="BRP291" s="25"/>
      <c r="BRQ291" s="25"/>
      <c r="BRR291" s="25"/>
      <c r="BRS291" s="25"/>
      <c r="BRT291" s="26"/>
      <c r="BRU291" s="30"/>
      <c r="BSE291" s="25"/>
      <c r="BSF291" s="25"/>
      <c r="BSG291" s="25"/>
      <c r="BSH291" s="25"/>
      <c r="BSI291" s="25"/>
      <c r="BSJ291" s="26"/>
      <c r="BSK291" s="30"/>
      <c r="BSU291" s="25"/>
      <c r="BSV291" s="25"/>
      <c r="BSW291" s="25"/>
      <c r="BSX291" s="25"/>
      <c r="BSY291" s="25"/>
      <c r="BSZ291" s="26"/>
      <c r="BTA291" s="30"/>
      <c r="BTK291" s="25"/>
      <c r="BTL291" s="25"/>
      <c r="BTM291" s="25"/>
      <c r="BTN291" s="25"/>
      <c r="BTO291" s="25"/>
      <c r="BTP291" s="26"/>
      <c r="BTQ291" s="30"/>
      <c r="BUA291" s="25"/>
      <c r="BUB291" s="25"/>
      <c r="BUC291" s="25"/>
      <c r="BUD291" s="25"/>
      <c r="BUE291" s="25"/>
      <c r="BUF291" s="26"/>
      <c r="BUG291" s="30"/>
      <c r="BUQ291" s="25"/>
      <c r="BUR291" s="25"/>
      <c r="BUS291" s="25"/>
      <c r="BUT291" s="25"/>
      <c r="BUU291" s="25"/>
      <c r="BUV291" s="26"/>
      <c r="BUW291" s="30"/>
      <c r="BVG291" s="25"/>
      <c r="BVH291" s="25"/>
      <c r="BVI291" s="25"/>
      <c r="BVJ291" s="25"/>
      <c r="BVK291" s="25"/>
      <c r="BVL291" s="26"/>
      <c r="BVM291" s="30"/>
      <c r="BVW291" s="25"/>
      <c r="BVX291" s="25"/>
      <c r="BVY291" s="25"/>
      <c r="BVZ291" s="25"/>
      <c r="BWA291" s="25"/>
      <c r="BWB291" s="26"/>
      <c r="BWC291" s="30"/>
      <c r="BWM291" s="25"/>
      <c r="BWN291" s="25"/>
      <c r="BWO291" s="25"/>
      <c r="BWP291" s="25"/>
      <c r="BWQ291" s="25"/>
      <c r="BWR291" s="26"/>
      <c r="BWS291" s="30"/>
      <c r="BXC291" s="25"/>
      <c r="BXD291" s="25"/>
      <c r="BXE291" s="25"/>
      <c r="BXF291" s="25"/>
      <c r="BXG291" s="25"/>
      <c r="BXH291" s="26"/>
      <c r="BXI291" s="30"/>
      <c r="BXS291" s="25"/>
      <c r="BXT291" s="25"/>
      <c r="BXU291" s="25"/>
      <c r="BXV291" s="25"/>
      <c r="BXW291" s="25"/>
      <c r="BXX291" s="26"/>
      <c r="BXY291" s="30"/>
      <c r="BYI291" s="25"/>
      <c r="BYJ291" s="25"/>
      <c r="BYK291" s="25"/>
      <c r="BYL291" s="25"/>
      <c r="BYM291" s="25"/>
      <c r="BYN291" s="26"/>
      <c r="BYO291" s="30"/>
      <c r="BYY291" s="25"/>
      <c r="BYZ291" s="25"/>
      <c r="BZA291" s="25"/>
      <c r="BZB291" s="25"/>
      <c r="BZC291" s="25"/>
      <c r="BZD291" s="26"/>
      <c r="BZE291" s="30"/>
      <c r="BZO291" s="25"/>
      <c r="BZP291" s="25"/>
      <c r="BZQ291" s="25"/>
      <c r="BZR291" s="25"/>
      <c r="BZS291" s="25"/>
      <c r="BZT291" s="26"/>
      <c r="BZU291" s="30"/>
      <c r="CAE291" s="25"/>
      <c r="CAF291" s="25"/>
      <c r="CAG291" s="25"/>
      <c r="CAH291" s="25"/>
      <c r="CAI291" s="25"/>
      <c r="CAJ291" s="26"/>
      <c r="CAK291" s="30"/>
      <c r="CAU291" s="25"/>
      <c r="CAV291" s="25"/>
      <c r="CAW291" s="25"/>
      <c r="CAX291" s="25"/>
      <c r="CAY291" s="25"/>
      <c r="CAZ291" s="26"/>
      <c r="CBA291" s="30"/>
      <c r="CBK291" s="25"/>
      <c r="CBL291" s="25"/>
      <c r="CBM291" s="25"/>
      <c r="CBN291" s="25"/>
      <c r="CBO291" s="25"/>
      <c r="CBP291" s="26"/>
      <c r="CBQ291" s="30"/>
      <c r="CCA291" s="25"/>
      <c r="CCB291" s="25"/>
      <c r="CCC291" s="25"/>
      <c r="CCD291" s="25"/>
      <c r="CCE291" s="25"/>
      <c r="CCF291" s="26"/>
      <c r="CCG291" s="30"/>
      <c r="CCQ291" s="25"/>
      <c r="CCR291" s="25"/>
      <c r="CCS291" s="25"/>
      <c r="CCT291" s="25"/>
      <c r="CCU291" s="25"/>
      <c r="CCV291" s="26"/>
      <c r="CCW291" s="30"/>
      <c r="CDG291" s="25"/>
      <c r="CDH291" s="25"/>
      <c r="CDI291" s="25"/>
      <c r="CDJ291" s="25"/>
      <c r="CDK291" s="25"/>
      <c r="CDL291" s="26"/>
      <c r="CDM291" s="30"/>
      <c r="CDW291" s="25"/>
      <c r="CDX291" s="25"/>
      <c r="CDY291" s="25"/>
      <c r="CDZ291" s="25"/>
      <c r="CEA291" s="25"/>
      <c r="CEB291" s="26"/>
      <c r="CEC291" s="30"/>
      <c r="CEM291" s="25"/>
      <c r="CEN291" s="25"/>
      <c r="CEO291" s="25"/>
      <c r="CEP291" s="25"/>
      <c r="CEQ291" s="25"/>
      <c r="CER291" s="26"/>
      <c r="CES291" s="30"/>
      <c r="CFC291" s="25"/>
      <c r="CFD291" s="25"/>
      <c r="CFE291" s="25"/>
      <c r="CFF291" s="25"/>
      <c r="CFG291" s="25"/>
      <c r="CFH291" s="26"/>
      <c r="CFI291" s="30"/>
      <c r="CFS291" s="25"/>
      <c r="CFT291" s="25"/>
      <c r="CFU291" s="25"/>
      <c r="CFV291" s="25"/>
      <c r="CFW291" s="25"/>
      <c r="CFX291" s="26"/>
      <c r="CFY291" s="30"/>
      <c r="CGI291" s="25"/>
      <c r="CGJ291" s="25"/>
      <c r="CGK291" s="25"/>
      <c r="CGL291" s="25"/>
      <c r="CGM291" s="25"/>
      <c r="CGN291" s="26"/>
      <c r="CGO291" s="30"/>
      <c r="CGY291" s="25"/>
      <c r="CGZ291" s="25"/>
      <c r="CHA291" s="25"/>
      <c r="CHB291" s="25"/>
      <c r="CHC291" s="25"/>
      <c r="CHD291" s="26"/>
      <c r="CHE291" s="30"/>
      <c r="CHO291" s="25"/>
      <c r="CHP291" s="25"/>
      <c r="CHQ291" s="25"/>
      <c r="CHR291" s="25"/>
      <c r="CHS291" s="25"/>
      <c r="CHT291" s="26"/>
      <c r="CHU291" s="30"/>
      <c r="CIE291" s="25"/>
      <c r="CIF291" s="25"/>
      <c r="CIG291" s="25"/>
      <c r="CIH291" s="25"/>
      <c r="CII291" s="25"/>
      <c r="CIJ291" s="26"/>
      <c r="CIK291" s="30"/>
      <c r="CIU291" s="25"/>
      <c r="CIV291" s="25"/>
      <c r="CIW291" s="25"/>
      <c r="CIX291" s="25"/>
      <c r="CIY291" s="25"/>
      <c r="CIZ291" s="26"/>
      <c r="CJA291" s="30"/>
      <c r="CJK291" s="25"/>
      <c r="CJL291" s="25"/>
      <c r="CJM291" s="25"/>
      <c r="CJN291" s="25"/>
      <c r="CJO291" s="25"/>
      <c r="CJP291" s="26"/>
      <c r="CJQ291" s="30"/>
      <c r="CKA291" s="25"/>
      <c r="CKB291" s="25"/>
      <c r="CKC291" s="25"/>
      <c r="CKD291" s="25"/>
      <c r="CKE291" s="25"/>
      <c r="CKF291" s="26"/>
      <c r="CKG291" s="30"/>
      <c r="CKQ291" s="25"/>
      <c r="CKR291" s="25"/>
      <c r="CKS291" s="25"/>
      <c r="CKT291" s="25"/>
      <c r="CKU291" s="25"/>
      <c r="CKV291" s="26"/>
      <c r="CKW291" s="30"/>
      <c r="CLG291" s="25"/>
      <c r="CLH291" s="25"/>
      <c r="CLI291" s="25"/>
      <c r="CLJ291" s="25"/>
      <c r="CLK291" s="25"/>
      <c r="CLL291" s="26"/>
      <c r="CLM291" s="30"/>
      <c r="CLW291" s="25"/>
      <c r="CLX291" s="25"/>
      <c r="CLY291" s="25"/>
      <c r="CLZ291" s="25"/>
      <c r="CMA291" s="25"/>
      <c r="CMB291" s="26"/>
      <c r="CMC291" s="30"/>
      <c r="CMM291" s="25"/>
      <c r="CMN291" s="25"/>
      <c r="CMO291" s="25"/>
      <c r="CMP291" s="25"/>
      <c r="CMQ291" s="25"/>
      <c r="CMR291" s="26"/>
      <c r="CMS291" s="30"/>
      <c r="CNC291" s="25"/>
      <c r="CND291" s="25"/>
      <c r="CNE291" s="25"/>
      <c r="CNF291" s="25"/>
      <c r="CNG291" s="25"/>
      <c r="CNH291" s="26"/>
      <c r="CNI291" s="30"/>
      <c r="CNS291" s="25"/>
      <c r="CNT291" s="25"/>
      <c r="CNU291" s="25"/>
      <c r="CNV291" s="25"/>
      <c r="CNW291" s="25"/>
      <c r="CNX291" s="26"/>
      <c r="CNY291" s="30"/>
      <c r="COI291" s="25"/>
      <c r="COJ291" s="25"/>
      <c r="COK291" s="25"/>
      <c r="COL291" s="25"/>
      <c r="COM291" s="25"/>
      <c r="CON291" s="26"/>
      <c r="COO291" s="30"/>
      <c r="COY291" s="25"/>
      <c r="COZ291" s="25"/>
      <c r="CPA291" s="25"/>
      <c r="CPB291" s="25"/>
      <c r="CPC291" s="25"/>
      <c r="CPD291" s="26"/>
      <c r="CPE291" s="30"/>
      <c r="CPO291" s="25"/>
      <c r="CPP291" s="25"/>
      <c r="CPQ291" s="25"/>
      <c r="CPR291" s="25"/>
      <c r="CPS291" s="25"/>
      <c r="CPT291" s="26"/>
      <c r="CPU291" s="30"/>
      <c r="CQE291" s="25"/>
      <c r="CQF291" s="25"/>
      <c r="CQG291" s="25"/>
      <c r="CQH291" s="25"/>
      <c r="CQI291" s="25"/>
      <c r="CQJ291" s="26"/>
      <c r="CQK291" s="30"/>
      <c r="CQU291" s="25"/>
      <c r="CQV291" s="25"/>
      <c r="CQW291" s="25"/>
      <c r="CQX291" s="25"/>
      <c r="CQY291" s="25"/>
      <c r="CQZ291" s="26"/>
      <c r="CRA291" s="30"/>
      <c r="CRK291" s="25"/>
      <c r="CRL291" s="25"/>
      <c r="CRM291" s="25"/>
      <c r="CRN291" s="25"/>
      <c r="CRO291" s="25"/>
      <c r="CRP291" s="26"/>
      <c r="CRQ291" s="30"/>
      <c r="CSA291" s="25"/>
      <c r="CSB291" s="25"/>
      <c r="CSC291" s="25"/>
      <c r="CSD291" s="25"/>
      <c r="CSE291" s="25"/>
      <c r="CSF291" s="26"/>
      <c r="CSG291" s="30"/>
      <c r="CSQ291" s="25"/>
      <c r="CSR291" s="25"/>
      <c r="CSS291" s="25"/>
      <c r="CST291" s="25"/>
      <c r="CSU291" s="25"/>
      <c r="CSV291" s="26"/>
      <c r="CSW291" s="30"/>
      <c r="CTG291" s="25"/>
      <c r="CTH291" s="25"/>
      <c r="CTI291" s="25"/>
      <c r="CTJ291" s="25"/>
      <c r="CTK291" s="25"/>
      <c r="CTL291" s="26"/>
      <c r="CTM291" s="30"/>
      <c r="CTW291" s="25"/>
      <c r="CTX291" s="25"/>
      <c r="CTY291" s="25"/>
      <c r="CTZ291" s="25"/>
      <c r="CUA291" s="25"/>
      <c r="CUB291" s="26"/>
      <c r="CUC291" s="30"/>
      <c r="CUM291" s="25"/>
      <c r="CUN291" s="25"/>
      <c r="CUO291" s="25"/>
      <c r="CUP291" s="25"/>
      <c r="CUQ291" s="25"/>
      <c r="CUR291" s="26"/>
      <c r="CUS291" s="30"/>
      <c r="CVC291" s="25"/>
      <c r="CVD291" s="25"/>
      <c r="CVE291" s="25"/>
      <c r="CVF291" s="25"/>
      <c r="CVG291" s="25"/>
      <c r="CVH291" s="26"/>
      <c r="CVI291" s="30"/>
      <c r="CVS291" s="25"/>
      <c r="CVT291" s="25"/>
      <c r="CVU291" s="25"/>
      <c r="CVV291" s="25"/>
      <c r="CVW291" s="25"/>
      <c r="CVX291" s="26"/>
      <c r="CVY291" s="30"/>
      <c r="CWI291" s="25"/>
      <c r="CWJ291" s="25"/>
      <c r="CWK291" s="25"/>
      <c r="CWL291" s="25"/>
      <c r="CWM291" s="25"/>
      <c r="CWN291" s="26"/>
      <c r="CWO291" s="30"/>
      <c r="CWY291" s="25"/>
      <c r="CWZ291" s="25"/>
      <c r="CXA291" s="25"/>
      <c r="CXB291" s="25"/>
      <c r="CXC291" s="25"/>
      <c r="CXD291" s="26"/>
      <c r="CXE291" s="30"/>
      <c r="CXO291" s="25"/>
      <c r="CXP291" s="25"/>
      <c r="CXQ291" s="25"/>
      <c r="CXR291" s="25"/>
      <c r="CXS291" s="25"/>
      <c r="CXT291" s="26"/>
      <c r="CXU291" s="30"/>
      <c r="CYE291" s="25"/>
      <c r="CYF291" s="25"/>
      <c r="CYG291" s="25"/>
      <c r="CYH291" s="25"/>
      <c r="CYI291" s="25"/>
      <c r="CYJ291" s="26"/>
      <c r="CYK291" s="30"/>
      <c r="CYU291" s="25"/>
      <c r="CYV291" s="25"/>
      <c r="CYW291" s="25"/>
      <c r="CYX291" s="25"/>
      <c r="CYY291" s="25"/>
      <c r="CYZ291" s="26"/>
      <c r="CZA291" s="30"/>
      <c r="CZK291" s="25"/>
      <c r="CZL291" s="25"/>
      <c r="CZM291" s="25"/>
      <c r="CZN291" s="25"/>
      <c r="CZO291" s="25"/>
      <c r="CZP291" s="26"/>
      <c r="CZQ291" s="30"/>
      <c r="DAA291" s="25"/>
      <c r="DAB291" s="25"/>
      <c r="DAC291" s="25"/>
      <c r="DAD291" s="25"/>
      <c r="DAE291" s="25"/>
      <c r="DAF291" s="26"/>
      <c r="DAG291" s="30"/>
      <c r="DAQ291" s="25"/>
      <c r="DAR291" s="25"/>
      <c r="DAS291" s="25"/>
      <c r="DAT291" s="25"/>
      <c r="DAU291" s="25"/>
      <c r="DAV291" s="26"/>
      <c r="DAW291" s="30"/>
      <c r="DBG291" s="25"/>
      <c r="DBH291" s="25"/>
      <c r="DBI291" s="25"/>
      <c r="DBJ291" s="25"/>
      <c r="DBK291" s="25"/>
      <c r="DBL291" s="26"/>
      <c r="DBM291" s="30"/>
      <c r="DBW291" s="25"/>
      <c r="DBX291" s="25"/>
      <c r="DBY291" s="25"/>
      <c r="DBZ291" s="25"/>
      <c r="DCA291" s="25"/>
      <c r="DCB291" s="26"/>
      <c r="DCC291" s="30"/>
      <c r="DCM291" s="25"/>
      <c r="DCN291" s="25"/>
      <c r="DCO291" s="25"/>
      <c r="DCP291" s="25"/>
      <c r="DCQ291" s="25"/>
      <c r="DCR291" s="26"/>
      <c r="DCS291" s="30"/>
      <c r="DDC291" s="25"/>
      <c r="DDD291" s="25"/>
      <c r="DDE291" s="25"/>
      <c r="DDF291" s="25"/>
      <c r="DDG291" s="25"/>
      <c r="DDH291" s="26"/>
      <c r="DDI291" s="30"/>
      <c r="DDS291" s="25"/>
      <c r="DDT291" s="25"/>
      <c r="DDU291" s="25"/>
      <c r="DDV291" s="25"/>
      <c r="DDW291" s="25"/>
      <c r="DDX291" s="26"/>
      <c r="DDY291" s="30"/>
      <c r="DEI291" s="25"/>
      <c r="DEJ291" s="25"/>
      <c r="DEK291" s="25"/>
      <c r="DEL291" s="25"/>
      <c r="DEM291" s="25"/>
      <c r="DEN291" s="26"/>
      <c r="DEO291" s="30"/>
      <c r="DEY291" s="25"/>
      <c r="DEZ291" s="25"/>
      <c r="DFA291" s="25"/>
      <c r="DFB291" s="25"/>
      <c r="DFC291" s="25"/>
      <c r="DFD291" s="26"/>
      <c r="DFE291" s="30"/>
      <c r="DFO291" s="25"/>
      <c r="DFP291" s="25"/>
      <c r="DFQ291" s="25"/>
      <c r="DFR291" s="25"/>
      <c r="DFS291" s="25"/>
      <c r="DFT291" s="26"/>
      <c r="DFU291" s="30"/>
      <c r="DGE291" s="25"/>
      <c r="DGF291" s="25"/>
      <c r="DGG291" s="25"/>
      <c r="DGH291" s="25"/>
      <c r="DGI291" s="25"/>
      <c r="DGJ291" s="26"/>
      <c r="DGK291" s="30"/>
      <c r="DGU291" s="25"/>
      <c r="DGV291" s="25"/>
      <c r="DGW291" s="25"/>
      <c r="DGX291" s="25"/>
      <c r="DGY291" s="25"/>
      <c r="DGZ291" s="26"/>
      <c r="DHA291" s="30"/>
      <c r="DHK291" s="25"/>
      <c r="DHL291" s="25"/>
      <c r="DHM291" s="25"/>
      <c r="DHN291" s="25"/>
      <c r="DHO291" s="25"/>
      <c r="DHP291" s="26"/>
      <c r="DHQ291" s="30"/>
      <c r="DIA291" s="25"/>
      <c r="DIB291" s="25"/>
      <c r="DIC291" s="25"/>
      <c r="DID291" s="25"/>
      <c r="DIE291" s="25"/>
      <c r="DIF291" s="26"/>
      <c r="DIG291" s="30"/>
      <c r="DIQ291" s="25"/>
      <c r="DIR291" s="25"/>
      <c r="DIS291" s="25"/>
      <c r="DIT291" s="25"/>
      <c r="DIU291" s="25"/>
      <c r="DIV291" s="26"/>
      <c r="DIW291" s="30"/>
      <c r="DJG291" s="25"/>
      <c r="DJH291" s="25"/>
      <c r="DJI291" s="25"/>
      <c r="DJJ291" s="25"/>
      <c r="DJK291" s="25"/>
      <c r="DJL291" s="26"/>
      <c r="DJM291" s="30"/>
      <c r="DJW291" s="25"/>
      <c r="DJX291" s="25"/>
      <c r="DJY291" s="25"/>
      <c r="DJZ291" s="25"/>
      <c r="DKA291" s="25"/>
      <c r="DKB291" s="26"/>
      <c r="DKC291" s="30"/>
      <c r="DKM291" s="25"/>
      <c r="DKN291" s="25"/>
      <c r="DKO291" s="25"/>
      <c r="DKP291" s="25"/>
      <c r="DKQ291" s="25"/>
      <c r="DKR291" s="26"/>
      <c r="DKS291" s="30"/>
      <c r="DLC291" s="25"/>
      <c r="DLD291" s="25"/>
      <c r="DLE291" s="25"/>
      <c r="DLF291" s="25"/>
      <c r="DLG291" s="25"/>
      <c r="DLH291" s="26"/>
      <c r="DLI291" s="30"/>
      <c r="DLS291" s="25"/>
      <c r="DLT291" s="25"/>
      <c r="DLU291" s="25"/>
      <c r="DLV291" s="25"/>
      <c r="DLW291" s="25"/>
      <c r="DLX291" s="26"/>
      <c r="DLY291" s="30"/>
      <c r="DMI291" s="25"/>
      <c r="DMJ291" s="25"/>
      <c r="DMK291" s="25"/>
      <c r="DML291" s="25"/>
      <c r="DMM291" s="25"/>
      <c r="DMN291" s="26"/>
      <c r="DMO291" s="30"/>
      <c r="DMY291" s="25"/>
      <c r="DMZ291" s="25"/>
      <c r="DNA291" s="25"/>
      <c r="DNB291" s="25"/>
      <c r="DNC291" s="25"/>
      <c r="DND291" s="26"/>
      <c r="DNE291" s="30"/>
      <c r="DNO291" s="25"/>
      <c r="DNP291" s="25"/>
      <c r="DNQ291" s="25"/>
      <c r="DNR291" s="25"/>
      <c r="DNS291" s="25"/>
      <c r="DNT291" s="26"/>
      <c r="DNU291" s="30"/>
      <c r="DOE291" s="25"/>
      <c r="DOF291" s="25"/>
      <c r="DOG291" s="25"/>
      <c r="DOH291" s="25"/>
      <c r="DOI291" s="25"/>
      <c r="DOJ291" s="26"/>
      <c r="DOK291" s="30"/>
      <c r="DOU291" s="25"/>
      <c r="DOV291" s="25"/>
      <c r="DOW291" s="25"/>
      <c r="DOX291" s="25"/>
      <c r="DOY291" s="25"/>
      <c r="DOZ291" s="26"/>
      <c r="DPA291" s="30"/>
      <c r="DPK291" s="25"/>
      <c r="DPL291" s="25"/>
      <c r="DPM291" s="25"/>
      <c r="DPN291" s="25"/>
      <c r="DPO291" s="25"/>
      <c r="DPP291" s="26"/>
      <c r="DPQ291" s="30"/>
      <c r="DQA291" s="25"/>
      <c r="DQB291" s="25"/>
      <c r="DQC291" s="25"/>
      <c r="DQD291" s="25"/>
      <c r="DQE291" s="25"/>
      <c r="DQF291" s="26"/>
      <c r="DQG291" s="30"/>
      <c r="DQQ291" s="25"/>
      <c r="DQR291" s="25"/>
      <c r="DQS291" s="25"/>
      <c r="DQT291" s="25"/>
      <c r="DQU291" s="25"/>
      <c r="DQV291" s="26"/>
      <c r="DQW291" s="30"/>
      <c r="DRG291" s="25"/>
      <c r="DRH291" s="25"/>
      <c r="DRI291" s="25"/>
      <c r="DRJ291" s="25"/>
      <c r="DRK291" s="25"/>
      <c r="DRL291" s="26"/>
      <c r="DRM291" s="30"/>
      <c r="DRW291" s="25"/>
      <c r="DRX291" s="25"/>
      <c r="DRY291" s="25"/>
      <c r="DRZ291" s="25"/>
      <c r="DSA291" s="25"/>
      <c r="DSB291" s="26"/>
      <c r="DSC291" s="30"/>
      <c r="DSM291" s="25"/>
      <c r="DSN291" s="25"/>
      <c r="DSO291" s="25"/>
      <c r="DSP291" s="25"/>
      <c r="DSQ291" s="25"/>
      <c r="DSR291" s="26"/>
      <c r="DSS291" s="30"/>
      <c r="DTC291" s="25"/>
      <c r="DTD291" s="25"/>
      <c r="DTE291" s="25"/>
      <c r="DTF291" s="25"/>
      <c r="DTG291" s="25"/>
      <c r="DTH291" s="26"/>
      <c r="DTI291" s="30"/>
      <c r="DTS291" s="25"/>
      <c r="DTT291" s="25"/>
      <c r="DTU291" s="25"/>
      <c r="DTV291" s="25"/>
      <c r="DTW291" s="25"/>
      <c r="DTX291" s="26"/>
      <c r="DTY291" s="30"/>
      <c r="DUI291" s="25"/>
      <c r="DUJ291" s="25"/>
      <c r="DUK291" s="25"/>
      <c r="DUL291" s="25"/>
      <c r="DUM291" s="25"/>
      <c r="DUN291" s="26"/>
      <c r="DUO291" s="30"/>
      <c r="DUY291" s="25"/>
      <c r="DUZ291" s="25"/>
      <c r="DVA291" s="25"/>
      <c r="DVB291" s="25"/>
      <c r="DVC291" s="25"/>
      <c r="DVD291" s="26"/>
      <c r="DVE291" s="30"/>
      <c r="DVO291" s="25"/>
      <c r="DVP291" s="25"/>
      <c r="DVQ291" s="25"/>
      <c r="DVR291" s="25"/>
      <c r="DVS291" s="25"/>
      <c r="DVT291" s="26"/>
      <c r="DVU291" s="30"/>
      <c r="DWE291" s="25"/>
      <c r="DWF291" s="25"/>
      <c r="DWG291" s="25"/>
      <c r="DWH291" s="25"/>
      <c r="DWI291" s="25"/>
      <c r="DWJ291" s="26"/>
      <c r="DWK291" s="30"/>
      <c r="DWU291" s="25"/>
      <c r="DWV291" s="25"/>
      <c r="DWW291" s="25"/>
      <c r="DWX291" s="25"/>
      <c r="DWY291" s="25"/>
      <c r="DWZ291" s="26"/>
      <c r="DXA291" s="30"/>
      <c r="DXK291" s="25"/>
      <c r="DXL291" s="25"/>
      <c r="DXM291" s="25"/>
      <c r="DXN291" s="25"/>
      <c r="DXO291" s="25"/>
      <c r="DXP291" s="26"/>
      <c r="DXQ291" s="30"/>
      <c r="DYA291" s="25"/>
      <c r="DYB291" s="25"/>
      <c r="DYC291" s="25"/>
      <c r="DYD291" s="25"/>
      <c r="DYE291" s="25"/>
      <c r="DYF291" s="26"/>
      <c r="DYG291" s="30"/>
      <c r="DYQ291" s="25"/>
      <c r="DYR291" s="25"/>
      <c r="DYS291" s="25"/>
      <c r="DYT291" s="25"/>
      <c r="DYU291" s="25"/>
      <c r="DYV291" s="26"/>
      <c r="DYW291" s="30"/>
      <c r="DZG291" s="25"/>
      <c r="DZH291" s="25"/>
      <c r="DZI291" s="25"/>
      <c r="DZJ291" s="25"/>
      <c r="DZK291" s="25"/>
      <c r="DZL291" s="26"/>
      <c r="DZM291" s="30"/>
      <c r="DZW291" s="25"/>
      <c r="DZX291" s="25"/>
      <c r="DZY291" s="25"/>
      <c r="DZZ291" s="25"/>
      <c r="EAA291" s="25"/>
      <c r="EAB291" s="26"/>
      <c r="EAC291" s="30"/>
      <c r="EAM291" s="25"/>
      <c r="EAN291" s="25"/>
      <c r="EAO291" s="25"/>
      <c r="EAP291" s="25"/>
      <c r="EAQ291" s="25"/>
      <c r="EAR291" s="26"/>
      <c r="EAS291" s="30"/>
      <c r="EBC291" s="25"/>
      <c r="EBD291" s="25"/>
      <c r="EBE291" s="25"/>
      <c r="EBF291" s="25"/>
      <c r="EBG291" s="25"/>
      <c r="EBH291" s="26"/>
      <c r="EBI291" s="30"/>
      <c r="EBS291" s="25"/>
      <c r="EBT291" s="25"/>
      <c r="EBU291" s="25"/>
      <c r="EBV291" s="25"/>
      <c r="EBW291" s="25"/>
      <c r="EBX291" s="26"/>
      <c r="EBY291" s="30"/>
      <c r="ECI291" s="25"/>
      <c r="ECJ291" s="25"/>
      <c r="ECK291" s="25"/>
      <c r="ECL291" s="25"/>
      <c r="ECM291" s="25"/>
      <c r="ECN291" s="26"/>
      <c r="ECO291" s="30"/>
      <c r="ECY291" s="25"/>
      <c r="ECZ291" s="25"/>
      <c r="EDA291" s="25"/>
      <c r="EDB291" s="25"/>
      <c r="EDC291" s="25"/>
      <c r="EDD291" s="26"/>
      <c r="EDE291" s="30"/>
      <c r="EDO291" s="25"/>
      <c r="EDP291" s="25"/>
      <c r="EDQ291" s="25"/>
      <c r="EDR291" s="25"/>
      <c r="EDS291" s="25"/>
      <c r="EDT291" s="26"/>
      <c r="EDU291" s="30"/>
      <c r="EEE291" s="25"/>
      <c r="EEF291" s="25"/>
      <c r="EEG291" s="25"/>
      <c r="EEH291" s="25"/>
      <c r="EEI291" s="25"/>
      <c r="EEJ291" s="26"/>
      <c r="EEK291" s="30"/>
      <c r="EEU291" s="25"/>
      <c r="EEV291" s="25"/>
      <c r="EEW291" s="25"/>
      <c r="EEX291" s="25"/>
      <c r="EEY291" s="25"/>
      <c r="EEZ291" s="26"/>
      <c r="EFA291" s="30"/>
      <c r="EFK291" s="25"/>
      <c r="EFL291" s="25"/>
      <c r="EFM291" s="25"/>
      <c r="EFN291" s="25"/>
      <c r="EFO291" s="25"/>
      <c r="EFP291" s="26"/>
      <c r="EFQ291" s="30"/>
      <c r="EGA291" s="25"/>
      <c r="EGB291" s="25"/>
      <c r="EGC291" s="25"/>
      <c r="EGD291" s="25"/>
      <c r="EGE291" s="25"/>
      <c r="EGF291" s="26"/>
      <c r="EGG291" s="30"/>
      <c r="EGQ291" s="25"/>
      <c r="EGR291" s="25"/>
      <c r="EGS291" s="25"/>
      <c r="EGT291" s="25"/>
      <c r="EGU291" s="25"/>
      <c r="EGV291" s="26"/>
      <c r="EGW291" s="30"/>
      <c r="EHG291" s="25"/>
      <c r="EHH291" s="25"/>
      <c r="EHI291" s="25"/>
      <c r="EHJ291" s="25"/>
      <c r="EHK291" s="25"/>
      <c r="EHL291" s="26"/>
      <c r="EHM291" s="30"/>
      <c r="EHW291" s="25"/>
      <c r="EHX291" s="25"/>
      <c r="EHY291" s="25"/>
      <c r="EHZ291" s="25"/>
      <c r="EIA291" s="25"/>
      <c r="EIB291" s="26"/>
      <c r="EIC291" s="30"/>
      <c r="EIM291" s="25"/>
      <c r="EIN291" s="25"/>
      <c r="EIO291" s="25"/>
      <c r="EIP291" s="25"/>
      <c r="EIQ291" s="25"/>
      <c r="EIR291" s="26"/>
      <c r="EIS291" s="30"/>
      <c r="EJC291" s="25"/>
      <c r="EJD291" s="25"/>
      <c r="EJE291" s="25"/>
      <c r="EJF291" s="25"/>
      <c r="EJG291" s="25"/>
      <c r="EJH291" s="26"/>
      <c r="EJI291" s="30"/>
      <c r="EJS291" s="25"/>
      <c r="EJT291" s="25"/>
      <c r="EJU291" s="25"/>
      <c r="EJV291" s="25"/>
      <c r="EJW291" s="25"/>
      <c r="EJX291" s="26"/>
      <c r="EJY291" s="30"/>
      <c r="EKI291" s="25"/>
      <c r="EKJ291" s="25"/>
      <c r="EKK291" s="25"/>
      <c r="EKL291" s="25"/>
      <c r="EKM291" s="25"/>
      <c r="EKN291" s="26"/>
      <c r="EKO291" s="30"/>
      <c r="EKY291" s="25"/>
      <c r="EKZ291" s="25"/>
      <c r="ELA291" s="25"/>
      <c r="ELB291" s="25"/>
      <c r="ELC291" s="25"/>
      <c r="ELD291" s="26"/>
      <c r="ELE291" s="30"/>
      <c r="ELO291" s="25"/>
      <c r="ELP291" s="25"/>
      <c r="ELQ291" s="25"/>
      <c r="ELR291" s="25"/>
      <c r="ELS291" s="25"/>
      <c r="ELT291" s="26"/>
      <c r="ELU291" s="30"/>
      <c r="EME291" s="25"/>
      <c r="EMF291" s="25"/>
      <c r="EMG291" s="25"/>
      <c r="EMH291" s="25"/>
      <c r="EMI291" s="25"/>
      <c r="EMJ291" s="26"/>
      <c r="EMK291" s="30"/>
      <c r="EMU291" s="25"/>
      <c r="EMV291" s="25"/>
      <c r="EMW291" s="25"/>
      <c r="EMX291" s="25"/>
      <c r="EMY291" s="25"/>
      <c r="EMZ291" s="26"/>
      <c r="ENA291" s="30"/>
      <c r="ENK291" s="25"/>
      <c r="ENL291" s="25"/>
      <c r="ENM291" s="25"/>
      <c r="ENN291" s="25"/>
      <c r="ENO291" s="25"/>
      <c r="ENP291" s="26"/>
      <c r="ENQ291" s="30"/>
      <c r="EOA291" s="25"/>
      <c r="EOB291" s="25"/>
      <c r="EOC291" s="25"/>
      <c r="EOD291" s="25"/>
      <c r="EOE291" s="25"/>
      <c r="EOF291" s="26"/>
      <c r="EOG291" s="30"/>
      <c r="EOQ291" s="25"/>
      <c r="EOR291" s="25"/>
      <c r="EOS291" s="25"/>
      <c r="EOT291" s="25"/>
      <c r="EOU291" s="25"/>
      <c r="EOV291" s="26"/>
      <c r="EOW291" s="30"/>
      <c r="EPG291" s="25"/>
      <c r="EPH291" s="25"/>
      <c r="EPI291" s="25"/>
      <c r="EPJ291" s="25"/>
      <c r="EPK291" s="25"/>
      <c r="EPL291" s="26"/>
      <c r="EPM291" s="30"/>
      <c r="EPW291" s="25"/>
      <c r="EPX291" s="25"/>
      <c r="EPY291" s="25"/>
      <c r="EPZ291" s="25"/>
      <c r="EQA291" s="25"/>
      <c r="EQB291" s="26"/>
      <c r="EQC291" s="30"/>
      <c r="EQM291" s="25"/>
      <c r="EQN291" s="25"/>
      <c r="EQO291" s="25"/>
      <c r="EQP291" s="25"/>
      <c r="EQQ291" s="25"/>
      <c r="EQR291" s="26"/>
      <c r="EQS291" s="30"/>
      <c r="ERC291" s="25"/>
      <c r="ERD291" s="25"/>
      <c r="ERE291" s="25"/>
      <c r="ERF291" s="25"/>
      <c r="ERG291" s="25"/>
      <c r="ERH291" s="26"/>
      <c r="ERI291" s="30"/>
      <c r="ERS291" s="25"/>
      <c r="ERT291" s="25"/>
      <c r="ERU291" s="25"/>
      <c r="ERV291" s="25"/>
      <c r="ERW291" s="25"/>
      <c r="ERX291" s="26"/>
      <c r="ERY291" s="30"/>
      <c r="ESI291" s="25"/>
      <c r="ESJ291" s="25"/>
      <c r="ESK291" s="25"/>
      <c r="ESL291" s="25"/>
      <c r="ESM291" s="25"/>
      <c r="ESN291" s="26"/>
      <c r="ESO291" s="30"/>
      <c r="ESY291" s="25"/>
      <c r="ESZ291" s="25"/>
      <c r="ETA291" s="25"/>
      <c r="ETB291" s="25"/>
      <c r="ETC291" s="25"/>
      <c r="ETD291" s="26"/>
      <c r="ETE291" s="30"/>
      <c r="ETO291" s="25"/>
      <c r="ETP291" s="25"/>
      <c r="ETQ291" s="25"/>
      <c r="ETR291" s="25"/>
      <c r="ETS291" s="25"/>
      <c r="ETT291" s="26"/>
      <c r="ETU291" s="30"/>
      <c r="EUE291" s="25"/>
      <c r="EUF291" s="25"/>
      <c r="EUG291" s="25"/>
      <c r="EUH291" s="25"/>
      <c r="EUI291" s="25"/>
      <c r="EUJ291" s="26"/>
      <c r="EUK291" s="30"/>
      <c r="EUU291" s="25"/>
      <c r="EUV291" s="25"/>
      <c r="EUW291" s="25"/>
      <c r="EUX291" s="25"/>
      <c r="EUY291" s="25"/>
      <c r="EUZ291" s="26"/>
      <c r="EVA291" s="30"/>
      <c r="EVK291" s="25"/>
      <c r="EVL291" s="25"/>
      <c r="EVM291" s="25"/>
      <c r="EVN291" s="25"/>
      <c r="EVO291" s="25"/>
      <c r="EVP291" s="26"/>
      <c r="EVQ291" s="30"/>
      <c r="EWA291" s="25"/>
      <c r="EWB291" s="25"/>
      <c r="EWC291" s="25"/>
      <c r="EWD291" s="25"/>
      <c r="EWE291" s="25"/>
      <c r="EWF291" s="26"/>
      <c r="EWG291" s="30"/>
      <c r="EWQ291" s="25"/>
      <c r="EWR291" s="25"/>
      <c r="EWS291" s="25"/>
      <c r="EWT291" s="25"/>
      <c r="EWU291" s="25"/>
      <c r="EWV291" s="26"/>
      <c r="EWW291" s="30"/>
      <c r="EXG291" s="25"/>
      <c r="EXH291" s="25"/>
      <c r="EXI291" s="25"/>
      <c r="EXJ291" s="25"/>
      <c r="EXK291" s="25"/>
      <c r="EXL291" s="26"/>
      <c r="EXM291" s="30"/>
      <c r="EXW291" s="25"/>
      <c r="EXX291" s="25"/>
      <c r="EXY291" s="25"/>
      <c r="EXZ291" s="25"/>
      <c r="EYA291" s="25"/>
      <c r="EYB291" s="26"/>
      <c r="EYC291" s="30"/>
      <c r="EYM291" s="25"/>
      <c r="EYN291" s="25"/>
      <c r="EYO291" s="25"/>
      <c r="EYP291" s="25"/>
      <c r="EYQ291" s="25"/>
      <c r="EYR291" s="26"/>
      <c r="EYS291" s="30"/>
      <c r="EZC291" s="25"/>
      <c r="EZD291" s="25"/>
      <c r="EZE291" s="25"/>
      <c r="EZF291" s="25"/>
      <c r="EZG291" s="25"/>
      <c r="EZH291" s="26"/>
      <c r="EZI291" s="30"/>
      <c r="EZS291" s="25"/>
      <c r="EZT291" s="25"/>
      <c r="EZU291" s="25"/>
      <c r="EZV291" s="25"/>
      <c r="EZW291" s="25"/>
      <c r="EZX291" s="26"/>
      <c r="EZY291" s="30"/>
      <c r="FAI291" s="25"/>
      <c r="FAJ291" s="25"/>
      <c r="FAK291" s="25"/>
      <c r="FAL291" s="25"/>
      <c r="FAM291" s="25"/>
      <c r="FAN291" s="26"/>
      <c r="FAO291" s="30"/>
      <c r="FAY291" s="25"/>
      <c r="FAZ291" s="25"/>
      <c r="FBA291" s="25"/>
      <c r="FBB291" s="25"/>
      <c r="FBC291" s="25"/>
      <c r="FBD291" s="26"/>
      <c r="FBE291" s="30"/>
      <c r="FBO291" s="25"/>
      <c r="FBP291" s="25"/>
      <c r="FBQ291" s="25"/>
      <c r="FBR291" s="25"/>
      <c r="FBS291" s="25"/>
      <c r="FBT291" s="26"/>
      <c r="FBU291" s="30"/>
      <c r="FCE291" s="25"/>
      <c r="FCF291" s="25"/>
      <c r="FCG291" s="25"/>
      <c r="FCH291" s="25"/>
      <c r="FCI291" s="25"/>
      <c r="FCJ291" s="26"/>
      <c r="FCK291" s="30"/>
      <c r="FCU291" s="25"/>
      <c r="FCV291" s="25"/>
      <c r="FCW291" s="25"/>
      <c r="FCX291" s="25"/>
      <c r="FCY291" s="25"/>
      <c r="FCZ291" s="26"/>
      <c r="FDA291" s="30"/>
      <c r="FDK291" s="25"/>
      <c r="FDL291" s="25"/>
      <c r="FDM291" s="25"/>
      <c r="FDN291" s="25"/>
      <c r="FDO291" s="25"/>
      <c r="FDP291" s="26"/>
      <c r="FDQ291" s="30"/>
      <c r="FEA291" s="25"/>
      <c r="FEB291" s="25"/>
      <c r="FEC291" s="25"/>
      <c r="FED291" s="25"/>
      <c r="FEE291" s="25"/>
      <c r="FEF291" s="26"/>
      <c r="FEG291" s="30"/>
      <c r="FEQ291" s="25"/>
      <c r="FER291" s="25"/>
      <c r="FES291" s="25"/>
      <c r="FET291" s="25"/>
      <c r="FEU291" s="25"/>
      <c r="FEV291" s="26"/>
      <c r="FEW291" s="30"/>
      <c r="FFG291" s="25"/>
      <c r="FFH291" s="25"/>
      <c r="FFI291" s="25"/>
      <c r="FFJ291" s="25"/>
      <c r="FFK291" s="25"/>
      <c r="FFL291" s="26"/>
      <c r="FFM291" s="30"/>
      <c r="FFW291" s="25"/>
      <c r="FFX291" s="25"/>
      <c r="FFY291" s="25"/>
      <c r="FFZ291" s="25"/>
      <c r="FGA291" s="25"/>
      <c r="FGB291" s="26"/>
      <c r="FGC291" s="30"/>
      <c r="FGM291" s="25"/>
      <c r="FGN291" s="25"/>
      <c r="FGO291" s="25"/>
      <c r="FGP291" s="25"/>
      <c r="FGQ291" s="25"/>
      <c r="FGR291" s="26"/>
      <c r="FGS291" s="30"/>
      <c r="FHC291" s="25"/>
      <c r="FHD291" s="25"/>
      <c r="FHE291" s="25"/>
      <c r="FHF291" s="25"/>
      <c r="FHG291" s="25"/>
      <c r="FHH291" s="26"/>
      <c r="FHI291" s="30"/>
      <c r="FHS291" s="25"/>
      <c r="FHT291" s="25"/>
      <c r="FHU291" s="25"/>
      <c r="FHV291" s="25"/>
      <c r="FHW291" s="25"/>
      <c r="FHX291" s="26"/>
      <c r="FHY291" s="30"/>
      <c r="FII291" s="25"/>
      <c r="FIJ291" s="25"/>
      <c r="FIK291" s="25"/>
      <c r="FIL291" s="25"/>
      <c r="FIM291" s="25"/>
      <c r="FIN291" s="26"/>
      <c r="FIO291" s="30"/>
      <c r="FIY291" s="25"/>
      <c r="FIZ291" s="25"/>
      <c r="FJA291" s="25"/>
      <c r="FJB291" s="25"/>
      <c r="FJC291" s="25"/>
      <c r="FJD291" s="26"/>
      <c r="FJE291" s="30"/>
      <c r="FJO291" s="25"/>
      <c r="FJP291" s="25"/>
      <c r="FJQ291" s="25"/>
      <c r="FJR291" s="25"/>
      <c r="FJS291" s="25"/>
      <c r="FJT291" s="26"/>
      <c r="FJU291" s="30"/>
      <c r="FKE291" s="25"/>
      <c r="FKF291" s="25"/>
      <c r="FKG291" s="25"/>
      <c r="FKH291" s="25"/>
      <c r="FKI291" s="25"/>
      <c r="FKJ291" s="26"/>
      <c r="FKK291" s="30"/>
      <c r="FKU291" s="25"/>
      <c r="FKV291" s="25"/>
      <c r="FKW291" s="25"/>
      <c r="FKX291" s="25"/>
      <c r="FKY291" s="25"/>
      <c r="FKZ291" s="26"/>
      <c r="FLA291" s="30"/>
      <c r="FLK291" s="25"/>
      <c r="FLL291" s="25"/>
      <c r="FLM291" s="25"/>
      <c r="FLN291" s="25"/>
      <c r="FLO291" s="25"/>
      <c r="FLP291" s="26"/>
      <c r="FLQ291" s="30"/>
      <c r="FMA291" s="25"/>
      <c r="FMB291" s="25"/>
      <c r="FMC291" s="25"/>
      <c r="FMD291" s="25"/>
      <c r="FME291" s="25"/>
      <c r="FMF291" s="26"/>
      <c r="FMG291" s="30"/>
      <c r="FMQ291" s="25"/>
      <c r="FMR291" s="25"/>
      <c r="FMS291" s="25"/>
      <c r="FMT291" s="25"/>
      <c r="FMU291" s="25"/>
      <c r="FMV291" s="26"/>
      <c r="FMW291" s="30"/>
      <c r="FNG291" s="25"/>
      <c r="FNH291" s="25"/>
      <c r="FNI291" s="25"/>
      <c r="FNJ291" s="25"/>
      <c r="FNK291" s="25"/>
      <c r="FNL291" s="26"/>
      <c r="FNM291" s="30"/>
      <c r="FNW291" s="25"/>
      <c r="FNX291" s="25"/>
      <c r="FNY291" s="25"/>
      <c r="FNZ291" s="25"/>
      <c r="FOA291" s="25"/>
      <c r="FOB291" s="26"/>
      <c r="FOC291" s="30"/>
      <c r="FOM291" s="25"/>
      <c r="FON291" s="25"/>
      <c r="FOO291" s="25"/>
      <c r="FOP291" s="25"/>
      <c r="FOQ291" s="25"/>
      <c r="FOR291" s="26"/>
      <c r="FOS291" s="30"/>
      <c r="FPC291" s="25"/>
      <c r="FPD291" s="25"/>
      <c r="FPE291" s="25"/>
      <c r="FPF291" s="25"/>
      <c r="FPG291" s="25"/>
      <c r="FPH291" s="26"/>
      <c r="FPI291" s="30"/>
      <c r="FPS291" s="25"/>
      <c r="FPT291" s="25"/>
      <c r="FPU291" s="25"/>
      <c r="FPV291" s="25"/>
      <c r="FPW291" s="25"/>
      <c r="FPX291" s="26"/>
      <c r="FPY291" s="30"/>
      <c r="FQI291" s="25"/>
      <c r="FQJ291" s="25"/>
      <c r="FQK291" s="25"/>
      <c r="FQL291" s="25"/>
      <c r="FQM291" s="25"/>
      <c r="FQN291" s="26"/>
      <c r="FQO291" s="30"/>
      <c r="FQY291" s="25"/>
      <c r="FQZ291" s="25"/>
      <c r="FRA291" s="25"/>
      <c r="FRB291" s="25"/>
      <c r="FRC291" s="25"/>
      <c r="FRD291" s="26"/>
      <c r="FRE291" s="30"/>
      <c r="FRO291" s="25"/>
      <c r="FRP291" s="25"/>
      <c r="FRQ291" s="25"/>
      <c r="FRR291" s="25"/>
      <c r="FRS291" s="25"/>
      <c r="FRT291" s="26"/>
      <c r="FRU291" s="30"/>
      <c r="FSE291" s="25"/>
      <c r="FSF291" s="25"/>
      <c r="FSG291" s="25"/>
      <c r="FSH291" s="25"/>
      <c r="FSI291" s="25"/>
      <c r="FSJ291" s="26"/>
      <c r="FSK291" s="30"/>
      <c r="FSU291" s="25"/>
      <c r="FSV291" s="25"/>
      <c r="FSW291" s="25"/>
      <c r="FSX291" s="25"/>
      <c r="FSY291" s="25"/>
      <c r="FSZ291" s="26"/>
      <c r="FTA291" s="30"/>
      <c r="FTK291" s="25"/>
      <c r="FTL291" s="25"/>
      <c r="FTM291" s="25"/>
      <c r="FTN291" s="25"/>
      <c r="FTO291" s="25"/>
      <c r="FTP291" s="26"/>
      <c r="FTQ291" s="30"/>
      <c r="FUA291" s="25"/>
      <c r="FUB291" s="25"/>
      <c r="FUC291" s="25"/>
      <c r="FUD291" s="25"/>
      <c r="FUE291" s="25"/>
      <c r="FUF291" s="26"/>
      <c r="FUG291" s="30"/>
      <c r="FUQ291" s="25"/>
      <c r="FUR291" s="25"/>
      <c r="FUS291" s="25"/>
      <c r="FUT291" s="25"/>
      <c r="FUU291" s="25"/>
      <c r="FUV291" s="26"/>
      <c r="FUW291" s="30"/>
      <c r="FVG291" s="25"/>
      <c r="FVH291" s="25"/>
      <c r="FVI291" s="25"/>
      <c r="FVJ291" s="25"/>
      <c r="FVK291" s="25"/>
      <c r="FVL291" s="26"/>
      <c r="FVM291" s="30"/>
      <c r="FVW291" s="25"/>
      <c r="FVX291" s="25"/>
      <c r="FVY291" s="25"/>
      <c r="FVZ291" s="25"/>
      <c r="FWA291" s="25"/>
      <c r="FWB291" s="26"/>
      <c r="FWC291" s="30"/>
      <c r="FWM291" s="25"/>
      <c r="FWN291" s="25"/>
      <c r="FWO291" s="25"/>
      <c r="FWP291" s="25"/>
      <c r="FWQ291" s="25"/>
      <c r="FWR291" s="26"/>
      <c r="FWS291" s="30"/>
      <c r="FXC291" s="25"/>
      <c r="FXD291" s="25"/>
      <c r="FXE291" s="25"/>
      <c r="FXF291" s="25"/>
      <c r="FXG291" s="25"/>
      <c r="FXH291" s="26"/>
      <c r="FXI291" s="30"/>
      <c r="FXS291" s="25"/>
      <c r="FXT291" s="25"/>
      <c r="FXU291" s="25"/>
      <c r="FXV291" s="25"/>
      <c r="FXW291" s="25"/>
      <c r="FXX291" s="26"/>
      <c r="FXY291" s="30"/>
      <c r="FYI291" s="25"/>
      <c r="FYJ291" s="25"/>
      <c r="FYK291" s="25"/>
      <c r="FYL291" s="25"/>
      <c r="FYM291" s="25"/>
      <c r="FYN291" s="26"/>
      <c r="FYO291" s="30"/>
      <c r="FYY291" s="25"/>
      <c r="FYZ291" s="25"/>
      <c r="FZA291" s="25"/>
      <c r="FZB291" s="25"/>
      <c r="FZC291" s="25"/>
      <c r="FZD291" s="26"/>
      <c r="FZE291" s="30"/>
      <c r="FZO291" s="25"/>
      <c r="FZP291" s="25"/>
      <c r="FZQ291" s="25"/>
      <c r="FZR291" s="25"/>
      <c r="FZS291" s="25"/>
      <c r="FZT291" s="26"/>
      <c r="FZU291" s="30"/>
      <c r="GAE291" s="25"/>
      <c r="GAF291" s="25"/>
      <c r="GAG291" s="25"/>
      <c r="GAH291" s="25"/>
      <c r="GAI291" s="25"/>
      <c r="GAJ291" s="26"/>
      <c r="GAK291" s="30"/>
      <c r="GAU291" s="25"/>
      <c r="GAV291" s="25"/>
      <c r="GAW291" s="25"/>
      <c r="GAX291" s="25"/>
      <c r="GAY291" s="25"/>
      <c r="GAZ291" s="26"/>
      <c r="GBA291" s="30"/>
      <c r="GBK291" s="25"/>
      <c r="GBL291" s="25"/>
      <c r="GBM291" s="25"/>
      <c r="GBN291" s="25"/>
      <c r="GBO291" s="25"/>
      <c r="GBP291" s="26"/>
      <c r="GBQ291" s="30"/>
      <c r="GCA291" s="25"/>
      <c r="GCB291" s="25"/>
      <c r="GCC291" s="25"/>
      <c r="GCD291" s="25"/>
      <c r="GCE291" s="25"/>
      <c r="GCF291" s="26"/>
      <c r="GCG291" s="30"/>
      <c r="GCQ291" s="25"/>
      <c r="GCR291" s="25"/>
      <c r="GCS291" s="25"/>
      <c r="GCT291" s="25"/>
      <c r="GCU291" s="25"/>
      <c r="GCV291" s="26"/>
      <c r="GCW291" s="30"/>
      <c r="GDG291" s="25"/>
      <c r="GDH291" s="25"/>
      <c r="GDI291" s="25"/>
      <c r="GDJ291" s="25"/>
      <c r="GDK291" s="25"/>
      <c r="GDL291" s="26"/>
      <c r="GDM291" s="30"/>
      <c r="GDW291" s="25"/>
      <c r="GDX291" s="25"/>
      <c r="GDY291" s="25"/>
      <c r="GDZ291" s="25"/>
      <c r="GEA291" s="25"/>
      <c r="GEB291" s="26"/>
      <c r="GEC291" s="30"/>
      <c r="GEM291" s="25"/>
      <c r="GEN291" s="25"/>
      <c r="GEO291" s="25"/>
      <c r="GEP291" s="25"/>
      <c r="GEQ291" s="25"/>
      <c r="GER291" s="26"/>
      <c r="GES291" s="30"/>
      <c r="GFC291" s="25"/>
      <c r="GFD291" s="25"/>
      <c r="GFE291" s="25"/>
      <c r="GFF291" s="25"/>
      <c r="GFG291" s="25"/>
      <c r="GFH291" s="26"/>
      <c r="GFI291" s="30"/>
      <c r="GFS291" s="25"/>
      <c r="GFT291" s="25"/>
      <c r="GFU291" s="25"/>
      <c r="GFV291" s="25"/>
      <c r="GFW291" s="25"/>
      <c r="GFX291" s="26"/>
      <c r="GFY291" s="30"/>
      <c r="GGI291" s="25"/>
      <c r="GGJ291" s="25"/>
      <c r="GGK291" s="25"/>
      <c r="GGL291" s="25"/>
      <c r="GGM291" s="25"/>
      <c r="GGN291" s="26"/>
      <c r="GGO291" s="30"/>
      <c r="GGY291" s="25"/>
      <c r="GGZ291" s="25"/>
      <c r="GHA291" s="25"/>
      <c r="GHB291" s="25"/>
      <c r="GHC291" s="25"/>
      <c r="GHD291" s="26"/>
      <c r="GHE291" s="30"/>
      <c r="GHO291" s="25"/>
      <c r="GHP291" s="25"/>
      <c r="GHQ291" s="25"/>
      <c r="GHR291" s="25"/>
      <c r="GHS291" s="25"/>
      <c r="GHT291" s="26"/>
      <c r="GHU291" s="30"/>
      <c r="GIE291" s="25"/>
      <c r="GIF291" s="25"/>
      <c r="GIG291" s="25"/>
      <c r="GIH291" s="25"/>
      <c r="GII291" s="25"/>
      <c r="GIJ291" s="26"/>
      <c r="GIK291" s="30"/>
      <c r="GIU291" s="25"/>
      <c r="GIV291" s="25"/>
      <c r="GIW291" s="25"/>
      <c r="GIX291" s="25"/>
      <c r="GIY291" s="25"/>
      <c r="GIZ291" s="26"/>
      <c r="GJA291" s="30"/>
      <c r="GJK291" s="25"/>
      <c r="GJL291" s="25"/>
      <c r="GJM291" s="25"/>
      <c r="GJN291" s="25"/>
      <c r="GJO291" s="25"/>
      <c r="GJP291" s="26"/>
      <c r="GJQ291" s="30"/>
      <c r="GKA291" s="25"/>
      <c r="GKB291" s="25"/>
      <c r="GKC291" s="25"/>
      <c r="GKD291" s="25"/>
      <c r="GKE291" s="25"/>
      <c r="GKF291" s="26"/>
      <c r="GKG291" s="30"/>
      <c r="GKQ291" s="25"/>
      <c r="GKR291" s="25"/>
      <c r="GKS291" s="25"/>
      <c r="GKT291" s="25"/>
      <c r="GKU291" s="25"/>
      <c r="GKV291" s="26"/>
      <c r="GKW291" s="30"/>
      <c r="GLG291" s="25"/>
      <c r="GLH291" s="25"/>
      <c r="GLI291" s="25"/>
      <c r="GLJ291" s="25"/>
      <c r="GLK291" s="25"/>
      <c r="GLL291" s="26"/>
      <c r="GLM291" s="30"/>
      <c r="GLW291" s="25"/>
      <c r="GLX291" s="25"/>
      <c r="GLY291" s="25"/>
      <c r="GLZ291" s="25"/>
      <c r="GMA291" s="25"/>
      <c r="GMB291" s="26"/>
      <c r="GMC291" s="30"/>
      <c r="GMM291" s="25"/>
      <c r="GMN291" s="25"/>
      <c r="GMO291" s="25"/>
      <c r="GMP291" s="25"/>
      <c r="GMQ291" s="25"/>
      <c r="GMR291" s="26"/>
      <c r="GMS291" s="30"/>
      <c r="GNC291" s="25"/>
      <c r="GND291" s="25"/>
      <c r="GNE291" s="25"/>
      <c r="GNF291" s="25"/>
      <c r="GNG291" s="25"/>
      <c r="GNH291" s="26"/>
      <c r="GNI291" s="30"/>
      <c r="GNS291" s="25"/>
      <c r="GNT291" s="25"/>
      <c r="GNU291" s="25"/>
      <c r="GNV291" s="25"/>
      <c r="GNW291" s="25"/>
      <c r="GNX291" s="26"/>
      <c r="GNY291" s="30"/>
      <c r="GOI291" s="25"/>
      <c r="GOJ291" s="25"/>
      <c r="GOK291" s="25"/>
      <c r="GOL291" s="25"/>
      <c r="GOM291" s="25"/>
      <c r="GON291" s="26"/>
      <c r="GOO291" s="30"/>
      <c r="GOY291" s="25"/>
      <c r="GOZ291" s="25"/>
      <c r="GPA291" s="25"/>
      <c r="GPB291" s="25"/>
      <c r="GPC291" s="25"/>
      <c r="GPD291" s="26"/>
      <c r="GPE291" s="30"/>
      <c r="GPO291" s="25"/>
      <c r="GPP291" s="25"/>
      <c r="GPQ291" s="25"/>
      <c r="GPR291" s="25"/>
      <c r="GPS291" s="25"/>
      <c r="GPT291" s="26"/>
      <c r="GPU291" s="30"/>
      <c r="GQE291" s="25"/>
      <c r="GQF291" s="25"/>
      <c r="GQG291" s="25"/>
      <c r="GQH291" s="25"/>
      <c r="GQI291" s="25"/>
      <c r="GQJ291" s="26"/>
      <c r="GQK291" s="30"/>
      <c r="GQU291" s="25"/>
      <c r="GQV291" s="25"/>
      <c r="GQW291" s="25"/>
      <c r="GQX291" s="25"/>
      <c r="GQY291" s="25"/>
      <c r="GQZ291" s="26"/>
      <c r="GRA291" s="30"/>
      <c r="GRK291" s="25"/>
      <c r="GRL291" s="25"/>
      <c r="GRM291" s="25"/>
      <c r="GRN291" s="25"/>
      <c r="GRO291" s="25"/>
      <c r="GRP291" s="26"/>
      <c r="GRQ291" s="30"/>
      <c r="GSA291" s="25"/>
      <c r="GSB291" s="25"/>
      <c r="GSC291" s="25"/>
      <c r="GSD291" s="25"/>
      <c r="GSE291" s="25"/>
      <c r="GSF291" s="26"/>
      <c r="GSG291" s="30"/>
      <c r="GSQ291" s="25"/>
      <c r="GSR291" s="25"/>
      <c r="GSS291" s="25"/>
      <c r="GST291" s="25"/>
      <c r="GSU291" s="25"/>
      <c r="GSV291" s="26"/>
      <c r="GSW291" s="30"/>
      <c r="GTG291" s="25"/>
      <c r="GTH291" s="25"/>
      <c r="GTI291" s="25"/>
      <c r="GTJ291" s="25"/>
      <c r="GTK291" s="25"/>
      <c r="GTL291" s="26"/>
      <c r="GTM291" s="30"/>
      <c r="GTW291" s="25"/>
      <c r="GTX291" s="25"/>
      <c r="GTY291" s="25"/>
      <c r="GTZ291" s="25"/>
      <c r="GUA291" s="25"/>
      <c r="GUB291" s="26"/>
      <c r="GUC291" s="30"/>
      <c r="GUM291" s="25"/>
      <c r="GUN291" s="25"/>
      <c r="GUO291" s="25"/>
      <c r="GUP291" s="25"/>
      <c r="GUQ291" s="25"/>
      <c r="GUR291" s="26"/>
      <c r="GUS291" s="30"/>
      <c r="GVC291" s="25"/>
      <c r="GVD291" s="25"/>
      <c r="GVE291" s="25"/>
      <c r="GVF291" s="25"/>
      <c r="GVG291" s="25"/>
      <c r="GVH291" s="26"/>
      <c r="GVI291" s="30"/>
      <c r="GVS291" s="25"/>
      <c r="GVT291" s="25"/>
      <c r="GVU291" s="25"/>
      <c r="GVV291" s="25"/>
      <c r="GVW291" s="25"/>
      <c r="GVX291" s="26"/>
      <c r="GVY291" s="30"/>
      <c r="GWI291" s="25"/>
      <c r="GWJ291" s="25"/>
      <c r="GWK291" s="25"/>
      <c r="GWL291" s="25"/>
      <c r="GWM291" s="25"/>
      <c r="GWN291" s="26"/>
      <c r="GWO291" s="30"/>
      <c r="GWY291" s="25"/>
      <c r="GWZ291" s="25"/>
      <c r="GXA291" s="25"/>
      <c r="GXB291" s="25"/>
      <c r="GXC291" s="25"/>
      <c r="GXD291" s="26"/>
      <c r="GXE291" s="30"/>
      <c r="GXO291" s="25"/>
      <c r="GXP291" s="25"/>
      <c r="GXQ291" s="25"/>
      <c r="GXR291" s="25"/>
      <c r="GXS291" s="25"/>
      <c r="GXT291" s="26"/>
      <c r="GXU291" s="30"/>
      <c r="GYE291" s="25"/>
      <c r="GYF291" s="25"/>
      <c r="GYG291" s="25"/>
      <c r="GYH291" s="25"/>
      <c r="GYI291" s="25"/>
      <c r="GYJ291" s="26"/>
      <c r="GYK291" s="30"/>
      <c r="GYU291" s="25"/>
      <c r="GYV291" s="25"/>
      <c r="GYW291" s="25"/>
      <c r="GYX291" s="25"/>
      <c r="GYY291" s="25"/>
      <c r="GYZ291" s="26"/>
      <c r="GZA291" s="30"/>
      <c r="GZK291" s="25"/>
      <c r="GZL291" s="25"/>
      <c r="GZM291" s="25"/>
      <c r="GZN291" s="25"/>
      <c r="GZO291" s="25"/>
      <c r="GZP291" s="26"/>
      <c r="GZQ291" s="30"/>
      <c r="HAA291" s="25"/>
      <c r="HAB291" s="25"/>
      <c r="HAC291" s="25"/>
      <c r="HAD291" s="25"/>
      <c r="HAE291" s="25"/>
      <c r="HAF291" s="26"/>
      <c r="HAG291" s="30"/>
      <c r="HAQ291" s="25"/>
      <c r="HAR291" s="25"/>
      <c r="HAS291" s="25"/>
      <c r="HAT291" s="25"/>
      <c r="HAU291" s="25"/>
      <c r="HAV291" s="26"/>
      <c r="HAW291" s="30"/>
      <c r="HBG291" s="25"/>
      <c r="HBH291" s="25"/>
      <c r="HBI291" s="25"/>
      <c r="HBJ291" s="25"/>
      <c r="HBK291" s="25"/>
      <c r="HBL291" s="26"/>
      <c r="HBM291" s="30"/>
      <c r="HBW291" s="25"/>
      <c r="HBX291" s="25"/>
      <c r="HBY291" s="25"/>
      <c r="HBZ291" s="25"/>
      <c r="HCA291" s="25"/>
      <c r="HCB291" s="26"/>
      <c r="HCC291" s="30"/>
      <c r="HCM291" s="25"/>
      <c r="HCN291" s="25"/>
      <c r="HCO291" s="25"/>
      <c r="HCP291" s="25"/>
      <c r="HCQ291" s="25"/>
      <c r="HCR291" s="26"/>
      <c r="HCS291" s="30"/>
      <c r="HDC291" s="25"/>
      <c r="HDD291" s="25"/>
      <c r="HDE291" s="25"/>
      <c r="HDF291" s="25"/>
      <c r="HDG291" s="25"/>
      <c r="HDH291" s="26"/>
      <c r="HDI291" s="30"/>
      <c r="HDS291" s="25"/>
      <c r="HDT291" s="25"/>
      <c r="HDU291" s="25"/>
      <c r="HDV291" s="25"/>
      <c r="HDW291" s="25"/>
      <c r="HDX291" s="26"/>
      <c r="HDY291" s="30"/>
      <c r="HEI291" s="25"/>
      <c r="HEJ291" s="25"/>
      <c r="HEK291" s="25"/>
      <c r="HEL291" s="25"/>
      <c r="HEM291" s="25"/>
      <c r="HEN291" s="26"/>
      <c r="HEO291" s="30"/>
      <c r="HEY291" s="25"/>
      <c r="HEZ291" s="25"/>
      <c r="HFA291" s="25"/>
      <c r="HFB291" s="25"/>
      <c r="HFC291" s="25"/>
      <c r="HFD291" s="26"/>
      <c r="HFE291" s="30"/>
      <c r="HFO291" s="25"/>
      <c r="HFP291" s="25"/>
      <c r="HFQ291" s="25"/>
      <c r="HFR291" s="25"/>
      <c r="HFS291" s="25"/>
      <c r="HFT291" s="26"/>
      <c r="HFU291" s="30"/>
      <c r="HGE291" s="25"/>
      <c r="HGF291" s="25"/>
      <c r="HGG291" s="25"/>
      <c r="HGH291" s="25"/>
      <c r="HGI291" s="25"/>
      <c r="HGJ291" s="26"/>
      <c r="HGK291" s="30"/>
      <c r="HGU291" s="25"/>
      <c r="HGV291" s="25"/>
      <c r="HGW291" s="25"/>
      <c r="HGX291" s="25"/>
      <c r="HGY291" s="25"/>
      <c r="HGZ291" s="26"/>
      <c r="HHA291" s="30"/>
      <c r="HHK291" s="25"/>
      <c r="HHL291" s="25"/>
      <c r="HHM291" s="25"/>
      <c r="HHN291" s="25"/>
      <c r="HHO291" s="25"/>
      <c r="HHP291" s="26"/>
      <c r="HHQ291" s="30"/>
      <c r="HIA291" s="25"/>
      <c r="HIB291" s="25"/>
      <c r="HIC291" s="25"/>
      <c r="HID291" s="25"/>
      <c r="HIE291" s="25"/>
      <c r="HIF291" s="26"/>
      <c r="HIG291" s="30"/>
      <c r="HIQ291" s="25"/>
      <c r="HIR291" s="25"/>
      <c r="HIS291" s="25"/>
      <c r="HIT291" s="25"/>
      <c r="HIU291" s="25"/>
      <c r="HIV291" s="26"/>
      <c r="HIW291" s="30"/>
      <c r="HJG291" s="25"/>
      <c r="HJH291" s="25"/>
      <c r="HJI291" s="25"/>
      <c r="HJJ291" s="25"/>
      <c r="HJK291" s="25"/>
      <c r="HJL291" s="26"/>
      <c r="HJM291" s="30"/>
      <c r="HJW291" s="25"/>
      <c r="HJX291" s="25"/>
      <c r="HJY291" s="25"/>
      <c r="HJZ291" s="25"/>
      <c r="HKA291" s="25"/>
      <c r="HKB291" s="26"/>
      <c r="HKC291" s="30"/>
      <c r="HKM291" s="25"/>
      <c r="HKN291" s="25"/>
      <c r="HKO291" s="25"/>
      <c r="HKP291" s="25"/>
      <c r="HKQ291" s="25"/>
      <c r="HKR291" s="26"/>
      <c r="HKS291" s="30"/>
      <c r="HLC291" s="25"/>
      <c r="HLD291" s="25"/>
      <c r="HLE291" s="25"/>
      <c r="HLF291" s="25"/>
      <c r="HLG291" s="25"/>
      <c r="HLH291" s="26"/>
      <c r="HLI291" s="30"/>
      <c r="HLS291" s="25"/>
      <c r="HLT291" s="25"/>
      <c r="HLU291" s="25"/>
      <c r="HLV291" s="25"/>
      <c r="HLW291" s="25"/>
      <c r="HLX291" s="26"/>
      <c r="HLY291" s="30"/>
      <c r="HMI291" s="25"/>
      <c r="HMJ291" s="25"/>
      <c r="HMK291" s="25"/>
      <c r="HML291" s="25"/>
      <c r="HMM291" s="25"/>
      <c r="HMN291" s="26"/>
      <c r="HMO291" s="30"/>
      <c r="HMY291" s="25"/>
      <c r="HMZ291" s="25"/>
      <c r="HNA291" s="25"/>
      <c r="HNB291" s="25"/>
      <c r="HNC291" s="25"/>
      <c r="HND291" s="26"/>
      <c r="HNE291" s="30"/>
      <c r="HNO291" s="25"/>
      <c r="HNP291" s="25"/>
      <c r="HNQ291" s="25"/>
      <c r="HNR291" s="25"/>
      <c r="HNS291" s="25"/>
      <c r="HNT291" s="26"/>
      <c r="HNU291" s="30"/>
      <c r="HOE291" s="25"/>
      <c r="HOF291" s="25"/>
      <c r="HOG291" s="25"/>
      <c r="HOH291" s="25"/>
      <c r="HOI291" s="25"/>
      <c r="HOJ291" s="26"/>
      <c r="HOK291" s="30"/>
      <c r="HOU291" s="25"/>
      <c r="HOV291" s="25"/>
      <c r="HOW291" s="25"/>
      <c r="HOX291" s="25"/>
      <c r="HOY291" s="25"/>
      <c r="HOZ291" s="26"/>
      <c r="HPA291" s="30"/>
      <c r="HPK291" s="25"/>
      <c r="HPL291" s="25"/>
      <c r="HPM291" s="25"/>
      <c r="HPN291" s="25"/>
      <c r="HPO291" s="25"/>
      <c r="HPP291" s="26"/>
      <c r="HPQ291" s="30"/>
      <c r="HQA291" s="25"/>
      <c r="HQB291" s="25"/>
      <c r="HQC291" s="25"/>
      <c r="HQD291" s="25"/>
      <c r="HQE291" s="25"/>
      <c r="HQF291" s="26"/>
      <c r="HQG291" s="30"/>
      <c r="HQQ291" s="25"/>
      <c r="HQR291" s="25"/>
      <c r="HQS291" s="25"/>
      <c r="HQT291" s="25"/>
      <c r="HQU291" s="25"/>
      <c r="HQV291" s="26"/>
      <c r="HQW291" s="30"/>
      <c r="HRG291" s="25"/>
      <c r="HRH291" s="25"/>
      <c r="HRI291" s="25"/>
      <c r="HRJ291" s="25"/>
      <c r="HRK291" s="25"/>
      <c r="HRL291" s="26"/>
      <c r="HRM291" s="30"/>
      <c r="HRW291" s="25"/>
      <c r="HRX291" s="25"/>
      <c r="HRY291" s="25"/>
      <c r="HRZ291" s="25"/>
      <c r="HSA291" s="25"/>
      <c r="HSB291" s="26"/>
      <c r="HSC291" s="30"/>
      <c r="HSM291" s="25"/>
      <c r="HSN291" s="25"/>
      <c r="HSO291" s="25"/>
      <c r="HSP291" s="25"/>
      <c r="HSQ291" s="25"/>
      <c r="HSR291" s="26"/>
      <c r="HSS291" s="30"/>
      <c r="HTC291" s="25"/>
      <c r="HTD291" s="25"/>
      <c r="HTE291" s="25"/>
      <c r="HTF291" s="25"/>
      <c r="HTG291" s="25"/>
      <c r="HTH291" s="26"/>
      <c r="HTI291" s="30"/>
      <c r="HTS291" s="25"/>
      <c r="HTT291" s="25"/>
      <c r="HTU291" s="25"/>
      <c r="HTV291" s="25"/>
      <c r="HTW291" s="25"/>
      <c r="HTX291" s="26"/>
      <c r="HTY291" s="30"/>
      <c r="HUI291" s="25"/>
      <c r="HUJ291" s="25"/>
      <c r="HUK291" s="25"/>
      <c r="HUL291" s="25"/>
      <c r="HUM291" s="25"/>
      <c r="HUN291" s="26"/>
      <c r="HUO291" s="30"/>
      <c r="HUY291" s="25"/>
      <c r="HUZ291" s="25"/>
      <c r="HVA291" s="25"/>
      <c r="HVB291" s="25"/>
      <c r="HVC291" s="25"/>
      <c r="HVD291" s="26"/>
      <c r="HVE291" s="30"/>
      <c r="HVO291" s="25"/>
      <c r="HVP291" s="25"/>
      <c r="HVQ291" s="25"/>
      <c r="HVR291" s="25"/>
      <c r="HVS291" s="25"/>
      <c r="HVT291" s="26"/>
      <c r="HVU291" s="30"/>
      <c r="HWE291" s="25"/>
      <c r="HWF291" s="25"/>
      <c r="HWG291" s="25"/>
      <c r="HWH291" s="25"/>
      <c r="HWI291" s="25"/>
      <c r="HWJ291" s="26"/>
      <c r="HWK291" s="30"/>
      <c r="HWU291" s="25"/>
      <c r="HWV291" s="25"/>
      <c r="HWW291" s="25"/>
      <c r="HWX291" s="25"/>
      <c r="HWY291" s="25"/>
      <c r="HWZ291" s="26"/>
      <c r="HXA291" s="30"/>
      <c r="HXK291" s="25"/>
      <c r="HXL291" s="25"/>
      <c r="HXM291" s="25"/>
      <c r="HXN291" s="25"/>
      <c r="HXO291" s="25"/>
      <c r="HXP291" s="26"/>
      <c r="HXQ291" s="30"/>
      <c r="HYA291" s="25"/>
      <c r="HYB291" s="25"/>
      <c r="HYC291" s="25"/>
      <c r="HYD291" s="25"/>
      <c r="HYE291" s="25"/>
      <c r="HYF291" s="26"/>
      <c r="HYG291" s="30"/>
      <c r="HYQ291" s="25"/>
      <c r="HYR291" s="25"/>
      <c r="HYS291" s="25"/>
      <c r="HYT291" s="25"/>
      <c r="HYU291" s="25"/>
      <c r="HYV291" s="26"/>
      <c r="HYW291" s="30"/>
      <c r="HZG291" s="25"/>
      <c r="HZH291" s="25"/>
      <c r="HZI291" s="25"/>
      <c r="HZJ291" s="25"/>
      <c r="HZK291" s="25"/>
      <c r="HZL291" s="26"/>
      <c r="HZM291" s="30"/>
      <c r="HZW291" s="25"/>
      <c r="HZX291" s="25"/>
      <c r="HZY291" s="25"/>
      <c r="HZZ291" s="25"/>
      <c r="IAA291" s="25"/>
      <c r="IAB291" s="26"/>
      <c r="IAC291" s="30"/>
      <c r="IAM291" s="25"/>
      <c r="IAN291" s="25"/>
      <c r="IAO291" s="25"/>
      <c r="IAP291" s="25"/>
      <c r="IAQ291" s="25"/>
      <c r="IAR291" s="26"/>
      <c r="IAS291" s="30"/>
      <c r="IBC291" s="25"/>
      <c r="IBD291" s="25"/>
      <c r="IBE291" s="25"/>
      <c r="IBF291" s="25"/>
      <c r="IBG291" s="25"/>
      <c r="IBH291" s="26"/>
      <c r="IBI291" s="30"/>
      <c r="IBS291" s="25"/>
      <c r="IBT291" s="25"/>
      <c r="IBU291" s="25"/>
      <c r="IBV291" s="25"/>
      <c r="IBW291" s="25"/>
      <c r="IBX291" s="26"/>
      <c r="IBY291" s="30"/>
      <c r="ICI291" s="25"/>
      <c r="ICJ291" s="25"/>
      <c r="ICK291" s="25"/>
      <c r="ICL291" s="25"/>
      <c r="ICM291" s="25"/>
      <c r="ICN291" s="26"/>
      <c r="ICO291" s="30"/>
      <c r="ICY291" s="25"/>
      <c r="ICZ291" s="25"/>
      <c r="IDA291" s="25"/>
      <c r="IDB291" s="25"/>
      <c r="IDC291" s="25"/>
      <c r="IDD291" s="26"/>
      <c r="IDE291" s="30"/>
      <c r="IDO291" s="25"/>
      <c r="IDP291" s="25"/>
      <c r="IDQ291" s="25"/>
      <c r="IDR291" s="25"/>
      <c r="IDS291" s="25"/>
      <c r="IDT291" s="26"/>
      <c r="IDU291" s="30"/>
      <c r="IEE291" s="25"/>
      <c r="IEF291" s="25"/>
      <c r="IEG291" s="25"/>
      <c r="IEH291" s="25"/>
      <c r="IEI291" s="25"/>
      <c r="IEJ291" s="26"/>
      <c r="IEK291" s="30"/>
      <c r="IEU291" s="25"/>
      <c r="IEV291" s="25"/>
      <c r="IEW291" s="25"/>
      <c r="IEX291" s="25"/>
      <c r="IEY291" s="25"/>
      <c r="IEZ291" s="26"/>
      <c r="IFA291" s="30"/>
      <c r="IFK291" s="25"/>
      <c r="IFL291" s="25"/>
      <c r="IFM291" s="25"/>
      <c r="IFN291" s="25"/>
      <c r="IFO291" s="25"/>
      <c r="IFP291" s="26"/>
      <c r="IFQ291" s="30"/>
      <c r="IGA291" s="25"/>
      <c r="IGB291" s="25"/>
      <c r="IGC291" s="25"/>
      <c r="IGD291" s="25"/>
      <c r="IGE291" s="25"/>
      <c r="IGF291" s="26"/>
      <c r="IGG291" s="30"/>
      <c r="IGQ291" s="25"/>
      <c r="IGR291" s="25"/>
      <c r="IGS291" s="25"/>
      <c r="IGT291" s="25"/>
      <c r="IGU291" s="25"/>
      <c r="IGV291" s="26"/>
      <c r="IGW291" s="30"/>
      <c r="IHG291" s="25"/>
      <c r="IHH291" s="25"/>
      <c r="IHI291" s="25"/>
      <c r="IHJ291" s="25"/>
      <c r="IHK291" s="25"/>
      <c r="IHL291" s="26"/>
      <c r="IHM291" s="30"/>
      <c r="IHW291" s="25"/>
      <c r="IHX291" s="25"/>
      <c r="IHY291" s="25"/>
      <c r="IHZ291" s="25"/>
      <c r="IIA291" s="25"/>
      <c r="IIB291" s="26"/>
      <c r="IIC291" s="30"/>
      <c r="IIM291" s="25"/>
      <c r="IIN291" s="25"/>
      <c r="IIO291" s="25"/>
      <c r="IIP291" s="25"/>
      <c r="IIQ291" s="25"/>
      <c r="IIR291" s="26"/>
      <c r="IIS291" s="30"/>
      <c r="IJC291" s="25"/>
      <c r="IJD291" s="25"/>
      <c r="IJE291" s="25"/>
      <c r="IJF291" s="25"/>
      <c r="IJG291" s="25"/>
      <c r="IJH291" s="26"/>
      <c r="IJI291" s="30"/>
      <c r="IJS291" s="25"/>
      <c r="IJT291" s="25"/>
      <c r="IJU291" s="25"/>
      <c r="IJV291" s="25"/>
      <c r="IJW291" s="25"/>
      <c r="IJX291" s="26"/>
      <c r="IJY291" s="30"/>
      <c r="IKI291" s="25"/>
      <c r="IKJ291" s="25"/>
      <c r="IKK291" s="25"/>
      <c r="IKL291" s="25"/>
      <c r="IKM291" s="25"/>
      <c r="IKN291" s="26"/>
      <c r="IKO291" s="30"/>
      <c r="IKY291" s="25"/>
      <c r="IKZ291" s="25"/>
      <c r="ILA291" s="25"/>
      <c r="ILB291" s="25"/>
      <c r="ILC291" s="25"/>
      <c r="ILD291" s="26"/>
      <c r="ILE291" s="30"/>
      <c r="ILO291" s="25"/>
      <c r="ILP291" s="25"/>
      <c r="ILQ291" s="25"/>
      <c r="ILR291" s="25"/>
      <c r="ILS291" s="25"/>
      <c r="ILT291" s="26"/>
      <c r="ILU291" s="30"/>
      <c r="IME291" s="25"/>
      <c r="IMF291" s="25"/>
      <c r="IMG291" s="25"/>
      <c r="IMH291" s="25"/>
      <c r="IMI291" s="25"/>
      <c r="IMJ291" s="26"/>
      <c r="IMK291" s="30"/>
      <c r="IMU291" s="25"/>
      <c r="IMV291" s="25"/>
      <c r="IMW291" s="25"/>
      <c r="IMX291" s="25"/>
      <c r="IMY291" s="25"/>
      <c r="IMZ291" s="26"/>
      <c r="INA291" s="30"/>
      <c r="INK291" s="25"/>
      <c r="INL291" s="25"/>
      <c r="INM291" s="25"/>
      <c r="INN291" s="25"/>
      <c r="INO291" s="25"/>
      <c r="INP291" s="26"/>
      <c r="INQ291" s="30"/>
      <c r="IOA291" s="25"/>
      <c r="IOB291" s="25"/>
      <c r="IOC291" s="25"/>
      <c r="IOD291" s="25"/>
      <c r="IOE291" s="25"/>
      <c r="IOF291" s="26"/>
      <c r="IOG291" s="30"/>
      <c r="IOQ291" s="25"/>
      <c r="IOR291" s="25"/>
      <c r="IOS291" s="25"/>
      <c r="IOT291" s="25"/>
      <c r="IOU291" s="25"/>
      <c r="IOV291" s="26"/>
      <c r="IOW291" s="30"/>
      <c r="IPG291" s="25"/>
      <c r="IPH291" s="25"/>
      <c r="IPI291" s="25"/>
      <c r="IPJ291" s="25"/>
      <c r="IPK291" s="25"/>
      <c r="IPL291" s="26"/>
      <c r="IPM291" s="30"/>
      <c r="IPW291" s="25"/>
      <c r="IPX291" s="25"/>
      <c r="IPY291" s="25"/>
      <c r="IPZ291" s="25"/>
      <c r="IQA291" s="25"/>
      <c r="IQB291" s="26"/>
      <c r="IQC291" s="30"/>
      <c r="IQM291" s="25"/>
      <c r="IQN291" s="25"/>
      <c r="IQO291" s="25"/>
      <c r="IQP291" s="25"/>
      <c r="IQQ291" s="25"/>
      <c r="IQR291" s="26"/>
      <c r="IQS291" s="30"/>
      <c r="IRC291" s="25"/>
      <c r="IRD291" s="25"/>
      <c r="IRE291" s="25"/>
      <c r="IRF291" s="25"/>
      <c r="IRG291" s="25"/>
      <c r="IRH291" s="26"/>
      <c r="IRI291" s="30"/>
      <c r="IRS291" s="25"/>
      <c r="IRT291" s="25"/>
      <c r="IRU291" s="25"/>
      <c r="IRV291" s="25"/>
      <c r="IRW291" s="25"/>
      <c r="IRX291" s="26"/>
      <c r="IRY291" s="30"/>
      <c r="ISI291" s="25"/>
      <c r="ISJ291" s="25"/>
      <c r="ISK291" s="25"/>
      <c r="ISL291" s="25"/>
      <c r="ISM291" s="25"/>
      <c r="ISN291" s="26"/>
      <c r="ISO291" s="30"/>
      <c r="ISY291" s="25"/>
      <c r="ISZ291" s="25"/>
      <c r="ITA291" s="25"/>
      <c r="ITB291" s="25"/>
      <c r="ITC291" s="25"/>
      <c r="ITD291" s="26"/>
      <c r="ITE291" s="30"/>
      <c r="ITO291" s="25"/>
      <c r="ITP291" s="25"/>
      <c r="ITQ291" s="25"/>
      <c r="ITR291" s="25"/>
      <c r="ITS291" s="25"/>
      <c r="ITT291" s="26"/>
      <c r="ITU291" s="30"/>
      <c r="IUE291" s="25"/>
      <c r="IUF291" s="25"/>
      <c r="IUG291" s="25"/>
      <c r="IUH291" s="25"/>
      <c r="IUI291" s="25"/>
      <c r="IUJ291" s="26"/>
      <c r="IUK291" s="30"/>
      <c r="IUU291" s="25"/>
      <c r="IUV291" s="25"/>
      <c r="IUW291" s="25"/>
      <c r="IUX291" s="25"/>
      <c r="IUY291" s="25"/>
      <c r="IUZ291" s="26"/>
      <c r="IVA291" s="30"/>
      <c r="IVK291" s="25"/>
      <c r="IVL291" s="25"/>
      <c r="IVM291" s="25"/>
      <c r="IVN291" s="25"/>
      <c r="IVO291" s="25"/>
      <c r="IVP291" s="26"/>
      <c r="IVQ291" s="30"/>
      <c r="IWA291" s="25"/>
      <c r="IWB291" s="25"/>
      <c r="IWC291" s="25"/>
      <c r="IWD291" s="25"/>
      <c r="IWE291" s="25"/>
      <c r="IWF291" s="26"/>
      <c r="IWG291" s="30"/>
      <c r="IWQ291" s="25"/>
      <c r="IWR291" s="25"/>
      <c r="IWS291" s="25"/>
      <c r="IWT291" s="25"/>
      <c r="IWU291" s="25"/>
      <c r="IWV291" s="26"/>
      <c r="IWW291" s="30"/>
      <c r="IXG291" s="25"/>
      <c r="IXH291" s="25"/>
      <c r="IXI291" s="25"/>
      <c r="IXJ291" s="25"/>
      <c r="IXK291" s="25"/>
      <c r="IXL291" s="26"/>
      <c r="IXM291" s="30"/>
      <c r="IXW291" s="25"/>
      <c r="IXX291" s="25"/>
      <c r="IXY291" s="25"/>
      <c r="IXZ291" s="25"/>
      <c r="IYA291" s="25"/>
      <c r="IYB291" s="26"/>
      <c r="IYC291" s="30"/>
      <c r="IYM291" s="25"/>
      <c r="IYN291" s="25"/>
      <c r="IYO291" s="25"/>
      <c r="IYP291" s="25"/>
      <c r="IYQ291" s="25"/>
      <c r="IYR291" s="26"/>
      <c r="IYS291" s="30"/>
      <c r="IZC291" s="25"/>
      <c r="IZD291" s="25"/>
      <c r="IZE291" s="25"/>
      <c r="IZF291" s="25"/>
      <c r="IZG291" s="25"/>
      <c r="IZH291" s="26"/>
      <c r="IZI291" s="30"/>
      <c r="IZS291" s="25"/>
      <c r="IZT291" s="25"/>
      <c r="IZU291" s="25"/>
      <c r="IZV291" s="25"/>
      <c r="IZW291" s="25"/>
      <c r="IZX291" s="26"/>
      <c r="IZY291" s="30"/>
      <c r="JAI291" s="25"/>
      <c r="JAJ291" s="25"/>
      <c r="JAK291" s="25"/>
      <c r="JAL291" s="25"/>
      <c r="JAM291" s="25"/>
      <c r="JAN291" s="26"/>
      <c r="JAO291" s="30"/>
      <c r="JAY291" s="25"/>
      <c r="JAZ291" s="25"/>
      <c r="JBA291" s="25"/>
      <c r="JBB291" s="25"/>
      <c r="JBC291" s="25"/>
      <c r="JBD291" s="26"/>
      <c r="JBE291" s="30"/>
      <c r="JBO291" s="25"/>
      <c r="JBP291" s="25"/>
      <c r="JBQ291" s="25"/>
      <c r="JBR291" s="25"/>
      <c r="JBS291" s="25"/>
      <c r="JBT291" s="26"/>
      <c r="JBU291" s="30"/>
      <c r="JCE291" s="25"/>
      <c r="JCF291" s="25"/>
      <c r="JCG291" s="25"/>
      <c r="JCH291" s="25"/>
      <c r="JCI291" s="25"/>
      <c r="JCJ291" s="26"/>
      <c r="JCK291" s="30"/>
      <c r="JCU291" s="25"/>
      <c r="JCV291" s="25"/>
      <c r="JCW291" s="25"/>
      <c r="JCX291" s="25"/>
      <c r="JCY291" s="25"/>
      <c r="JCZ291" s="26"/>
      <c r="JDA291" s="30"/>
      <c r="JDK291" s="25"/>
      <c r="JDL291" s="25"/>
      <c r="JDM291" s="25"/>
      <c r="JDN291" s="25"/>
      <c r="JDO291" s="25"/>
      <c r="JDP291" s="26"/>
      <c r="JDQ291" s="30"/>
      <c r="JEA291" s="25"/>
      <c r="JEB291" s="25"/>
      <c r="JEC291" s="25"/>
      <c r="JED291" s="25"/>
      <c r="JEE291" s="25"/>
      <c r="JEF291" s="26"/>
      <c r="JEG291" s="30"/>
      <c r="JEQ291" s="25"/>
      <c r="JER291" s="25"/>
      <c r="JES291" s="25"/>
      <c r="JET291" s="25"/>
      <c r="JEU291" s="25"/>
      <c r="JEV291" s="26"/>
      <c r="JEW291" s="30"/>
      <c r="JFG291" s="25"/>
      <c r="JFH291" s="25"/>
      <c r="JFI291" s="25"/>
      <c r="JFJ291" s="25"/>
      <c r="JFK291" s="25"/>
      <c r="JFL291" s="26"/>
      <c r="JFM291" s="30"/>
      <c r="JFW291" s="25"/>
      <c r="JFX291" s="25"/>
      <c r="JFY291" s="25"/>
      <c r="JFZ291" s="25"/>
      <c r="JGA291" s="25"/>
      <c r="JGB291" s="26"/>
      <c r="JGC291" s="30"/>
      <c r="JGM291" s="25"/>
      <c r="JGN291" s="25"/>
      <c r="JGO291" s="25"/>
      <c r="JGP291" s="25"/>
      <c r="JGQ291" s="25"/>
      <c r="JGR291" s="26"/>
      <c r="JGS291" s="30"/>
      <c r="JHC291" s="25"/>
      <c r="JHD291" s="25"/>
      <c r="JHE291" s="25"/>
      <c r="JHF291" s="25"/>
      <c r="JHG291" s="25"/>
      <c r="JHH291" s="26"/>
      <c r="JHI291" s="30"/>
      <c r="JHS291" s="25"/>
      <c r="JHT291" s="25"/>
      <c r="JHU291" s="25"/>
      <c r="JHV291" s="25"/>
      <c r="JHW291" s="25"/>
      <c r="JHX291" s="26"/>
      <c r="JHY291" s="30"/>
      <c r="JII291" s="25"/>
      <c r="JIJ291" s="25"/>
      <c r="JIK291" s="25"/>
      <c r="JIL291" s="25"/>
      <c r="JIM291" s="25"/>
      <c r="JIN291" s="26"/>
      <c r="JIO291" s="30"/>
      <c r="JIY291" s="25"/>
      <c r="JIZ291" s="25"/>
      <c r="JJA291" s="25"/>
      <c r="JJB291" s="25"/>
      <c r="JJC291" s="25"/>
      <c r="JJD291" s="26"/>
      <c r="JJE291" s="30"/>
      <c r="JJO291" s="25"/>
      <c r="JJP291" s="25"/>
      <c r="JJQ291" s="25"/>
      <c r="JJR291" s="25"/>
      <c r="JJS291" s="25"/>
      <c r="JJT291" s="26"/>
      <c r="JJU291" s="30"/>
      <c r="JKE291" s="25"/>
      <c r="JKF291" s="25"/>
      <c r="JKG291" s="25"/>
      <c r="JKH291" s="25"/>
      <c r="JKI291" s="25"/>
      <c r="JKJ291" s="26"/>
      <c r="JKK291" s="30"/>
      <c r="JKU291" s="25"/>
      <c r="JKV291" s="25"/>
      <c r="JKW291" s="25"/>
      <c r="JKX291" s="25"/>
      <c r="JKY291" s="25"/>
      <c r="JKZ291" s="26"/>
      <c r="JLA291" s="30"/>
      <c r="JLK291" s="25"/>
      <c r="JLL291" s="25"/>
      <c r="JLM291" s="25"/>
      <c r="JLN291" s="25"/>
      <c r="JLO291" s="25"/>
      <c r="JLP291" s="26"/>
      <c r="JLQ291" s="30"/>
      <c r="JMA291" s="25"/>
      <c r="JMB291" s="25"/>
      <c r="JMC291" s="25"/>
      <c r="JMD291" s="25"/>
      <c r="JME291" s="25"/>
      <c r="JMF291" s="26"/>
      <c r="JMG291" s="30"/>
      <c r="JMQ291" s="25"/>
      <c r="JMR291" s="25"/>
      <c r="JMS291" s="25"/>
      <c r="JMT291" s="25"/>
      <c r="JMU291" s="25"/>
      <c r="JMV291" s="26"/>
      <c r="JMW291" s="30"/>
      <c r="JNG291" s="25"/>
      <c r="JNH291" s="25"/>
      <c r="JNI291" s="25"/>
      <c r="JNJ291" s="25"/>
      <c r="JNK291" s="25"/>
      <c r="JNL291" s="26"/>
      <c r="JNM291" s="30"/>
      <c r="JNW291" s="25"/>
      <c r="JNX291" s="25"/>
      <c r="JNY291" s="25"/>
      <c r="JNZ291" s="25"/>
      <c r="JOA291" s="25"/>
      <c r="JOB291" s="26"/>
      <c r="JOC291" s="30"/>
      <c r="JOM291" s="25"/>
      <c r="JON291" s="25"/>
      <c r="JOO291" s="25"/>
      <c r="JOP291" s="25"/>
      <c r="JOQ291" s="25"/>
      <c r="JOR291" s="26"/>
      <c r="JOS291" s="30"/>
      <c r="JPC291" s="25"/>
      <c r="JPD291" s="25"/>
      <c r="JPE291" s="25"/>
      <c r="JPF291" s="25"/>
      <c r="JPG291" s="25"/>
      <c r="JPH291" s="26"/>
      <c r="JPI291" s="30"/>
      <c r="JPS291" s="25"/>
      <c r="JPT291" s="25"/>
      <c r="JPU291" s="25"/>
      <c r="JPV291" s="25"/>
      <c r="JPW291" s="25"/>
      <c r="JPX291" s="26"/>
      <c r="JPY291" s="30"/>
      <c r="JQI291" s="25"/>
      <c r="JQJ291" s="25"/>
      <c r="JQK291" s="25"/>
      <c r="JQL291" s="25"/>
      <c r="JQM291" s="25"/>
      <c r="JQN291" s="26"/>
      <c r="JQO291" s="30"/>
      <c r="JQY291" s="25"/>
      <c r="JQZ291" s="25"/>
      <c r="JRA291" s="25"/>
      <c r="JRB291" s="25"/>
      <c r="JRC291" s="25"/>
      <c r="JRD291" s="26"/>
      <c r="JRE291" s="30"/>
      <c r="JRO291" s="25"/>
      <c r="JRP291" s="25"/>
      <c r="JRQ291" s="25"/>
      <c r="JRR291" s="25"/>
      <c r="JRS291" s="25"/>
      <c r="JRT291" s="26"/>
      <c r="JRU291" s="30"/>
      <c r="JSE291" s="25"/>
      <c r="JSF291" s="25"/>
      <c r="JSG291" s="25"/>
      <c r="JSH291" s="25"/>
      <c r="JSI291" s="25"/>
      <c r="JSJ291" s="26"/>
      <c r="JSK291" s="30"/>
      <c r="JSU291" s="25"/>
      <c r="JSV291" s="25"/>
      <c r="JSW291" s="25"/>
      <c r="JSX291" s="25"/>
      <c r="JSY291" s="25"/>
      <c r="JSZ291" s="26"/>
      <c r="JTA291" s="30"/>
      <c r="JTK291" s="25"/>
      <c r="JTL291" s="25"/>
      <c r="JTM291" s="25"/>
      <c r="JTN291" s="25"/>
      <c r="JTO291" s="25"/>
      <c r="JTP291" s="26"/>
      <c r="JTQ291" s="30"/>
      <c r="JUA291" s="25"/>
      <c r="JUB291" s="25"/>
      <c r="JUC291" s="25"/>
      <c r="JUD291" s="25"/>
      <c r="JUE291" s="25"/>
      <c r="JUF291" s="26"/>
      <c r="JUG291" s="30"/>
      <c r="JUQ291" s="25"/>
      <c r="JUR291" s="25"/>
      <c r="JUS291" s="25"/>
      <c r="JUT291" s="25"/>
      <c r="JUU291" s="25"/>
      <c r="JUV291" s="26"/>
      <c r="JUW291" s="30"/>
      <c r="JVG291" s="25"/>
      <c r="JVH291" s="25"/>
      <c r="JVI291" s="25"/>
      <c r="JVJ291" s="25"/>
      <c r="JVK291" s="25"/>
      <c r="JVL291" s="26"/>
      <c r="JVM291" s="30"/>
      <c r="JVW291" s="25"/>
      <c r="JVX291" s="25"/>
      <c r="JVY291" s="25"/>
      <c r="JVZ291" s="25"/>
      <c r="JWA291" s="25"/>
      <c r="JWB291" s="26"/>
      <c r="JWC291" s="30"/>
      <c r="JWM291" s="25"/>
      <c r="JWN291" s="25"/>
      <c r="JWO291" s="25"/>
      <c r="JWP291" s="25"/>
      <c r="JWQ291" s="25"/>
      <c r="JWR291" s="26"/>
      <c r="JWS291" s="30"/>
      <c r="JXC291" s="25"/>
      <c r="JXD291" s="25"/>
      <c r="JXE291" s="25"/>
      <c r="JXF291" s="25"/>
      <c r="JXG291" s="25"/>
      <c r="JXH291" s="26"/>
      <c r="JXI291" s="30"/>
      <c r="JXS291" s="25"/>
      <c r="JXT291" s="25"/>
      <c r="JXU291" s="25"/>
      <c r="JXV291" s="25"/>
      <c r="JXW291" s="25"/>
      <c r="JXX291" s="26"/>
      <c r="JXY291" s="30"/>
      <c r="JYI291" s="25"/>
      <c r="JYJ291" s="25"/>
      <c r="JYK291" s="25"/>
      <c r="JYL291" s="25"/>
      <c r="JYM291" s="25"/>
      <c r="JYN291" s="26"/>
      <c r="JYO291" s="30"/>
      <c r="JYY291" s="25"/>
      <c r="JYZ291" s="25"/>
      <c r="JZA291" s="25"/>
      <c r="JZB291" s="25"/>
      <c r="JZC291" s="25"/>
      <c r="JZD291" s="26"/>
      <c r="JZE291" s="30"/>
      <c r="JZO291" s="25"/>
      <c r="JZP291" s="25"/>
      <c r="JZQ291" s="25"/>
      <c r="JZR291" s="25"/>
      <c r="JZS291" s="25"/>
      <c r="JZT291" s="26"/>
      <c r="JZU291" s="30"/>
      <c r="KAE291" s="25"/>
      <c r="KAF291" s="25"/>
      <c r="KAG291" s="25"/>
      <c r="KAH291" s="25"/>
      <c r="KAI291" s="25"/>
      <c r="KAJ291" s="26"/>
      <c r="KAK291" s="30"/>
      <c r="KAU291" s="25"/>
      <c r="KAV291" s="25"/>
      <c r="KAW291" s="25"/>
      <c r="KAX291" s="25"/>
      <c r="KAY291" s="25"/>
      <c r="KAZ291" s="26"/>
      <c r="KBA291" s="30"/>
      <c r="KBK291" s="25"/>
      <c r="KBL291" s="25"/>
      <c r="KBM291" s="25"/>
      <c r="KBN291" s="25"/>
      <c r="KBO291" s="25"/>
      <c r="KBP291" s="26"/>
      <c r="KBQ291" s="30"/>
      <c r="KCA291" s="25"/>
      <c r="KCB291" s="25"/>
      <c r="KCC291" s="25"/>
      <c r="KCD291" s="25"/>
      <c r="KCE291" s="25"/>
      <c r="KCF291" s="26"/>
      <c r="KCG291" s="30"/>
      <c r="KCQ291" s="25"/>
      <c r="KCR291" s="25"/>
      <c r="KCS291" s="25"/>
      <c r="KCT291" s="25"/>
      <c r="KCU291" s="25"/>
      <c r="KCV291" s="26"/>
      <c r="KCW291" s="30"/>
      <c r="KDG291" s="25"/>
      <c r="KDH291" s="25"/>
      <c r="KDI291" s="25"/>
      <c r="KDJ291" s="25"/>
      <c r="KDK291" s="25"/>
      <c r="KDL291" s="26"/>
      <c r="KDM291" s="30"/>
      <c r="KDW291" s="25"/>
      <c r="KDX291" s="25"/>
      <c r="KDY291" s="25"/>
      <c r="KDZ291" s="25"/>
      <c r="KEA291" s="25"/>
      <c r="KEB291" s="26"/>
      <c r="KEC291" s="30"/>
      <c r="KEM291" s="25"/>
      <c r="KEN291" s="25"/>
      <c r="KEO291" s="25"/>
      <c r="KEP291" s="25"/>
      <c r="KEQ291" s="25"/>
      <c r="KER291" s="26"/>
      <c r="KES291" s="30"/>
      <c r="KFC291" s="25"/>
      <c r="KFD291" s="25"/>
      <c r="KFE291" s="25"/>
      <c r="KFF291" s="25"/>
      <c r="KFG291" s="25"/>
      <c r="KFH291" s="26"/>
      <c r="KFI291" s="30"/>
      <c r="KFS291" s="25"/>
      <c r="KFT291" s="25"/>
      <c r="KFU291" s="25"/>
      <c r="KFV291" s="25"/>
      <c r="KFW291" s="25"/>
      <c r="KFX291" s="26"/>
      <c r="KFY291" s="30"/>
      <c r="KGI291" s="25"/>
      <c r="KGJ291" s="25"/>
      <c r="KGK291" s="25"/>
      <c r="KGL291" s="25"/>
      <c r="KGM291" s="25"/>
      <c r="KGN291" s="26"/>
      <c r="KGO291" s="30"/>
      <c r="KGY291" s="25"/>
      <c r="KGZ291" s="25"/>
      <c r="KHA291" s="25"/>
      <c r="KHB291" s="25"/>
      <c r="KHC291" s="25"/>
      <c r="KHD291" s="26"/>
      <c r="KHE291" s="30"/>
      <c r="KHO291" s="25"/>
      <c r="KHP291" s="25"/>
      <c r="KHQ291" s="25"/>
      <c r="KHR291" s="25"/>
      <c r="KHS291" s="25"/>
      <c r="KHT291" s="26"/>
      <c r="KHU291" s="30"/>
      <c r="KIE291" s="25"/>
      <c r="KIF291" s="25"/>
      <c r="KIG291" s="25"/>
      <c r="KIH291" s="25"/>
      <c r="KII291" s="25"/>
      <c r="KIJ291" s="26"/>
      <c r="KIK291" s="30"/>
      <c r="KIU291" s="25"/>
      <c r="KIV291" s="25"/>
      <c r="KIW291" s="25"/>
      <c r="KIX291" s="25"/>
      <c r="KIY291" s="25"/>
      <c r="KIZ291" s="26"/>
      <c r="KJA291" s="30"/>
      <c r="KJK291" s="25"/>
      <c r="KJL291" s="25"/>
      <c r="KJM291" s="25"/>
      <c r="KJN291" s="25"/>
      <c r="KJO291" s="25"/>
      <c r="KJP291" s="26"/>
      <c r="KJQ291" s="30"/>
      <c r="KKA291" s="25"/>
      <c r="KKB291" s="25"/>
      <c r="KKC291" s="25"/>
      <c r="KKD291" s="25"/>
      <c r="KKE291" s="25"/>
      <c r="KKF291" s="26"/>
      <c r="KKG291" s="30"/>
      <c r="KKQ291" s="25"/>
      <c r="KKR291" s="25"/>
      <c r="KKS291" s="25"/>
      <c r="KKT291" s="25"/>
      <c r="KKU291" s="25"/>
      <c r="KKV291" s="26"/>
      <c r="KKW291" s="30"/>
      <c r="KLG291" s="25"/>
      <c r="KLH291" s="25"/>
      <c r="KLI291" s="25"/>
      <c r="KLJ291" s="25"/>
      <c r="KLK291" s="25"/>
      <c r="KLL291" s="26"/>
      <c r="KLM291" s="30"/>
      <c r="KLW291" s="25"/>
      <c r="KLX291" s="25"/>
      <c r="KLY291" s="25"/>
      <c r="KLZ291" s="25"/>
      <c r="KMA291" s="25"/>
      <c r="KMB291" s="26"/>
      <c r="KMC291" s="30"/>
      <c r="KMM291" s="25"/>
      <c r="KMN291" s="25"/>
      <c r="KMO291" s="25"/>
      <c r="KMP291" s="25"/>
      <c r="KMQ291" s="25"/>
      <c r="KMR291" s="26"/>
      <c r="KMS291" s="30"/>
      <c r="KNC291" s="25"/>
      <c r="KND291" s="25"/>
      <c r="KNE291" s="25"/>
      <c r="KNF291" s="25"/>
      <c r="KNG291" s="25"/>
      <c r="KNH291" s="26"/>
      <c r="KNI291" s="30"/>
      <c r="KNS291" s="25"/>
      <c r="KNT291" s="25"/>
      <c r="KNU291" s="25"/>
      <c r="KNV291" s="25"/>
      <c r="KNW291" s="25"/>
      <c r="KNX291" s="26"/>
      <c r="KNY291" s="30"/>
      <c r="KOI291" s="25"/>
      <c r="KOJ291" s="25"/>
      <c r="KOK291" s="25"/>
      <c r="KOL291" s="25"/>
      <c r="KOM291" s="25"/>
      <c r="KON291" s="26"/>
      <c r="KOO291" s="30"/>
      <c r="KOY291" s="25"/>
      <c r="KOZ291" s="25"/>
      <c r="KPA291" s="25"/>
      <c r="KPB291" s="25"/>
      <c r="KPC291" s="25"/>
      <c r="KPD291" s="26"/>
      <c r="KPE291" s="30"/>
      <c r="KPO291" s="25"/>
      <c r="KPP291" s="25"/>
      <c r="KPQ291" s="25"/>
      <c r="KPR291" s="25"/>
      <c r="KPS291" s="25"/>
      <c r="KPT291" s="26"/>
      <c r="KPU291" s="30"/>
      <c r="KQE291" s="25"/>
      <c r="KQF291" s="25"/>
      <c r="KQG291" s="25"/>
      <c r="KQH291" s="25"/>
      <c r="KQI291" s="25"/>
      <c r="KQJ291" s="26"/>
      <c r="KQK291" s="30"/>
      <c r="KQU291" s="25"/>
      <c r="KQV291" s="25"/>
      <c r="KQW291" s="25"/>
      <c r="KQX291" s="25"/>
      <c r="KQY291" s="25"/>
      <c r="KQZ291" s="26"/>
      <c r="KRA291" s="30"/>
      <c r="KRK291" s="25"/>
      <c r="KRL291" s="25"/>
      <c r="KRM291" s="25"/>
      <c r="KRN291" s="25"/>
      <c r="KRO291" s="25"/>
      <c r="KRP291" s="26"/>
      <c r="KRQ291" s="30"/>
      <c r="KSA291" s="25"/>
      <c r="KSB291" s="25"/>
      <c r="KSC291" s="25"/>
      <c r="KSD291" s="25"/>
      <c r="KSE291" s="25"/>
      <c r="KSF291" s="26"/>
      <c r="KSG291" s="30"/>
      <c r="KSQ291" s="25"/>
      <c r="KSR291" s="25"/>
      <c r="KSS291" s="25"/>
      <c r="KST291" s="25"/>
      <c r="KSU291" s="25"/>
      <c r="KSV291" s="26"/>
      <c r="KSW291" s="30"/>
      <c r="KTG291" s="25"/>
      <c r="KTH291" s="25"/>
      <c r="KTI291" s="25"/>
      <c r="KTJ291" s="25"/>
      <c r="KTK291" s="25"/>
      <c r="KTL291" s="26"/>
      <c r="KTM291" s="30"/>
      <c r="KTW291" s="25"/>
      <c r="KTX291" s="25"/>
      <c r="KTY291" s="25"/>
      <c r="KTZ291" s="25"/>
      <c r="KUA291" s="25"/>
      <c r="KUB291" s="26"/>
      <c r="KUC291" s="30"/>
      <c r="KUM291" s="25"/>
      <c r="KUN291" s="25"/>
      <c r="KUO291" s="25"/>
      <c r="KUP291" s="25"/>
      <c r="KUQ291" s="25"/>
      <c r="KUR291" s="26"/>
      <c r="KUS291" s="30"/>
      <c r="KVC291" s="25"/>
      <c r="KVD291" s="25"/>
      <c r="KVE291" s="25"/>
      <c r="KVF291" s="25"/>
      <c r="KVG291" s="25"/>
      <c r="KVH291" s="26"/>
      <c r="KVI291" s="30"/>
      <c r="KVS291" s="25"/>
      <c r="KVT291" s="25"/>
      <c r="KVU291" s="25"/>
      <c r="KVV291" s="25"/>
      <c r="KVW291" s="25"/>
      <c r="KVX291" s="26"/>
      <c r="KVY291" s="30"/>
      <c r="KWI291" s="25"/>
      <c r="KWJ291" s="25"/>
      <c r="KWK291" s="25"/>
      <c r="KWL291" s="25"/>
      <c r="KWM291" s="25"/>
      <c r="KWN291" s="26"/>
      <c r="KWO291" s="30"/>
      <c r="KWY291" s="25"/>
      <c r="KWZ291" s="25"/>
      <c r="KXA291" s="25"/>
      <c r="KXB291" s="25"/>
      <c r="KXC291" s="25"/>
      <c r="KXD291" s="26"/>
      <c r="KXE291" s="30"/>
      <c r="KXO291" s="25"/>
      <c r="KXP291" s="25"/>
      <c r="KXQ291" s="25"/>
      <c r="KXR291" s="25"/>
      <c r="KXS291" s="25"/>
      <c r="KXT291" s="26"/>
      <c r="KXU291" s="30"/>
      <c r="KYE291" s="25"/>
      <c r="KYF291" s="25"/>
      <c r="KYG291" s="25"/>
      <c r="KYH291" s="25"/>
      <c r="KYI291" s="25"/>
      <c r="KYJ291" s="26"/>
      <c r="KYK291" s="30"/>
      <c r="KYU291" s="25"/>
      <c r="KYV291" s="25"/>
      <c r="KYW291" s="25"/>
      <c r="KYX291" s="25"/>
      <c r="KYY291" s="25"/>
      <c r="KYZ291" s="26"/>
      <c r="KZA291" s="30"/>
      <c r="KZK291" s="25"/>
      <c r="KZL291" s="25"/>
      <c r="KZM291" s="25"/>
      <c r="KZN291" s="25"/>
      <c r="KZO291" s="25"/>
      <c r="KZP291" s="26"/>
      <c r="KZQ291" s="30"/>
      <c r="LAA291" s="25"/>
      <c r="LAB291" s="25"/>
      <c r="LAC291" s="25"/>
      <c r="LAD291" s="25"/>
      <c r="LAE291" s="25"/>
      <c r="LAF291" s="26"/>
      <c r="LAG291" s="30"/>
      <c r="LAQ291" s="25"/>
      <c r="LAR291" s="25"/>
      <c r="LAS291" s="25"/>
      <c r="LAT291" s="25"/>
      <c r="LAU291" s="25"/>
      <c r="LAV291" s="26"/>
      <c r="LAW291" s="30"/>
      <c r="LBG291" s="25"/>
      <c r="LBH291" s="25"/>
      <c r="LBI291" s="25"/>
      <c r="LBJ291" s="25"/>
      <c r="LBK291" s="25"/>
      <c r="LBL291" s="26"/>
      <c r="LBM291" s="30"/>
      <c r="LBW291" s="25"/>
      <c r="LBX291" s="25"/>
      <c r="LBY291" s="25"/>
      <c r="LBZ291" s="25"/>
      <c r="LCA291" s="25"/>
      <c r="LCB291" s="26"/>
      <c r="LCC291" s="30"/>
      <c r="LCM291" s="25"/>
      <c r="LCN291" s="25"/>
      <c r="LCO291" s="25"/>
      <c r="LCP291" s="25"/>
      <c r="LCQ291" s="25"/>
      <c r="LCR291" s="26"/>
      <c r="LCS291" s="30"/>
      <c r="LDC291" s="25"/>
      <c r="LDD291" s="25"/>
      <c r="LDE291" s="25"/>
      <c r="LDF291" s="25"/>
      <c r="LDG291" s="25"/>
      <c r="LDH291" s="26"/>
      <c r="LDI291" s="30"/>
      <c r="LDS291" s="25"/>
      <c r="LDT291" s="25"/>
      <c r="LDU291" s="25"/>
      <c r="LDV291" s="25"/>
      <c r="LDW291" s="25"/>
      <c r="LDX291" s="26"/>
      <c r="LDY291" s="30"/>
      <c r="LEI291" s="25"/>
      <c r="LEJ291" s="25"/>
      <c r="LEK291" s="25"/>
      <c r="LEL291" s="25"/>
      <c r="LEM291" s="25"/>
      <c r="LEN291" s="26"/>
      <c r="LEO291" s="30"/>
      <c r="LEY291" s="25"/>
      <c r="LEZ291" s="25"/>
      <c r="LFA291" s="25"/>
      <c r="LFB291" s="25"/>
      <c r="LFC291" s="25"/>
      <c r="LFD291" s="26"/>
      <c r="LFE291" s="30"/>
      <c r="LFO291" s="25"/>
      <c r="LFP291" s="25"/>
      <c r="LFQ291" s="25"/>
      <c r="LFR291" s="25"/>
      <c r="LFS291" s="25"/>
      <c r="LFT291" s="26"/>
      <c r="LFU291" s="30"/>
      <c r="LGE291" s="25"/>
      <c r="LGF291" s="25"/>
      <c r="LGG291" s="25"/>
      <c r="LGH291" s="25"/>
      <c r="LGI291" s="25"/>
      <c r="LGJ291" s="26"/>
      <c r="LGK291" s="30"/>
      <c r="LGU291" s="25"/>
      <c r="LGV291" s="25"/>
      <c r="LGW291" s="25"/>
      <c r="LGX291" s="25"/>
      <c r="LGY291" s="25"/>
      <c r="LGZ291" s="26"/>
      <c r="LHA291" s="30"/>
      <c r="LHK291" s="25"/>
      <c r="LHL291" s="25"/>
      <c r="LHM291" s="25"/>
      <c r="LHN291" s="25"/>
      <c r="LHO291" s="25"/>
      <c r="LHP291" s="26"/>
      <c r="LHQ291" s="30"/>
      <c r="LIA291" s="25"/>
      <c r="LIB291" s="25"/>
      <c r="LIC291" s="25"/>
      <c r="LID291" s="25"/>
      <c r="LIE291" s="25"/>
      <c r="LIF291" s="26"/>
      <c r="LIG291" s="30"/>
      <c r="LIQ291" s="25"/>
      <c r="LIR291" s="25"/>
      <c r="LIS291" s="25"/>
      <c r="LIT291" s="25"/>
      <c r="LIU291" s="25"/>
      <c r="LIV291" s="26"/>
      <c r="LIW291" s="30"/>
      <c r="LJG291" s="25"/>
      <c r="LJH291" s="25"/>
      <c r="LJI291" s="25"/>
      <c r="LJJ291" s="25"/>
      <c r="LJK291" s="25"/>
      <c r="LJL291" s="26"/>
      <c r="LJM291" s="30"/>
      <c r="LJW291" s="25"/>
      <c r="LJX291" s="25"/>
      <c r="LJY291" s="25"/>
      <c r="LJZ291" s="25"/>
      <c r="LKA291" s="25"/>
      <c r="LKB291" s="26"/>
      <c r="LKC291" s="30"/>
      <c r="LKM291" s="25"/>
      <c r="LKN291" s="25"/>
      <c r="LKO291" s="25"/>
      <c r="LKP291" s="25"/>
      <c r="LKQ291" s="25"/>
      <c r="LKR291" s="26"/>
      <c r="LKS291" s="30"/>
      <c r="LLC291" s="25"/>
      <c r="LLD291" s="25"/>
      <c r="LLE291" s="25"/>
      <c r="LLF291" s="25"/>
      <c r="LLG291" s="25"/>
      <c r="LLH291" s="26"/>
      <c r="LLI291" s="30"/>
      <c r="LLS291" s="25"/>
      <c r="LLT291" s="25"/>
      <c r="LLU291" s="25"/>
      <c r="LLV291" s="25"/>
      <c r="LLW291" s="25"/>
      <c r="LLX291" s="26"/>
      <c r="LLY291" s="30"/>
      <c r="LMI291" s="25"/>
      <c r="LMJ291" s="25"/>
      <c r="LMK291" s="25"/>
      <c r="LML291" s="25"/>
      <c r="LMM291" s="25"/>
      <c r="LMN291" s="26"/>
      <c r="LMO291" s="30"/>
      <c r="LMY291" s="25"/>
      <c r="LMZ291" s="25"/>
      <c r="LNA291" s="25"/>
      <c r="LNB291" s="25"/>
      <c r="LNC291" s="25"/>
      <c r="LND291" s="26"/>
      <c r="LNE291" s="30"/>
      <c r="LNO291" s="25"/>
      <c r="LNP291" s="25"/>
      <c r="LNQ291" s="25"/>
      <c r="LNR291" s="25"/>
      <c r="LNS291" s="25"/>
      <c r="LNT291" s="26"/>
      <c r="LNU291" s="30"/>
      <c r="LOE291" s="25"/>
      <c r="LOF291" s="25"/>
      <c r="LOG291" s="25"/>
      <c r="LOH291" s="25"/>
      <c r="LOI291" s="25"/>
      <c r="LOJ291" s="26"/>
      <c r="LOK291" s="30"/>
      <c r="LOU291" s="25"/>
      <c r="LOV291" s="25"/>
      <c r="LOW291" s="25"/>
      <c r="LOX291" s="25"/>
      <c r="LOY291" s="25"/>
      <c r="LOZ291" s="26"/>
      <c r="LPA291" s="30"/>
      <c r="LPK291" s="25"/>
      <c r="LPL291" s="25"/>
      <c r="LPM291" s="25"/>
      <c r="LPN291" s="25"/>
      <c r="LPO291" s="25"/>
      <c r="LPP291" s="26"/>
      <c r="LPQ291" s="30"/>
      <c r="LQA291" s="25"/>
      <c r="LQB291" s="25"/>
      <c r="LQC291" s="25"/>
      <c r="LQD291" s="25"/>
      <c r="LQE291" s="25"/>
      <c r="LQF291" s="26"/>
      <c r="LQG291" s="30"/>
      <c r="LQQ291" s="25"/>
      <c r="LQR291" s="25"/>
      <c r="LQS291" s="25"/>
      <c r="LQT291" s="25"/>
      <c r="LQU291" s="25"/>
      <c r="LQV291" s="26"/>
      <c r="LQW291" s="30"/>
      <c r="LRG291" s="25"/>
      <c r="LRH291" s="25"/>
      <c r="LRI291" s="25"/>
      <c r="LRJ291" s="25"/>
      <c r="LRK291" s="25"/>
      <c r="LRL291" s="26"/>
      <c r="LRM291" s="30"/>
      <c r="LRW291" s="25"/>
      <c r="LRX291" s="25"/>
      <c r="LRY291" s="25"/>
      <c r="LRZ291" s="25"/>
      <c r="LSA291" s="25"/>
      <c r="LSB291" s="26"/>
      <c r="LSC291" s="30"/>
      <c r="LSM291" s="25"/>
      <c r="LSN291" s="25"/>
      <c r="LSO291" s="25"/>
      <c r="LSP291" s="25"/>
      <c r="LSQ291" s="25"/>
      <c r="LSR291" s="26"/>
      <c r="LSS291" s="30"/>
      <c r="LTC291" s="25"/>
      <c r="LTD291" s="25"/>
      <c r="LTE291" s="25"/>
      <c r="LTF291" s="25"/>
      <c r="LTG291" s="25"/>
      <c r="LTH291" s="26"/>
      <c r="LTI291" s="30"/>
      <c r="LTS291" s="25"/>
      <c r="LTT291" s="25"/>
      <c r="LTU291" s="25"/>
      <c r="LTV291" s="25"/>
      <c r="LTW291" s="25"/>
      <c r="LTX291" s="26"/>
      <c r="LTY291" s="30"/>
      <c r="LUI291" s="25"/>
      <c r="LUJ291" s="25"/>
      <c r="LUK291" s="25"/>
      <c r="LUL291" s="25"/>
      <c r="LUM291" s="25"/>
      <c r="LUN291" s="26"/>
      <c r="LUO291" s="30"/>
      <c r="LUY291" s="25"/>
      <c r="LUZ291" s="25"/>
      <c r="LVA291" s="25"/>
      <c r="LVB291" s="25"/>
      <c r="LVC291" s="25"/>
      <c r="LVD291" s="26"/>
      <c r="LVE291" s="30"/>
      <c r="LVO291" s="25"/>
      <c r="LVP291" s="25"/>
      <c r="LVQ291" s="25"/>
      <c r="LVR291" s="25"/>
      <c r="LVS291" s="25"/>
      <c r="LVT291" s="26"/>
      <c r="LVU291" s="30"/>
      <c r="LWE291" s="25"/>
      <c r="LWF291" s="25"/>
      <c r="LWG291" s="25"/>
      <c r="LWH291" s="25"/>
      <c r="LWI291" s="25"/>
      <c r="LWJ291" s="26"/>
      <c r="LWK291" s="30"/>
      <c r="LWU291" s="25"/>
      <c r="LWV291" s="25"/>
      <c r="LWW291" s="25"/>
      <c r="LWX291" s="25"/>
      <c r="LWY291" s="25"/>
      <c r="LWZ291" s="26"/>
      <c r="LXA291" s="30"/>
      <c r="LXK291" s="25"/>
      <c r="LXL291" s="25"/>
      <c r="LXM291" s="25"/>
      <c r="LXN291" s="25"/>
      <c r="LXO291" s="25"/>
      <c r="LXP291" s="26"/>
      <c r="LXQ291" s="30"/>
      <c r="LYA291" s="25"/>
      <c r="LYB291" s="25"/>
      <c r="LYC291" s="25"/>
      <c r="LYD291" s="25"/>
      <c r="LYE291" s="25"/>
      <c r="LYF291" s="26"/>
      <c r="LYG291" s="30"/>
      <c r="LYQ291" s="25"/>
      <c r="LYR291" s="25"/>
      <c r="LYS291" s="25"/>
      <c r="LYT291" s="25"/>
      <c r="LYU291" s="25"/>
      <c r="LYV291" s="26"/>
      <c r="LYW291" s="30"/>
      <c r="LZG291" s="25"/>
      <c r="LZH291" s="25"/>
      <c r="LZI291" s="25"/>
      <c r="LZJ291" s="25"/>
      <c r="LZK291" s="25"/>
      <c r="LZL291" s="26"/>
      <c r="LZM291" s="30"/>
      <c r="LZW291" s="25"/>
      <c r="LZX291" s="25"/>
      <c r="LZY291" s="25"/>
      <c r="LZZ291" s="25"/>
      <c r="MAA291" s="25"/>
      <c r="MAB291" s="26"/>
      <c r="MAC291" s="30"/>
      <c r="MAM291" s="25"/>
      <c r="MAN291" s="25"/>
      <c r="MAO291" s="25"/>
      <c r="MAP291" s="25"/>
      <c r="MAQ291" s="25"/>
      <c r="MAR291" s="26"/>
      <c r="MAS291" s="30"/>
      <c r="MBC291" s="25"/>
      <c r="MBD291" s="25"/>
      <c r="MBE291" s="25"/>
      <c r="MBF291" s="25"/>
      <c r="MBG291" s="25"/>
      <c r="MBH291" s="26"/>
      <c r="MBI291" s="30"/>
      <c r="MBS291" s="25"/>
      <c r="MBT291" s="25"/>
      <c r="MBU291" s="25"/>
      <c r="MBV291" s="25"/>
      <c r="MBW291" s="25"/>
      <c r="MBX291" s="26"/>
      <c r="MBY291" s="30"/>
      <c r="MCI291" s="25"/>
      <c r="MCJ291" s="25"/>
      <c r="MCK291" s="25"/>
      <c r="MCL291" s="25"/>
      <c r="MCM291" s="25"/>
      <c r="MCN291" s="26"/>
      <c r="MCO291" s="30"/>
      <c r="MCY291" s="25"/>
      <c r="MCZ291" s="25"/>
      <c r="MDA291" s="25"/>
      <c r="MDB291" s="25"/>
      <c r="MDC291" s="25"/>
      <c r="MDD291" s="26"/>
      <c r="MDE291" s="30"/>
      <c r="MDO291" s="25"/>
      <c r="MDP291" s="25"/>
      <c r="MDQ291" s="25"/>
      <c r="MDR291" s="25"/>
      <c r="MDS291" s="25"/>
      <c r="MDT291" s="26"/>
      <c r="MDU291" s="30"/>
      <c r="MEE291" s="25"/>
      <c r="MEF291" s="25"/>
      <c r="MEG291" s="25"/>
      <c r="MEH291" s="25"/>
      <c r="MEI291" s="25"/>
      <c r="MEJ291" s="26"/>
      <c r="MEK291" s="30"/>
      <c r="MEU291" s="25"/>
      <c r="MEV291" s="25"/>
      <c r="MEW291" s="25"/>
      <c r="MEX291" s="25"/>
      <c r="MEY291" s="25"/>
      <c r="MEZ291" s="26"/>
      <c r="MFA291" s="30"/>
      <c r="MFK291" s="25"/>
      <c r="MFL291" s="25"/>
      <c r="MFM291" s="25"/>
      <c r="MFN291" s="25"/>
      <c r="MFO291" s="25"/>
      <c r="MFP291" s="26"/>
      <c r="MFQ291" s="30"/>
      <c r="MGA291" s="25"/>
      <c r="MGB291" s="25"/>
      <c r="MGC291" s="25"/>
      <c r="MGD291" s="25"/>
      <c r="MGE291" s="25"/>
      <c r="MGF291" s="26"/>
      <c r="MGG291" s="30"/>
      <c r="MGQ291" s="25"/>
      <c r="MGR291" s="25"/>
      <c r="MGS291" s="25"/>
      <c r="MGT291" s="25"/>
      <c r="MGU291" s="25"/>
      <c r="MGV291" s="26"/>
      <c r="MGW291" s="30"/>
      <c r="MHG291" s="25"/>
      <c r="MHH291" s="25"/>
      <c r="MHI291" s="25"/>
      <c r="MHJ291" s="25"/>
      <c r="MHK291" s="25"/>
      <c r="MHL291" s="26"/>
      <c r="MHM291" s="30"/>
      <c r="MHW291" s="25"/>
      <c r="MHX291" s="25"/>
      <c r="MHY291" s="25"/>
      <c r="MHZ291" s="25"/>
      <c r="MIA291" s="25"/>
      <c r="MIB291" s="26"/>
      <c r="MIC291" s="30"/>
      <c r="MIM291" s="25"/>
      <c r="MIN291" s="25"/>
      <c r="MIO291" s="25"/>
      <c r="MIP291" s="25"/>
      <c r="MIQ291" s="25"/>
      <c r="MIR291" s="26"/>
      <c r="MIS291" s="30"/>
      <c r="MJC291" s="25"/>
      <c r="MJD291" s="25"/>
      <c r="MJE291" s="25"/>
      <c r="MJF291" s="25"/>
      <c r="MJG291" s="25"/>
      <c r="MJH291" s="26"/>
      <c r="MJI291" s="30"/>
      <c r="MJS291" s="25"/>
      <c r="MJT291" s="25"/>
      <c r="MJU291" s="25"/>
      <c r="MJV291" s="25"/>
      <c r="MJW291" s="25"/>
      <c r="MJX291" s="26"/>
      <c r="MJY291" s="30"/>
      <c r="MKI291" s="25"/>
      <c r="MKJ291" s="25"/>
      <c r="MKK291" s="25"/>
      <c r="MKL291" s="25"/>
      <c r="MKM291" s="25"/>
      <c r="MKN291" s="26"/>
      <c r="MKO291" s="30"/>
      <c r="MKY291" s="25"/>
      <c r="MKZ291" s="25"/>
      <c r="MLA291" s="25"/>
      <c r="MLB291" s="25"/>
      <c r="MLC291" s="25"/>
      <c r="MLD291" s="26"/>
      <c r="MLE291" s="30"/>
      <c r="MLO291" s="25"/>
      <c r="MLP291" s="25"/>
      <c r="MLQ291" s="25"/>
      <c r="MLR291" s="25"/>
      <c r="MLS291" s="25"/>
      <c r="MLT291" s="26"/>
      <c r="MLU291" s="30"/>
      <c r="MME291" s="25"/>
      <c r="MMF291" s="25"/>
      <c r="MMG291" s="25"/>
      <c r="MMH291" s="25"/>
      <c r="MMI291" s="25"/>
      <c r="MMJ291" s="26"/>
      <c r="MMK291" s="30"/>
      <c r="MMU291" s="25"/>
      <c r="MMV291" s="25"/>
      <c r="MMW291" s="25"/>
      <c r="MMX291" s="25"/>
      <c r="MMY291" s="25"/>
      <c r="MMZ291" s="26"/>
      <c r="MNA291" s="30"/>
      <c r="MNK291" s="25"/>
      <c r="MNL291" s="25"/>
      <c r="MNM291" s="25"/>
      <c r="MNN291" s="25"/>
      <c r="MNO291" s="25"/>
      <c r="MNP291" s="26"/>
      <c r="MNQ291" s="30"/>
      <c r="MOA291" s="25"/>
      <c r="MOB291" s="25"/>
      <c r="MOC291" s="25"/>
      <c r="MOD291" s="25"/>
      <c r="MOE291" s="25"/>
      <c r="MOF291" s="26"/>
      <c r="MOG291" s="30"/>
      <c r="MOQ291" s="25"/>
      <c r="MOR291" s="25"/>
      <c r="MOS291" s="25"/>
      <c r="MOT291" s="25"/>
      <c r="MOU291" s="25"/>
      <c r="MOV291" s="26"/>
      <c r="MOW291" s="30"/>
      <c r="MPG291" s="25"/>
      <c r="MPH291" s="25"/>
      <c r="MPI291" s="25"/>
      <c r="MPJ291" s="25"/>
      <c r="MPK291" s="25"/>
      <c r="MPL291" s="26"/>
      <c r="MPM291" s="30"/>
      <c r="MPW291" s="25"/>
      <c r="MPX291" s="25"/>
      <c r="MPY291" s="25"/>
      <c r="MPZ291" s="25"/>
      <c r="MQA291" s="25"/>
      <c r="MQB291" s="26"/>
      <c r="MQC291" s="30"/>
      <c r="MQM291" s="25"/>
      <c r="MQN291" s="25"/>
      <c r="MQO291" s="25"/>
      <c r="MQP291" s="25"/>
      <c r="MQQ291" s="25"/>
      <c r="MQR291" s="26"/>
      <c r="MQS291" s="30"/>
      <c r="MRC291" s="25"/>
      <c r="MRD291" s="25"/>
      <c r="MRE291" s="25"/>
      <c r="MRF291" s="25"/>
      <c r="MRG291" s="25"/>
      <c r="MRH291" s="26"/>
      <c r="MRI291" s="30"/>
      <c r="MRS291" s="25"/>
      <c r="MRT291" s="25"/>
      <c r="MRU291" s="25"/>
      <c r="MRV291" s="25"/>
      <c r="MRW291" s="25"/>
      <c r="MRX291" s="26"/>
      <c r="MRY291" s="30"/>
      <c r="MSI291" s="25"/>
      <c r="MSJ291" s="25"/>
      <c r="MSK291" s="25"/>
      <c r="MSL291" s="25"/>
      <c r="MSM291" s="25"/>
      <c r="MSN291" s="26"/>
      <c r="MSO291" s="30"/>
      <c r="MSY291" s="25"/>
      <c r="MSZ291" s="25"/>
      <c r="MTA291" s="25"/>
      <c r="MTB291" s="25"/>
      <c r="MTC291" s="25"/>
      <c r="MTD291" s="26"/>
      <c r="MTE291" s="30"/>
      <c r="MTO291" s="25"/>
      <c r="MTP291" s="25"/>
      <c r="MTQ291" s="25"/>
      <c r="MTR291" s="25"/>
      <c r="MTS291" s="25"/>
      <c r="MTT291" s="26"/>
      <c r="MTU291" s="30"/>
      <c r="MUE291" s="25"/>
      <c r="MUF291" s="25"/>
      <c r="MUG291" s="25"/>
      <c r="MUH291" s="25"/>
      <c r="MUI291" s="25"/>
      <c r="MUJ291" s="26"/>
      <c r="MUK291" s="30"/>
      <c r="MUU291" s="25"/>
      <c r="MUV291" s="25"/>
      <c r="MUW291" s="25"/>
      <c r="MUX291" s="25"/>
      <c r="MUY291" s="25"/>
      <c r="MUZ291" s="26"/>
      <c r="MVA291" s="30"/>
      <c r="MVK291" s="25"/>
      <c r="MVL291" s="25"/>
      <c r="MVM291" s="25"/>
      <c r="MVN291" s="25"/>
      <c r="MVO291" s="25"/>
      <c r="MVP291" s="26"/>
      <c r="MVQ291" s="30"/>
      <c r="MWA291" s="25"/>
      <c r="MWB291" s="25"/>
      <c r="MWC291" s="25"/>
      <c r="MWD291" s="25"/>
      <c r="MWE291" s="25"/>
      <c r="MWF291" s="26"/>
      <c r="MWG291" s="30"/>
      <c r="MWQ291" s="25"/>
      <c r="MWR291" s="25"/>
      <c r="MWS291" s="25"/>
      <c r="MWT291" s="25"/>
      <c r="MWU291" s="25"/>
      <c r="MWV291" s="26"/>
      <c r="MWW291" s="30"/>
      <c r="MXG291" s="25"/>
      <c r="MXH291" s="25"/>
      <c r="MXI291" s="25"/>
      <c r="MXJ291" s="25"/>
      <c r="MXK291" s="25"/>
      <c r="MXL291" s="26"/>
      <c r="MXM291" s="30"/>
      <c r="MXW291" s="25"/>
      <c r="MXX291" s="25"/>
      <c r="MXY291" s="25"/>
      <c r="MXZ291" s="25"/>
      <c r="MYA291" s="25"/>
      <c r="MYB291" s="26"/>
      <c r="MYC291" s="30"/>
      <c r="MYM291" s="25"/>
      <c r="MYN291" s="25"/>
      <c r="MYO291" s="25"/>
      <c r="MYP291" s="25"/>
      <c r="MYQ291" s="25"/>
      <c r="MYR291" s="26"/>
      <c r="MYS291" s="30"/>
      <c r="MZC291" s="25"/>
      <c r="MZD291" s="25"/>
      <c r="MZE291" s="25"/>
      <c r="MZF291" s="25"/>
      <c r="MZG291" s="25"/>
      <c r="MZH291" s="26"/>
      <c r="MZI291" s="30"/>
      <c r="MZS291" s="25"/>
      <c r="MZT291" s="25"/>
      <c r="MZU291" s="25"/>
      <c r="MZV291" s="25"/>
      <c r="MZW291" s="25"/>
      <c r="MZX291" s="26"/>
      <c r="MZY291" s="30"/>
      <c r="NAI291" s="25"/>
      <c r="NAJ291" s="25"/>
      <c r="NAK291" s="25"/>
      <c r="NAL291" s="25"/>
      <c r="NAM291" s="25"/>
      <c r="NAN291" s="26"/>
      <c r="NAO291" s="30"/>
      <c r="NAY291" s="25"/>
      <c r="NAZ291" s="25"/>
      <c r="NBA291" s="25"/>
      <c r="NBB291" s="25"/>
      <c r="NBC291" s="25"/>
      <c r="NBD291" s="26"/>
      <c r="NBE291" s="30"/>
      <c r="NBO291" s="25"/>
      <c r="NBP291" s="25"/>
      <c r="NBQ291" s="25"/>
      <c r="NBR291" s="25"/>
      <c r="NBS291" s="25"/>
      <c r="NBT291" s="26"/>
      <c r="NBU291" s="30"/>
      <c r="NCE291" s="25"/>
      <c r="NCF291" s="25"/>
      <c r="NCG291" s="25"/>
      <c r="NCH291" s="25"/>
      <c r="NCI291" s="25"/>
      <c r="NCJ291" s="26"/>
      <c r="NCK291" s="30"/>
      <c r="NCU291" s="25"/>
      <c r="NCV291" s="25"/>
      <c r="NCW291" s="25"/>
      <c r="NCX291" s="25"/>
      <c r="NCY291" s="25"/>
      <c r="NCZ291" s="26"/>
      <c r="NDA291" s="30"/>
      <c r="NDK291" s="25"/>
      <c r="NDL291" s="25"/>
      <c r="NDM291" s="25"/>
      <c r="NDN291" s="25"/>
      <c r="NDO291" s="25"/>
      <c r="NDP291" s="26"/>
      <c r="NDQ291" s="30"/>
      <c r="NEA291" s="25"/>
      <c r="NEB291" s="25"/>
      <c r="NEC291" s="25"/>
      <c r="NED291" s="25"/>
      <c r="NEE291" s="25"/>
      <c r="NEF291" s="26"/>
      <c r="NEG291" s="30"/>
      <c r="NEQ291" s="25"/>
      <c r="NER291" s="25"/>
      <c r="NES291" s="25"/>
      <c r="NET291" s="25"/>
      <c r="NEU291" s="25"/>
      <c r="NEV291" s="26"/>
      <c r="NEW291" s="30"/>
      <c r="NFG291" s="25"/>
      <c r="NFH291" s="25"/>
      <c r="NFI291" s="25"/>
      <c r="NFJ291" s="25"/>
      <c r="NFK291" s="25"/>
      <c r="NFL291" s="26"/>
      <c r="NFM291" s="30"/>
      <c r="NFW291" s="25"/>
      <c r="NFX291" s="25"/>
      <c r="NFY291" s="25"/>
      <c r="NFZ291" s="25"/>
      <c r="NGA291" s="25"/>
      <c r="NGB291" s="26"/>
      <c r="NGC291" s="30"/>
      <c r="NGM291" s="25"/>
      <c r="NGN291" s="25"/>
      <c r="NGO291" s="25"/>
      <c r="NGP291" s="25"/>
      <c r="NGQ291" s="25"/>
      <c r="NGR291" s="26"/>
      <c r="NGS291" s="30"/>
      <c r="NHC291" s="25"/>
      <c r="NHD291" s="25"/>
      <c r="NHE291" s="25"/>
      <c r="NHF291" s="25"/>
      <c r="NHG291" s="25"/>
      <c r="NHH291" s="26"/>
      <c r="NHI291" s="30"/>
      <c r="NHS291" s="25"/>
      <c r="NHT291" s="25"/>
      <c r="NHU291" s="25"/>
      <c r="NHV291" s="25"/>
      <c r="NHW291" s="25"/>
      <c r="NHX291" s="26"/>
      <c r="NHY291" s="30"/>
      <c r="NII291" s="25"/>
      <c r="NIJ291" s="25"/>
      <c r="NIK291" s="25"/>
      <c r="NIL291" s="25"/>
      <c r="NIM291" s="25"/>
      <c r="NIN291" s="26"/>
      <c r="NIO291" s="30"/>
      <c r="NIY291" s="25"/>
      <c r="NIZ291" s="25"/>
      <c r="NJA291" s="25"/>
      <c r="NJB291" s="25"/>
      <c r="NJC291" s="25"/>
      <c r="NJD291" s="26"/>
      <c r="NJE291" s="30"/>
      <c r="NJO291" s="25"/>
      <c r="NJP291" s="25"/>
      <c r="NJQ291" s="25"/>
      <c r="NJR291" s="25"/>
      <c r="NJS291" s="25"/>
      <c r="NJT291" s="26"/>
      <c r="NJU291" s="30"/>
      <c r="NKE291" s="25"/>
      <c r="NKF291" s="25"/>
      <c r="NKG291" s="25"/>
      <c r="NKH291" s="25"/>
      <c r="NKI291" s="25"/>
      <c r="NKJ291" s="26"/>
      <c r="NKK291" s="30"/>
      <c r="NKU291" s="25"/>
      <c r="NKV291" s="25"/>
      <c r="NKW291" s="25"/>
      <c r="NKX291" s="25"/>
      <c r="NKY291" s="25"/>
      <c r="NKZ291" s="26"/>
      <c r="NLA291" s="30"/>
      <c r="NLK291" s="25"/>
      <c r="NLL291" s="25"/>
      <c r="NLM291" s="25"/>
      <c r="NLN291" s="25"/>
      <c r="NLO291" s="25"/>
      <c r="NLP291" s="26"/>
      <c r="NLQ291" s="30"/>
      <c r="NMA291" s="25"/>
      <c r="NMB291" s="25"/>
      <c r="NMC291" s="25"/>
      <c r="NMD291" s="25"/>
      <c r="NME291" s="25"/>
      <c r="NMF291" s="26"/>
      <c r="NMG291" s="30"/>
      <c r="NMQ291" s="25"/>
      <c r="NMR291" s="25"/>
      <c r="NMS291" s="25"/>
      <c r="NMT291" s="25"/>
      <c r="NMU291" s="25"/>
      <c r="NMV291" s="26"/>
      <c r="NMW291" s="30"/>
      <c r="NNG291" s="25"/>
      <c r="NNH291" s="25"/>
      <c r="NNI291" s="25"/>
      <c r="NNJ291" s="25"/>
      <c r="NNK291" s="25"/>
      <c r="NNL291" s="26"/>
      <c r="NNM291" s="30"/>
      <c r="NNW291" s="25"/>
      <c r="NNX291" s="25"/>
      <c r="NNY291" s="25"/>
      <c r="NNZ291" s="25"/>
      <c r="NOA291" s="25"/>
      <c r="NOB291" s="26"/>
      <c r="NOC291" s="30"/>
      <c r="NOM291" s="25"/>
      <c r="NON291" s="25"/>
      <c r="NOO291" s="25"/>
      <c r="NOP291" s="25"/>
      <c r="NOQ291" s="25"/>
      <c r="NOR291" s="26"/>
      <c r="NOS291" s="30"/>
      <c r="NPC291" s="25"/>
      <c r="NPD291" s="25"/>
      <c r="NPE291" s="25"/>
      <c r="NPF291" s="25"/>
      <c r="NPG291" s="25"/>
      <c r="NPH291" s="26"/>
      <c r="NPI291" s="30"/>
      <c r="NPS291" s="25"/>
      <c r="NPT291" s="25"/>
      <c r="NPU291" s="25"/>
      <c r="NPV291" s="25"/>
      <c r="NPW291" s="25"/>
      <c r="NPX291" s="26"/>
      <c r="NPY291" s="30"/>
      <c r="NQI291" s="25"/>
      <c r="NQJ291" s="25"/>
      <c r="NQK291" s="25"/>
      <c r="NQL291" s="25"/>
      <c r="NQM291" s="25"/>
      <c r="NQN291" s="26"/>
      <c r="NQO291" s="30"/>
      <c r="NQY291" s="25"/>
      <c r="NQZ291" s="25"/>
      <c r="NRA291" s="25"/>
      <c r="NRB291" s="25"/>
      <c r="NRC291" s="25"/>
      <c r="NRD291" s="26"/>
      <c r="NRE291" s="30"/>
      <c r="NRO291" s="25"/>
      <c r="NRP291" s="25"/>
      <c r="NRQ291" s="25"/>
      <c r="NRR291" s="25"/>
      <c r="NRS291" s="25"/>
      <c r="NRT291" s="26"/>
      <c r="NRU291" s="30"/>
      <c r="NSE291" s="25"/>
      <c r="NSF291" s="25"/>
      <c r="NSG291" s="25"/>
      <c r="NSH291" s="25"/>
      <c r="NSI291" s="25"/>
      <c r="NSJ291" s="26"/>
      <c r="NSK291" s="30"/>
      <c r="NSU291" s="25"/>
      <c r="NSV291" s="25"/>
      <c r="NSW291" s="25"/>
      <c r="NSX291" s="25"/>
      <c r="NSY291" s="25"/>
      <c r="NSZ291" s="26"/>
      <c r="NTA291" s="30"/>
      <c r="NTK291" s="25"/>
      <c r="NTL291" s="25"/>
      <c r="NTM291" s="25"/>
      <c r="NTN291" s="25"/>
      <c r="NTO291" s="25"/>
      <c r="NTP291" s="26"/>
      <c r="NTQ291" s="30"/>
      <c r="NUA291" s="25"/>
      <c r="NUB291" s="25"/>
      <c r="NUC291" s="25"/>
      <c r="NUD291" s="25"/>
      <c r="NUE291" s="25"/>
      <c r="NUF291" s="26"/>
      <c r="NUG291" s="30"/>
      <c r="NUQ291" s="25"/>
      <c r="NUR291" s="25"/>
      <c r="NUS291" s="25"/>
      <c r="NUT291" s="25"/>
      <c r="NUU291" s="25"/>
      <c r="NUV291" s="26"/>
      <c r="NUW291" s="30"/>
      <c r="NVG291" s="25"/>
      <c r="NVH291" s="25"/>
      <c r="NVI291" s="25"/>
      <c r="NVJ291" s="25"/>
      <c r="NVK291" s="25"/>
      <c r="NVL291" s="26"/>
      <c r="NVM291" s="30"/>
      <c r="NVW291" s="25"/>
      <c r="NVX291" s="25"/>
      <c r="NVY291" s="25"/>
      <c r="NVZ291" s="25"/>
      <c r="NWA291" s="25"/>
      <c r="NWB291" s="26"/>
      <c r="NWC291" s="30"/>
      <c r="NWM291" s="25"/>
      <c r="NWN291" s="25"/>
      <c r="NWO291" s="25"/>
      <c r="NWP291" s="25"/>
      <c r="NWQ291" s="25"/>
      <c r="NWR291" s="26"/>
      <c r="NWS291" s="30"/>
      <c r="NXC291" s="25"/>
      <c r="NXD291" s="25"/>
      <c r="NXE291" s="25"/>
      <c r="NXF291" s="25"/>
      <c r="NXG291" s="25"/>
      <c r="NXH291" s="26"/>
      <c r="NXI291" s="30"/>
      <c r="NXS291" s="25"/>
      <c r="NXT291" s="25"/>
      <c r="NXU291" s="25"/>
      <c r="NXV291" s="25"/>
      <c r="NXW291" s="25"/>
      <c r="NXX291" s="26"/>
      <c r="NXY291" s="30"/>
      <c r="NYI291" s="25"/>
      <c r="NYJ291" s="25"/>
      <c r="NYK291" s="25"/>
      <c r="NYL291" s="25"/>
      <c r="NYM291" s="25"/>
      <c r="NYN291" s="26"/>
      <c r="NYO291" s="30"/>
      <c r="NYY291" s="25"/>
      <c r="NYZ291" s="25"/>
      <c r="NZA291" s="25"/>
      <c r="NZB291" s="25"/>
      <c r="NZC291" s="25"/>
      <c r="NZD291" s="26"/>
      <c r="NZE291" s="30"/>
      <c r="NZO291" s="25"/>
      <c r="NZP291" s="25"/>
      <c r="NZQ291" s="25"/>
      <c r="NZR291" s="25"/>
      <c r="NZS291" s="25"/>
      <c r="NZT291" s="26"/>
      <c r="NZU291" s="30"/>
      <c r="OAE291" s="25"/>
      <c r="OAF291" s="25"/>
      <c r="OAG291" s="25"/>
      <c r="OAH291" s="25"/>
      <c r="OAI291" s="25"/>
      <c r="OAJ291" s="26"/>
      <c r="OAK291" s="30"/>
      <c r="OAU291" s="25"/>
      <c r="OAV291" s="25"/>
      <c r="OAW291" s="25"/>
      <c r="OAX291" s="25"/>
      <c r="OAY291" s="25"/>
      <c r="OAZ291" s="26"/>
      <c r="OBA291" s="30"/>
      <c r="OBK291" s="25"/>
      <c r="OBL291" s="25"/>
      <c r="OBM291" s="25"/>
      <c r="OBN291" s="25"/>
      <c r="OBO291" s="25"/>
      <c r="OBP291" s="26"/>
      <c r="OBQ291" s="30"/>
      <c r="OCA291" s="25"/>
      <c r="OCB291" s="25"/>
      <c r="OCC291" s="25"/>
      <c r="OCD291" s="25"/>
      <c r="OCE291" s="25"/>
      <c r="OCF291" s="26"/>
      <c r="OCG291" s="30"/>
      <c r="OCQ291" s="25"/>
      <c r="OCR291" s="25"/>
      <c r="OCS291" s="25"/>
      <c r="OCT291" s="25"/>
      <c r="OCU291" s="25"/>
      <c r="OCV291" s="26"/>
      <c r="OCW291" s="30"/>
      <c r="ODG291" s="25"/>
      <c r="ODH291" s="25"/>
      <c r="ODI291" s="25"/>
      <c r="ODJ291" s="25"/>
      <c r="ODK291" s="25"/>
      <c r="ODL291" s="26"/>
      <c r="ODM291" s="30"/>
      <c r="ODW291" s="25"/>
      <c r="ODX291" s="25"/>
      <c r="ODY291" s="25"/>
      <c r="ODZ291" s="25"/>
      <c r="OEA291" s="25"/>
      <c r="OEB291" s="26"/>
      <c r="OEC291" s="30"/>
      <c r="OEM291" s="25"/>
      <c r="OEN291" s="25"/>
      <c r="OEO291" s="25"/>
      <c r="OEP291" s="25"/>
      <c r="OEQ291" s="25"/>
      <c r="OER291" s="26"/>
      <c r="OES291" s="30"/>
      <c r="OFC291" s="25"/>
      <c r="OFD291" s="25"/>
      <c r="OFE291" s="25"/>
      <c r="OFF291" s="25"/>
      <c r="OFG291" s="25"/>
      <c r="OFH291" s="26"/>
      <c r="OFI291" s="30"/>
      <c r="OFS291" s="25"/>
      <c r="OFT291" s="25"/>
      <c r="OFU291" s="25"/>
      <c r="OFV291" s="25"/>
      <c r="OFW291" s="25"/>
      <c r="OFX291" s="26"/>
      <c r="OFY291" s="30"/>
      <c r="OGI291" s="25"/>
      <c r="OGJ291" s="25"/>
      <c r="OGK291" s="25"/>
      <c r="OGL291" s="25"/>
      <c r="OGM291" s="25"/>
      <c r="OGN291" s="26"/>
      <c r="OGO291" s="30"/>
      <c r="OGY291" s="25"/>
      <c r="OGZ291" s="25"/>
      <c r="OHA291" s="25"/>
      <c r="OHB291" s="25"/>
      <c r="OHC291" s="25"/>
      <c r="OHD291" s="26"/>
      <c r="OHE291" s="30"/>
      <c r="OHO291" s="25"/>
      <c r="OHP291" s="25"/>
      <c r="OHQ291" s="25"/>
      <c r="OHR291" s="25"/>
      <c r="OHS291" s="25"/>
      <c r="OHT291" s="26"/>
      <c r="OHU291" s="30"/>
      <c r="OIE291" s="25"/>
      <c r="OIF291" s="25"/>
      <c r="OIG291" s="25"/>
      <c r="OIH291" s="25"/>
      <c r="OII291" s="25"/>
      <c r="OIJ291" s="26"/>
      <c r="OIK291" s="30"/>
      <c r="OIU291" s="25"/>
      <c r="OIV291" s="25"/>
      <c r="OIW291" s="25"/>
      <c r="OIX291" s="25"/>
      <c r="OIY291" s="25"/>
      <c r="OIZ291" s="26"/>
      <c r="OJA291" s="30"/>
      <c r="OJK291" s="25"/>
      <c r="OJL291" s="25"/>
      <c r="OJM291" s="25"/>
      <c r="OJN291" s="25"/>
      <c r="OJO291" s="25"/>
      <c r="OJP291" s="26"/>
      <c r="OJQ291" s="30"/>
      <c r="OKA291" s="25"/>
      <c r="OKB291" s="25"/>
      <c r="OKC291" s="25"/>
      <c r="OKD291" s="25"/>
      <c r="OKE291" s="25"/>
      <c r="OKF291" s="26"/>
      <c r="OKG291" s="30"/>
      <c r="OKQ291" s="25"/>
      <c r="OKR291" s="25"/>
      <c r="OKS291" s="25"/>
      <c r="OKT291" s="25"/>
      <c r="OKU291" s="25"/>
      <c r="OKV291" s="26"/>
      <c r="OKW291" s="30"/>
      <c r="OLG291" s="25"/>
      <c r="OLH291" s="25"/>
      <c r="OLI291" s="25"/>
      <c r="OLJ291" s="25"/>
      <c r="OLK291" s="25"/>
      <c r="OLL291" s="26"/>
      <c r="OLM291" s="30"/>
      <c r="OLW291" s="25"/>
      <c r="OLX291" s="25"/>
      <c r="OLY291" s="25"/>
      <c r="OLZ291" s="25"/>
      <c r="OMA291" s="25"/>
      <c r="OMB291" s="26"/>
      <c r="OMC291" s="30"/>
      <c r="OMM291" s="25"/>
      <c r="OMN291" s="25"/>
      <c r="OMO291" s="25"/>
      <c r="OMP291" s="25"/>
      <c r="OMQ291" s="25"/>
      <c r="OMR291" s="26"/>
      <c r="OMS291" s="30"/>
      <c r="ONC291" s="25"/>
      <c r="OND291" s="25"/>
      <c r="ONE291" s="25"/>
      <c r="ONF291" s="25"/>
      <c r="ONG291" s="25"/>
      <c r="ONH291" s="26"/>
      <c r="ONI291" s="30"/>
      <c r="ONS291" s="25"/>
      <c r="ONT291" s="25"/>
      <c r="ONU291" s="25"/>
      <c r="ONV291" s="25"/>
      <c r="ONW291" s="25"/>
      <c r="ONX291" s="26"/>
      <c r="ONY291" s="30"/>
      <c r="OOI291" s="25"/>
      <c r="OOJ291" s="25"/>
      <c r="OOK291" s="25"/>
      <c r="OOL291" s="25"/>
      <c r="OOM291" s="25"/>
      <c r="OON291" s="26"/>
      <c r="OOO291" s="30"/>
      <c r="OOY291" s="25"/>
      <c r="OOZ291" s="25"/>
      <c r="OPA291" s="25"/>
      <c r="OPB291" s="25"/>
      <c r="OPC291" s="25"/>
      <c r="OPD291" s="26"/>
      <c r="OPE291" s="30"/>
      <c r="OPO291" s="25"/>
      <c r="OPP291" s="25"/>
      <c r="OPQ291" s="25"/>
      <c r="OPR291" s="25"/>
      <c r="OPS291" s="25"/>
      <c r="OPT291" s="26"/>
      <c r="OPU291" s="30"/>
      <c r="OQE291" s="25"/>
      <c r="OQF291" s="25"/>
      <c r="OQG291" s="25"/>
      <c r="OQH291" s="25"/>
      <c r="OQI291" s="25"/>
      <c r="OQJ291" s="26"/>
      <c r="OQK291" s="30"/>
      <c r="OQU291" s="25"/>
      <c r="OQV291" s="25"/>
      <c r="OQW291" s="25"/>
      <c r="OQX291" s="25"/>
      <c r="OQY291" s="25"/>
      <c r="OQZ291" s="26"/>
      <c r="ORA291" s="30"/>
      <c r="ORK291" s="25"/>
      <c r="ORL291" s="25"/>
      <c r="ORM291" s="25"/>
      <c r="ORN291" s="25"/>
      <c r="ORO291" s="25"/>
      <c r="ORP291" s="26"/>
      <c r="ORQ291" s="30"/>
      <c r="OSA291" s="25"/>
      <c r="OSB291" s="25"/>
      <c r="OSC291" s="25"/>
      <c r="OSD291" s="25"/>
      <c r="OSE291" s="25"/>
      <c r="OSF291" s="26"/>
      <c r="OSG291" s="30"/>
      <c r="OSQ291" s="25"/>
      <c r="OSR291" s="25"/>
      <c r="OSS291" s="25"/>
      <c r="OST291" s="25"/>
      <c r="OSU291" s="25"/>
      <c r="OSV291" s="26"/>
      <c r="OSW291" s="30"/>
      <c r="OTG291" s="25"/>
      <c r="OTH291" s="25"/>
      <c r="OTI291" s="25"/>
      <c r="OTJ291" s="25"/>
      <c r="OTK291" s="25"/>
      <c r="OTL291" s="26"/>
      <c r="OTM291" s="30"/>
      <c r="OTW291" s="25"/>
      <c r="OTX291" s="25"/>
      <c r="OTY291" s="25"/>
      <c r="OTZ291" s="25"/>
      <c r="OUA291" s="25"/>
      <c r="OUB291" s="26"/>
      <c r="OUC291" s="30"/>
      <c r="OUM291" s="25"/>
      <c r="OUN291" s="25"/>
      <c r="OUO291" s="25"/>
      <c r="OUP291" s="25"/>
      <c r="OUQ291" s="25"/>
      <c r="OUR291" s="26"/>
      <c r="OUS291" s="30"/>
      <c r="OVC291" s="25"/>
      <c r="OVD291" s="25"/>
      <c r="OVE291" s="25"/>
      <c r="OVF291" s="25"/>
      <c r="OVG291" s="25"/>
      <c r="OVH291" s="26"/>
      <c r="OVI291" s="30"/>
      <c r="OVS291" s="25"/>
      <c r="OVT291" s="25"/>
      <c r="OVU291" s="25"/>
      <c r="OVV291" s="25"/>
      <c r="OVW291" s="25"/>
      <c r="OVX291" s="26"/>
      <c r="OVY291" s="30"/>
      <c r="OWI291" s="25"/>
      <c r="OWJ291" s="25"/>
      <c r="OWK291" s="25"/>
      <c r="OWL291" s="25"/>
      <c r="OWM291" s="25"/>
      <c r="OWN291" s="26"/>
      <c r="OWO291" s="30"/>
      <c r="OWY291" s="25"/>
      <c r="OWZ291" s="25"/>
      <c r="OXA291" s="25"/>
      <c r="OXB291" s="25"/>
      <c r="OXC291" s="25"/>
      <c r="OXD291" s="26"/>
      <c r="OXE291" s="30"/>
      <c r="OXO291" s="25"/>
      <c r="OXP291" s="25"/>
      <c r="OXQ291" s="25"/>
      <c r="OXR291" s="25"/>
      <c r="OXS291" s="25"/>
      <c r="OXT291" s="26"/>
      <c r="OXU291" s="30"/>
      <c r="OYE291" s="25"/>
      <c r="OYF291" s="25"/>
      <c r="OYG291" s="25"/>
      <c r="OYH291" s="25"/>
      <c r="OYI291" s="25"/>
      <c r="OYJ291" s="26"/>
      <c r="OYK291" s="30"/>
      <c r="OYU291" s="25"/>
      <c r="OYV291" s="25"/>
      <c r="OYW291" s="25"/>
      <c r="OYX291" s="25"/>
      <c r="OYY291" s="25"/>
      <c r="OYZ291" s="26"/>
      <c r="OZA291" s="30"/>
      <c r="OZK291" s="25"/>
      <c r="OZL291" s="25"/>
      <c r="OZM291" s="25"/>
      <c r="OZN291" s="25"/>
      <c r="OZO291" s="25"/>
      <c r="OZP291" s="26"/>
      <c r="OZQ291" s="30"/>
      <c r="PAA291" s="25"/>
      <c r="PAB291" s="25"/>
      <c r="PAC291" s="25"/>
      <c r="PAD291" s="25"/>
      <c r="PAE291" s="25"/>
      <c r="PAF291" s="26"/>
      <c r="PAG291" s="30"/>
      <c r="PAQ291" s="25"/>
      <c r="PAR291" s="25"/>
      <c r="PAS291" s="25"/>
      <c r="PAT291" s="25"/>
      <c r="PAU291" s="25"/>
      <c r="PAV291" s="26"/>
      <c r="PAW291" s="30"/>
      <c r="PBG291" s="25"/>
      <c r="PBH291" s="25"/>
      <c r="PBI291" s="25"/>
      <c r="PBJ291" s="25"/>
      <c r="PBK291" s="25"/>
      <c r="PBL291" s="26"/>
      <c r="PBM291" s="30"/>
      <c r="PBW291" s="25"/>
      <c r="PBX291" s="25"/>
      <c r="PBY291" s="25"/>
      <c r="PBZ291" s="25"/>
      <c r="PCA291" s="25"/>
      <c r="PCB291" s="26"/>
      <c r="PCC291" s="30"/>
      <c r="PCM291" s="25"/>
      <c r="PCN291" s="25"/>
      <c r="PCO291" s="25"/>
      <c r="PCP291" s="25"/>
      <c r="PCQ291" s="25"/>
      <c r="PCR291" s="26"/>
      <c r="PCS291" s="30"/>
      <c r="PDC291" s="25"/>
      <c r="PDD291" s="25"/>
      <c r="PDE291" s="25"/>
      <c r="PDF291" s="25"/>
      <c r="PDG291" s="25"/>
      <c r="PDH291" s="26"/>
      <c r="PDI291" s="30"/>
      <c r="PDS291" s="25"/>
      <c r="PDT291" s="25"/>
      <c r="PDU291" s="25"/>
      <c r="PDV291" s="25"/>
      <c r="PDW291" s="25"/>
      <c r="PDX291" s="26"/>
      <c r="PDY291" s="30"/>
      <c r="PEI291" s="25"/>
      <c r="PEJ291" s="25"/>
      <c r="PEK291" s="25"/>
      <c r="PEL291" s="25"/>
      <c r="PEM291" s="25"/>
      <c r="PEN291" s="26"/>
      <c r="PEO291" s="30"/>
      <c r="PEY291" s="25"/>
      <c r="PEZ291" s="25"/>
      <c r="PFA291" s="25"/>
      <c r="PFB291" s="25"/>
      <c r="PFC291" s="25"/>
      <c r="PFD291" s="26"/>
      <c r="PFE291" s="30"/>
      <c r="PFO291" s="25"/>
      <c r="PFP291" s="25"/>
      <c r="PFQ291" s="25"/>
      <c r="PFR291" s="25"/>
      <c r="PFS291" s="25"/>
      <c r="PFT291" s="26"/>
      <c r="PFU291" s="30"/>
      <c r="PGE291" s="25"/>
      <c r="PGF291" s="25"/>
      <c r="PGG291" s="25"/>
      <c r="PGH291" s="25"/>
      <c r="PGI291" s="25"/>
      <c r="PGJ291" s="26"/>
      <c r="PGK291" s="30"/>
      <c r="PGU291" s="25"/>
      <c r="PGV291" s="25"/>
      <c r="PGW291" s="25"/>
      <c r="PGX291" s="25"/>
      <c r="PGY291" s="25"/>
      <c r="PGZ291" s="26"/>
      <c r="PHA291" s="30"/>
      <c r="PHK291" s="25"/>
      <c r="PHL291" s="25"/>
      <c r="PHM291" s="25"/>
      <c r="PHN291" s="25"/>
      <c r="PHO291" s="25"/>
      <c r="PHP291" s="26"/>
      <c r="PHQ291" s="30"/>
      <c r="PIA291" s="25"/>
      <c r="PIB291" s="25"/>
      <c r="PIC291" s="25"/>
      <c r="PID291" s="25"/>
      <c r="PIE291" s="25"/>
      <c r="PIF291" s="26"/>
      <c r="PIG291" s="30"/>
      <c r="PIQ291" s="25"/>
      <c r="PIR291" s="25"/>
      <c r="PIS291" s="25"/>
      <c r="PIT291" s="25"/>
      <c r="PIU291" s="25"/>
      <c r="PIV291" s="26"/>
      <c r="PIW291" s="30"/>
      <c r="PJG291" s="25"/>
      <c r="PJH291" s="25"/>
      <c r="PJI291" s="25"/>
      <c r="PJJ291" s="25"/>
      <c r="PJK291" s="25"/>
      <c r="PJL291" s="26"/>
      <c r="PJM291" s="30"/>
      <c r="PJW291" s="25"/>
      <c r="PJX291" s="25"/>
      <c r="PJY291" s="25"/>
      <c r="PJZ291" s="25"/>
      <c r="PKA291" s="25"/>
      <c r="PKB291" s="26"/>
      <c r="PKC291" s="30"/>
      <c r="PKM291" s="25"/>
      <c r="PKN291" s="25"/>
      <c r="PKO291" s="25"/>
      <c r="PKP291" s="25"/>
      <c r="PKQ291" s="25"/>
      <c r="PKR291" s="26"/>
      <c r="PKS291" s="30"/>
      <c r="PLC291" s="25"/>
      <c r="PLD291" s="25"/>
      <c r="PLE291" s="25"/>
      <c r="PLF291" s="25"/>
      <c r="PLG291" s="25"/>
      <c r="PLH291" s="26"/>
      <c r="PLI291" s="30"/>
      <c r="PLS291" s="25"/>
      <c r="PLT291" s="25"/>
      <c r="PLU291" s="25"/>
      <c r="PLV291" s="25"/>
      <c r="PLW291" s="25"/>
      <c r="PLX291" s="26"/>
      <c r="PLY291" s="30"/>
      <c r="PMI291" s="25"/>
      <c r="PMJ291" s="25"/>
      <c r="PMK291" s="25"/>
      <c r="PML291" s="25"/>
      <c r="PMM291" s="25"/>
      <c r="PMN291" s="26"/>
      <c r="PMO291" s="30"/>
      <c r="PMY291" s="25"/>
      <c r="PMZ291" s="25"/>
      <c r="PNA291" s="25"/>
      <c r="PNB291" s="25"/>
      <c r="PNC291" s="25"/>
      <c r="PND291" s="26"/>
      <c r="PNE291" s="30"/>
      <c r="PNO291" s="25"/>
      <c r="PNP291" s="25"/>
      <c r="PNQ291" s="25"/>
      <c r="PNR291" s="25"/>
      <c r="PNS291" s="25"/>
      <c r="PNT291" s="26"/>
      <c r="PNU291" s="30"/>
      <c r="POE291" s="25"/>
      <c r="POF291" s="25"/>
      <c r="POG291" s="25"/>
      <c r="POH291" s="25"/>
      <c r="POI291" s="25"/>
      <c r="POJ291" s="26"/>
      <c r="POK291" s="30"/>
      <c r="POU291" s="25"/>
      <c r="POV291" s="25"/>
      <c r="POW291" s="25"/>
      <c r="POX291" s="25"/>
      <c r="POY291" s="25"/>
      <c r="POZ291" s="26"/>
      <c r="PPA291" s="30"/>
      <c r="PPK291" s="25"/>
      <c r="PPL291" s="25"/>
      <c r="PPM291" s="25"/>
      <c r="PPN291" s="25"/>
      <c r="PPO291" s="25"/>
      <c r="PPP291" s="26"/>
      <c r="PPQ291" s="30"/>
      <c r="PQA291" s="25"/>
      <c r="PQB291" s="25"/>
      <c r="PQC291" s="25"/>
      <c r="PQD291" s="25"/>
      <c r="PQE291" s="25"/>
      <c r="PQF291" s="26"/>
      <c r="PQG291" s="30"/>
      <c r="PQQ291" s="25"/>
      <c r="PQR291" s="25"/>
      <c r="PQS291" s="25"/>
      <c r="PQT291" s="25"/>
      <c r="PQU291" s="25"/>
      <c r="PQV291" s="26"/>
      <c r="PQW291" s="30"/>
      <c r="PRG291" s="25"/>
      <c r="PRH291" s="25"/>
      <c r="PRI291" s="25"/>
      <c r="PRJ291" s="25"/>
      <c r="PRK291" s="25"/>
      <c r="PRL291" s="26"/>
      <c r="PRM291" s="30"/>
      <c r="PRW291" s="25"/>
      <c r="PRX291" s="25"/>
      <c r="PRY291" s="25"/>
      <c r="PRZ291" s="25"/>
      <c r="PSA291" s="25"/>
      <c r="PSB291" s="26"/>
      <c r="PSC291" s="30"/>
      <c r="PSM291" s="25"/>
      <c r="PSN291" s="25"/>
      <c r="PSO291" s="25"/>
      <c r="PSP291" s="25"/>
      <c r="PSQ291" s="25"/>
      <c r="PSR291" s="26"/>
      <c r="PSS291" s="30"/>
      <c r="PTC291" s="25"/>
      <c r="PTD291" s="25"/>
      <c r="PTE291" s="25"/>
      <c r="PTF291" s="25"/>
      <c r="PTG291" s="25"/>
      <c r="PTH291" s="26"/>
      <c r="PTI291" s="30"/>
      <c r="PTS291" s="25"/>
      <c r="PTT291" s="25"/>
      <c r="PTU291" s="25"/>
      <c r="PTV291" s="25"/>
      <c r="PTW291" s="25"/>
      <c r="PTX291" s="26"/>
      <c r="PTY291" s="30"/>
      <c r="PUI291" s="25"/>
      <c r="PUJ291" s="25"/>
      <c r="PUK291" s="25"/>
      <c r="PUL291" s="25"/>
      <c r="PUM291" s="25"/>
      <c r="PUN291" s="26"/>
      <c r="PUO291" s="30"/>
      <c r="PUY291" s="25"/>
      <c r="PUZ291" s="25"/>
      <c r="PVA291" s="25"/>
      <c r="PVB291" s="25"/>
      <c r="PVC291" s="25"/>
      <c r="PVD291" s="26"/>
      <c r="PVE291" s="30"/>
      <c r="PVO291" s="25"/>
      <c r="PVP291" s="25"/>
      <c r="PVQ291" s="25"/>
      <c r="PVR291" s="25"/>
      <c r="PVS291" s="25"/>
      <c r="PVT291" s="26"/>
      <c r="PVU291" s="30"/>
      <c r="PWE291" s="25"/>
      <c r="PWF291" s="25"/>
      <c r="PWG291" s="25"/>
      <c r="PWH291" s="25"/>
      <c r="PWI291" s="25"/>
      <c r="PWJ291" s="26"/>
      <c r="PWK291" s="30"/>
      <c r="PWU291" s="25"/>
      <c r="PWV291" s="25"/>
      <c r="PWW291" s="25"/>
      <c r="PWX291" s="25"/>
      <c r="PWY291" s="25"/>
      <c r="PWZ291" s="26"/>
      <c r="PXA291" s="30"/>
      <c r="PXK291" s="25"/>
      <c r="PXL291" s="25"/>
      <c r="PXM291" s="25"/>
      <c r="PXN291" s="25"/>
      <c r="PXO291" s="25"/>
      <c r="PXP291" s="26"/>
      <c r="PXQ291" s="30"/>
      <c r="PYA291" s="25"/>
      <c r="PYB291" s="25"/>
      <c r="PYC291" s="25"/>
      <c r="PYD291" s="25"/>
      <c r="PYE291" s="25"/>
      <c r="PYF291" s="26"/>
      <c r="PYG291" s="30"/>
      <c r="PYQ291" s="25"/>
      <c r="PYR291" s="25"/>
      <c r="PYS291" s="25"/>
      <c r="PYT291" s="25"/>
      <c r="PYU291" s="25"/>
      <c r="PYV291" s="26"/>
      <c r="PYW291" s="30"/>
      <c r="PZG291" s="25"/>
      <c r="PZH291" s="25"/>
      <c r="PZI291" s="25"/>
      <c r="PZJ291" s="25"/>
      <c r="PZK291" s="25"/>
      <c r="PZL291" s="26"/>
      <c r="PZM291" s="30"/>
      <c r="PZW291" s="25"/>
      <c r="PZX291" s="25"/>
      <c r="PZY291" s="25"/>
      <c r="PZZ291" s="25"/>
      <c r="QAA291" s="25"/>
      <c r="QAB291" s="26"/>
      <c r="QAC291" s="30"/>
      <c r="QAM291" s="25"/>
      <c r="QAN291" s="25"/>
      <c r="QAO291" s="25"/>
      <c r="QAP291" s="25"/>
      <c r="QAQ291" s="25"/>
      <c r="QAR291" s="26"/>
      <c r="QAS291" s="30"/>
      <c r="QBC291" s="25"/>
      <c r="QBD291" s="25"/>
      <c r="QBE291" s="25"/>
      <c r="QBF291" s="25"/>
      <c r="QBG291" s="25"/>
      <c r="QBH291" s="26"/>
      <c r="QBI291" s="30"/>
      <c r="QBS291" s="25"/>
      <c r="QBT291" s="25"/>
      <c r="QBU291" s="25"/>
      <c r="QBV291" s="25"/>
      <c r="QBW291" s="25"/>
      <c r="QBX291" s="26"/>
      <c r="QBY291" s="30"/>
      <c r="QCI291" s="25"/>
      <c r="QCJ291" s="25"/>
      <c r="QCK291" s="25"/>
      <c r="QCL291" s="25"/>
      <c r="QCM291" s="25"/>
      <c r="QCN291" s="26"/>
      <c r="QCO291" s="30"/>
      <c r="QCY291" s="25"/>
      <c r="QCZ291" s="25"/>
      <c r="QDA291" s="25"/>
      <c r="QDB291" s="25"/>
      <c r="QDC291" s="25"/>
      <c r="QDD291" s="26"/>
      <c r="QDE291" s="30"/>
      <c r="QDO291" s="25"/>
      <c r="QDP291" s="25"/>
      <c r="QDQ291" s="25"/>
      <c r="QDR291" s="25"/>
      <c r="QDS291" s="25"/>
      <c r="QDT291" s="26"/>
      <c r="QDU291" s="30"/>
      <c r="QEE291" s="25"/>
      <c r="QEF291" s="25"/>
      <c r="QEG291" s="25"/>
      <c r="QEH291" s="25"/>
      <c r="QEI291" s="25"/>
      <c r="QEJ291" s="26"/>
      <c r="QEK291" s="30"/>
      <c r="QEU291" s="25"/>
      <c r="QEV291" s="25"/>
      <c r="QEW291" s="25"/>
      <c r="QEX291" s="25"/>
      <c r="QEY291" s="25"/>
      <c r="QEZ291" s="26"/>
      <c r="QFA291" s="30"/>
      <c r="QFK291" s="25"/>
      <c r="QFL291" s="25"/>
      <c r="QFM291" s="25"/>
      <c r="QFN291" s="25"/>
      <c r="QFO291" s="25"/>
      <c r="QFP291" s="26"/>
      <c r="QFQ291" s="30"/>
      <c r="QGA291" s="25"/>
      <c r="QGB291" s="25"/>
      <c r="QGC291" s="25"/>
      <c r="QGD291" s="25"/>
      <c r="QGE291" s="25"/>
      <c r="QGF291" s="26"/>
      <c r="QGG291" s="30"/>
      <c r="QGQ291" s="25"/>
      <c r="QGR291" s="25"/>
      <c r="QGS291" s="25"/>
      <c r="QGT291" s="25"/>
      <c r="QGU291" s="25"/>
      <c r="QGV291" s="26"/>
      <c r="QGW291" s="30"/>
      <c r="QHG291" s="25"/>
      <c r="QHH291" s="25"/>
      <c r="QHI291" s="25"/>
      <c r="QHJ291" s="25"/>
      <c r="QHK291" s="25"/>
      <c r="QHL291" s="26"/>
      <c r="QHM291" s="30"/>
      <c r="QHW291" s="25"/>
      <c r="QHX291" s="25"/>
      <c r="QHY291" s="25"/>
      <c r="QHZ291" s="25"/>
      <c r="QIA291" s="25"/>
      <c r="QIB291" s="26"/>
      <c r="QIC291" s="30"/>
      <c r="QIM291" s="25"/>
      <c r="QIN291" s="25"/>
      <c r="QIO291" s="25"/>
      <c r="QIP291" s="25"/>
      <c r="QIQ291" s="25"/>
      <c r="QIR291" s="26"/>
      <c r="QIS291" s="30"/>
      <c r="QJC291" s="25"/>
      <c r="QJD291" s="25"/>
      <c r="QJE291" s="25"/>
      <c r="QJF291" s="25"/>
      <c r="QJG291" s="25"/>
      <c r="QJH291" s="26"/>
      <c r="QJI291" s="30"/>
      <c r="QJS291" s="25"/>
      <c r="QJT291" s="25"/>
      <c r="QJU291" s="25"/>
      <c r="QJV291" s="25"/>
      <c r="QJW291" s="25"/>
      <c r="QJX291" s="26"/>
      <c r="QJY291" s="30"/>
      <c r="QKI291" s="25"/>
      <c r="QKJ291" s="25"/>
      <c r="QKK291" s="25"/>
      <c r="QKL291" s="25"/>
      <c r="QKM291" s="25"/>
      <c r="QKN291" s="26"/>
      <c r="QKO291" s="30"/>
      <c r="QKY291" s="25"/>
      <c r="QKZ291" s="25"/>
      <c r="QLA291" s="25"/>
      <c r="QLB291" s="25"/>
      <c r="QLC291" s="25"/>
      <c r="QLD291" s="26"/>
      <c r="QLE291" s="30"/>
      <c r="QLO291" s="25"/>
      <c r="QLP291" s="25"/>
      <c r="QLQ291" s="25"/>
      <c r="QLR291" s="25"/>
      <c r="QLS291" s="25"/>
      <c r="QLT291" s="26"/>
      <c r="QLU291" s="30"/>
      <c r="QME291" s="25"/>
      <c r="QMF291" s="25"/>
      <c r="QMG291" s="25"/>
      <c r="QMH291" s="25"/>
      <c r="QMI291" s="25"/>
      <c r="QMJ291" s="26"/>
      <c r="QMK291" s="30"/>
      <c r="QMU291" s="25"/>
      <c r="QMV291" s="25"/>
      <c r="QMW291" s="25"/>
      <c r="QMX291" s="25"/>
      <c r="QMY291" s="25"/>
      <c r="QMZ291" s="26"/>
      <c r="QNA291" s="30"/>
      <c r="QNK291" s="25"/>
      <c r="QNL291" s="25"/>
      <c r="QNM291" s="25"/>
      <c r="QNN291" s="25"/>
      <c r="QNO291" s="25"/>
      <c r="QNP291" s="26"/>
      <c r="QNQ291" s="30"/>
      <c r="QOA291" s="25"/>
      <c r="QOB291" s="25"/>
      <c r="QOC291" s="25"/>
      <c r="QOD291" s="25"/>
      <c r="QOE291" s="25"/>
      <c r="QOF291" s="26"/>
      <c r="QOG291" s="30"/>
      <c r="QOQ291" s="25"/>
      <c r="QOR291" s="25"/>
      <c r="QOS291" s="25"/>
      <c r="QOT291" s="25"/>
      <c r="QOU291" s="25"/>
      <c r="QOV291" s="26"/>
      <c r="QOW291" s="30"/>
      <c r="QPG291" s="25"/>
      <c r="QPH291" s="25"/>
      <c r="QPI291" s="25"/>
      <c r="QPJ291" s="25"/>
      <c r="QPK291" s="25"/>
      <c r="QPL291" s="26"/>
      <c r="QPM291" s="30"/>
      <c r="QPW291" s="25"/>
      <c r="QPX291" s="25"/>
      <c r="QPY291" s="25"/>
      <c r="QPZ291" s="25"/>
      <c r="QQA291" s="25"/>
      <c r="QQB291" s="26"/>
      <c r="QQC291" s="30"/>
      <c r="QQM291" s="25"/>
      <c r="QQN291" s="25"/>
      <c r="QQO291" s="25"/>
      <c r="QQP291" s="25"/>
      <c r="QQQ291" s="25"/>
      <c r="QQR291" s="26"/>
      <c r="QQS291" s="30"/>
      <c r="QRC291" s="25"/>
      <c r="QRD291" s="25"/>
      <c r="QRE291" s="25"/>
      <c r="QRF291" s="25"/>
      <c r="QRG291" s="25"/>
      <c r="QRH291" s="26"/>
      <c r="QRI291" s="30"/>
      <c r="QRS291" s="25"/>
      <c r="QRT291" s="25"/>
      <c r="QRU291" s="25"/>
      <c r="QRV291" s="25"/>
      <c r="QRW291" s="25"/>
      <c r="QRX291" s="26"/>
      <c r="QRY291" s="30"/>
      <c r="QSI291" s="25"/>
      <c r="QSJ291" s="25"/>
      <c r="QSK291" s="25"/>
      <c r="QSL291" s="25"/>
      <c r="QSM291" s="25"/>
      <c r="QSN291" s="26"/>
      <c r="QSO291" s="30"/>
      <c r="QSY291" s="25"/>
      <c r="QSZ291" s="25"/>
      <c r="QTA291" s="25"/>
      <c r="QTB291" s="25"/>
      <c r="QTC291" s="25"/>
      <c r="QTD291" s="26"/>
      <c r="QTE291" s="30"/>
      <c r="QTO291" s="25"/>
      <c r="QTP291" s="25"/>
      <c r="QTQ291" s="25"/>
      <c r="QTR291" s="25"/>
      <c r="QTS291" s="25"/>
      <c r="QTT291" s="26"/>
      <c r="QTU291" s="30"/>
      <c r="QUE291" s="25"/>
      <c r="QUF291" s="25"/>
      <c r="QUG291" s="25"/>
      <c r="QUH291" s="25"/>
      <c r="QUI291" s="25"/>
      <c r="QUJ291" s="26"/>
      <c r="QUK291" s="30"/>
      <c r="QUU291" s="25"/>
      <c r="QUV291" s="25"/>
      <c r="QUW291" s="25"/>
      <c r="QUX291" s="25"/>
      <c r="QUY291" s="25"/>
      <c r="QUZ291" s="26"/>
      <c r="QVA291" s="30"/>
      <c r="QVK291" s="25"/>
      <c r="QVL291" s="25"/>
      <c r="QVM291" s="25"/>
      <c r="QVN291" s="25"/>
      <c r="QVO291" s="25"/>
      <c r="QVP291" s="26"/>
      <c r="QVQ291" s="30"/>
      <c r="QWA291" s="25"/>
      <c r="QWB291" s="25"/>
      <c r="QWC291" s="25"/>
      <c r="QWD291" s="25"/>
      <c r="QWE291" s="25"/>
      <c r="QWF291" s="26"/>
      <c r="QWG291" s="30"/>
      <c r="QWQ291" s="25"/>
      <c r="QWR291" s="25"/>
      <c r="QWS291" s="25"/>
      <c r="QWT291" s="25"/>
      <c r="QWU291" s="25"/>
      <c r="QWV291" s="26"/>
      <c r="QWW291" s="30"/>
      <c r="QXG291" s="25"/>
      <c r="QXH291" s="25"/>
      <c r="QXI291" s="25"/>
      <c r="QXJ291" s="25"/>
      <c r="QXK291" s="25"/>
      <c r="QXL291" s="26"/>
      <c r="QXM291" s="30"/>
      <c r="QXW291" s="25"/>
      <c r="QXX291" s="25"/>
      <c r="QXY291" s="25"/>
      <c r="QXZ291" s="25"/>
      <c r="QYA291" s="25"/>
      <c r="QYB291" s="26"/>
      <c r="QYC291" s="30"/>
      <c r="QYM291" s="25"/>
      <c r="QYN291" s="25"/>
      <c r="QYO291" s="25"/>
      <c r="QYP291" s="25"/>
      <c r="QYQ291" s="25"/>
      <c r="QYR291" s="26"/>
      <c r="QYS291" s="30"/>
      <c r="QZC291" s="25"/>
      <c r="QZD291" s="25"/>
      <c r="QZE291" s="25"/>
      <c r="QZF291" s="25"/>
      <c r="QZG291" s="25"/>
      <c r="QZH291" s="26"/>
      <c r="QZI291" s="30"/>
      <c r="QZS291" s="25"/>
      <c r="QZT291" s="25"/>
      <c r="QZU291" s="25"/>
      <c r="QZV291" s="25"/>
      <c r="QZW291" s="25"/>
      <c r="QZX291" s="26"/>
      <c r="QZY291" s="30"/>
      <c r="RAI291" s="25"/>
      <c r="RAJ291" s="25"/>
      <c r="RAK291" s="25"/>
      <c r="RAL291" s="25"/>
      <c r="RAM291" s="25"/>
      <c r="RAN291" s="26"/>
      <c r="RAO291" s="30"/>
      <c r="RAY291" s="25"/>
      <c r="RAZ291" s="25"/>
      <c r="RBA291" s="25"/>
      <c r="RBB291" s="25"/>
      <c r="RBC291" s="25"/>
      <c r="RBD291" s="26"/>
      <c r="RBE291" s="30"/>
      <c r="RBO291" s="25"/>
      <c r="RBP291" s="25"/>
      <c r="RBQ291" s="25"/>
      <c r="RBR291" s="25"/>
      <c r="RBS291" s="25"/>
      <c r="RBT291" s="26"/>
      <c r="RBU291" s="30"/>
      <c r="RCE291" s="25"/>
      <c r="RCF291" s="25"/>
      <c r="RCG291" s="25"/>
      <c r="RCH291" s="25"/>
      <c r="RCI291" s="25"/>
      <c r="RCJ291" s="26"/>
      <c r="RCK291" s="30"/>
      <c r="RCU291" s="25"/>
      <c r="RCV291" s="25"/>
      <c r="RCW291" s="25"/>
      <c r="RCX291" s="25"/>
      <c r="RCY291" s="25"/>
      <c r="RCZ291" s="26"/>
      <c r="RDA291" s="30"/>
      <c r="RDK291" s="25"/>
      <c r="RDL291" s="25"/>
      <c r="RDM291" s="25"/>
      <c r="RDN291" s="25"/>
      <c r="RDO291" s="25"/>
      <c r="RDP291" s="26"/>
      <c r="RDQ291" s="30"/>
      <c r="REA291" s="25"/>
      <c r="REB291" s="25"/>
      <c r="REC291" s="25"/>
      <c r="RED291" s="25"/>
      <c r="REE291" s="25"/>
      <c r="REF291" s="26"/>
      <c r="REG291" s="30"/>
      <c r="REQ291" s="25"/>
      <c r="RER291" s="25"/>
      <c r="RES291" s="25"/>
      <c r="RET291" s="25"/>
      <c r="REU291" s="25"/>
      <c r="REV291" s="26"/>
      <c r="REW291" s="30"/>
      <c r="RFG291" s="25"/>
      <c r="RFH291" s="25"/>
      <c r="RFI291" s="25"/>
      <c r="RFJ291" s="25"/>
      <c r="RFK291" s="25"/>
      <c r="RFL291" s="26"/>
      <c r="RFM291" s="30"/>
      <c r="RFW291" s="25"/>
      <c r="RFX291" s="25"/>
      <c r="RFY291" s="25"/>
      <c r="RFZ291" s="25"/>
      <c r="RGA291" s="25"/>
      <c r="RGB291" s="26"/>
      <c r="RGC291" s="30"/>
      <c r="RGM291" s="25"/>
      <c r="RGN291" s="25"/>
      <c r="RGO291" s="25"/>
      <c r="RGP291" s="25"/>
      <c r="RGQ291" s="25"/>
      <c r="RGR291" s="26"/>
      <c r="RGS291" s="30"/>
      <c r="RHC291" s="25"/>
      <c r="RHD291" s="25"/>
      <c r="RHE291" s="25"/>
      <c r="RHF291" s="25"/>
      <c r="RHG291" s="25"/>
      <c r="RHH291" s="26"/>
      <c r="RHI291" s="30"/>
      <c r="RHS291" s="25"/>
      <c r="RHT291" s="25"/>
      <c r="RHU291" s="25"/>
      <c r="RHV291" s="25"/>
      <c r="RHW291" s="25"/>
      <c r="RHX291" s="26"/>
      <c r="RHY291" s="30"/>
      <c r="RII291" s="25"/>
      <c r="RIJ291" s="25"/>
      <c r="RIK291" s="25"/>
      <c r="RIL291" s="25"/>
      <c r="RIM291" s="25"/>
      <c r="RIN291" s="26"/>
      <c r="RIO291" s="30"/>
      <c r="RIY291" s="25"/>
      <c r="RIZ291" s="25"/>
      <c r="RJA291" s="25"/>
      <c r="RJB291" s="25"/>
      <c r="RJC291" s="25"/>
      <c r="RJD291" s="26"/>
      <c r="RJE291" s="30"/>
      <c r="RJO291" s="25"/>
      <c r="RJP291" s="25"/>
      <c r="RJQ291" s="25"/>
      <c r="RJR291" s="25"/>
      <c r="RJS291" s="25"/>
      <c r="RJT291" s="26"/>
      <c r="RJU291" s="30"/>
      <c r="RKE291" s="25"/>
      <c r="RKF291" s="25"/>
      <c r="RKG291" s="25"/>
      <c r="RKH291" s="25"/>
      <c r="RKI291" s="25"/>
      <c r="RKJ291" s="26"/>
      <c r="RKK291" s="30"/>
      <c r="RKU291" s="25"/>
      <c r="RKV291" s="25"/>
      <c r="RKW291" s="25"/>
      <c r="RKX291" s="25"/>
      <c r="RKY291" s="25"/>
      <c r="RKZ291" s="26"/>
      <c r="RLA291" s="30"/>
      <c r="RLK291" s="25"/>
      <c r="RLL291" s="25"/>
      <c r="RLM291" s="25"/>
      <c r="RLN291" s="25"/>
      <c r="RLO291" s="25"/>
      <c r="RLP291" s="26"/>
      <c r="RLQ291" s="30"/>
      <c r="RMA291" s="25"/>
      <c r="RMB291" s="25"/>
      <c r="RMC291" s="25"/>
      <c r="RMD291" s="25"/>
      <c r="RME291" s="25"/>
      <c r="RMF291" s="26"/>
      <c r="RMG291" s="30"/>
      <c r="RMQ291" s="25"/>
      <c r="RMR291" s="25"/>
      <c r="RMS291" s="25"/>
      <c r="RMT291" s="25"/>
      <c r="RMU291" s="25"/>
      <c r="RMV291" s="26"/>
      <c r="RMW291" s="30"/>
      <c r="RNG291" s="25"/>
      <c r="RNH291" s="25"/>
      <c r="RNI291" s="25"/>
      <c r="RNJ291" s="25"/>
      <c r="RNK291" s="25"/>
      <c r="RNL291" s="26"/>
      <c r="RNM291" s="30"/>
      <c r="RNW291" s="25"/>
      <c r="RNX291" s="25"/>
      <c r="RNY291" s="25"/>
      <c r="RNZ291" s="25"/>
      <c r="ROA291" s="25"/>
      <c r="ROB291" s="26"/>
      <c r="ROC291" s="30"/>
      <c r="ROM291" s="25"/>
      <c r="RON291" s="25"/>
      <c r="ROO291" s="25"/>
      <c r="ROP291" s="25"/>
      <c r="ROQ291" s="25"/>
      <c r="ROR291" s="26"/>
      <c r="ROS291" s="30"/>
      <c r="RPC291" s="25"/>
      <c r="RPD291" s="25"/>
      <c r="RPE291" s="25"/>
      <c r="RPF291" s="25"/>
      <c r="RPG291" s="25"/>
      <c r="RPH291" s="26"/>
      <c r="RPI291" s="30"/>
      <c r="RPS291" s="25"/>
      <c r="RPT291" s="25"/>
      <c r="RPU291" s="25"/>
      <c r="RPV291" s="25"/>
      <c r="RPW291" s="25"/>
      <c r="RPX291" s="26"/>
      <c r="RPY291" s="30"/>
      <c r="RQI291" s="25"/>
      <c r="RQJ291" s="25"/>
      <c r="RQK291" s="25"/>
      <c r="RQL291" s="25"/>
      <c r="RQM291" s="25"/>
      <c r="RQN291" s="26"/>
      <c r="RQO291" s="30"/>
      <c r="RQY291" s="25"/>
      <c r="RQZ291" s="25"/>
      <c r="RRA291" s="25"/>
      <c r="RRB291" s="25"/>
      <c r="RRC291" s="25"/>
      <c r="RRD291" s="26"/>
      <c r="RRE291" s="30"/>
      <c r="RRO291" s="25"/>
      <c r="RRP291" s="25"/>
      <c r="RRQ291" s="25"/>
      <c r="RRR291" s="25"/>
      <c r="RRS291" s="25"/>
      <c r="RRT291" s="26"/>
      <c r="RRU291" s="30"/>
      <c r="RSE291" s="25"/>
      <c r="RSF291" s="25"/>
      <c r="RSG291" s="25"/>
      <c r="RSH291" s="25"/>
      <c r="RSI291" s="25"/>
      <c r="RSJ291" s="26"/>
      <c r="RSK291" s="30"/>
      <c r="RSU291" s="25"/>
      <c r="RSV291" s="25"/>
      <c r="RSW291" s="25"/>
      <c r="RSX291" s="25"/>
      <c r="RSY291" s="25"/>
      <c r="RSZ291" s="26"/>
      <c r="RTA291" s="30"/>
      <c r="RTK291" s="25"/>
      <c r="RTL291" s="25"/>
      <c r="RTM291" s="25"/>
      <c r="RTN291" s="25"/>
      <c r="RTO291" s="25"/>
      <c r="RTP291" s="26"/>
      <c r="RTQ291" s="30"/>
      <c r="RUA291" s="25"/>
      <c r="RUB291" s="25"/>
      <c r="RUC291" s="25"/>
      <c r="RUD291" s="25"/>
      <c r="RUE291" s="25"/>
      <c r="RUF291" s="26"/>
      <c r="RUG291" s="30"/>
      <c r="RUQ291" s="25"/>
      <c r="RUR291" s="25"/>
      <c r="RUS291" s="25"/>
      <c r="RUT291" s="25"/>
      <c r="RUU291" s="25"/>
      <c r="RUV291" s="26"/>
      <c r="RUW291" s="30"/>
      <c r="RVG291" s="25"/>
      <c r="RVH291" s="25"/>
      <c r="RVI291" s="25"/>
      <c r="RVJ291" s="25"/>
      <c r="RVK291" s="25"/>
      <c r="RVL291" s="26"/>
      <c r="RVM291" s="30"/>
      <c r="RVW291" s="25"/>
      <c r="RVX291" s="25"/>
      <c r="RVY291" s="25"/>
      <c r="RVZ291" s="25"/>
      <c r="RWA291" s="25"/>
      <c r="RWB291" s="26"/>
      <c r="RWC291" s="30"/>
      <c r="RWM291" s="25"/>
      <c r="RWN291" s="25"/>
      <c r="RWO291" s="25"/>
      <c r="RWP291" s="25"/>
      <c r="RWQ291" s="25"/>
      <c r="RWR291" s="26"/>
      <c r="RWS291" s="30"/>
      <c r="RXC291" s="25"/>
      <c r="RXD291" s="25"/>
      <c r="RXE291" s="25"/>
      <c r="RXF291" s="25"/>
      <c r="RXG291" s="25"/>
      <c r="RXH291" s="26"/>
      <c r="RXI291" s="30"/>
      <c r="RXS291" s="25"/>
      <c r="RXT291" s="25"/>
      <c r="RXU291" s="25"/>
      <c r="RXV291" s="25"/>
      <c r="RXW291" s="25"/>
      <c r="RXX291" s="26"/>
      <c r="RXY291" s="30"/>
      <c r="RYI291" s="25"/>
      <c r="RYJ291" s="25"/>
      <c r="RYK291" s="25"/>
      <c r="RYL291" s="25"/>
      <c r="RYM291" s="25"/>
      <c r="RYN291" s="26"/>
      <c r="RYO291" s="30"/>
      <c r="RYY291" s="25"/>
      <c r="RYZ291" s="25"/>
      <c r="RZA291" s="25"/>
      <c r="RZB291" s="25"/>
      <c r="RZC291" s="25"/>
      <c r="RZD291" s="26"/>
      <c r="RZE291" s="30"/>
      <c r="RZO291" s="25"/>
      <c r="RZP291" s="25"/>
      <c r="RZQ291" s="25"/>
      <c r="RZR291" s="25"/>
      <c r="RZS291" s="25"/>
      <c r="RZT291" s="26"/>
      <c r="RZU291" s="30"/>
      <c r="SAE291" s="25"/>
      <c r="SAF291" s="25"/>
      <c r="SAG291" s="25"/>
      <c r="SAH291" s="25"/>
      <c r="SAI291" s="25"/>
      <c r="SAJ291" s="26"/>
      <c r="SAK291" s="30"/>
      <c r="SAU291" s="25"/>
      <c r="SAV291" s="25"/>
      <c r="SAW291" s="25"/>
      <c r="SAX291" s="25"/>
      <c r="SAY291" s="25"/>
      <c r="SAZ291" s="26"/>
      <c r="SBA291" s="30"/>
      <c r="SBK291" s="25"/>
      <c r="SBL291" s="25"/>
      <c r="SBM291" s="25"/>
      <c r="SBN291" s="25"/>
      <c r="SBO291" s="25"/>
      <c r="SBP291" s="26"/>
      <c r="SBQ291" s="30"/>
      <c r="SCA291" s="25"/>
      <c r="SCB291" s="25"/>
      <c r="SCC291" s="25"/>
      <c r="SCD291" s="25"/>
      <c r="SCE291" s="25"/>
      <c r="SCF291" s="26"/>
      <c r="SCG291" s="30"/>
      <c r="SCQ291" s="25"/>
      <c r="SCR291" s="25"/>
      <c r="SCS291" s="25"/>
      <c r="SCT291" s="25"/>
      <c r="SCU291" s="25"/>
      <c r="SCV291" s="26"/>
      <c r="SCW291" s="30"/>
      <c r="SDG291" s="25"/>
      <c r="SDH291" s="25"/>
      <c r="SDI291" s="25"/>
      <c r="SDJ291" s="25"/>
      <c r="SDK291" s="25"/>
      <c r="SDL291" s="26"/>
      <c r="SDM291" s="30"/>
      <c r="SDW291" s="25"/>
      <c r="SDX291" s="25"/>
      <c r="SDY291" s="25"/>
      <c r="SDZ291" s="25"/>
      <c r="SEA291" s="25"/>
      <c r="SEB291" s="26"/>
      <c r="SEC291" s="30"/>
      <c r="SEM291" s="25"/>
      <c r="SEN291" s="25"/>
      <c r="SEO291" s="25"/>
      <c r="SEP291" s="25"/>
      <c r="SEQ291" s="25"/>
      <c r="SER291" s="26"/>
      <c r="SES291" s="30"/>
      <c r="SFC291" s="25"/>
      <c r="SFD291" s="25"/>
      <c r="SFE291" s="25"/>
      <c r="SFF291" s="25"/>
      <c r="SFG291" s="25"/>
      <c r="SFH291" s="26"/>
      <c r="SFI291" s="30"/>
      <c r="SFS291" s="25"/>
      <c r="SFT291" s="25"/>
      <c r="SFU291" s="25"/>
      <c r="SFV291" s="25"/>
      <c r="SFW291" s="25"/>
      <c r="SFX291" s="26"/>
      <c r="SFY291" s="30"/>
      <c r="SGI291" s="25"/>
      <c r="SGJ291" s="25"/>
      <c r="SGK291" s="25"/>
      <c r="SGL291" s="25"/>
      <c r="SGM291" s="25"/>
      <c r="SGN291" s="26"/>
      <c r="SGO291" s="30"/>
      <c r="SGY291" s="25"/>
      <c r="SGZ291" s="25"/>
      <c r="SHA291" s="25"/>
      <c r="SHB291" s="25"/>
      <c r="SHC291" s="25"/>
      <c r="SHD291" s="26"/>
      <c r="SHE291" s="30"/>
      <c r="SHO291" s="25"/>
      <c r="SHP291" s="25"/>
      <c r="SHQ291" s="25"/>
      <c r="SHR291" s="25"/>
      <c r="SHS291" s="25"/>
      <c r="SHT291" s="26"/>
      <c r="SHU291" s="30"/>
      <c r="SIE291" s="25"/>
      <c r="SIF291" s="25"/>
      <c r="SIG291" s="25"/>
      <c r="SIH291" s="25"/>
      <c r="SII291" s="25"/>
      <c r="SIJ291" s="26"/>
      <c r="SIK291" s="30"/>
      <c r="SIU291" s="25"/>
      <c r="SIV291" s="25"/>
      <c r="SIW291" s="25"/>
      <c r="SIX291" s="25"/>
      <c r="SIY291" s="25"/>
      <c r="SIZ291" s="26"/>
      <c r="SJA291" s="30"/>
      <c r="SJK291" s="25"/>
      <c r="SJL291" s="25"/>
      <c r="SJM291" s="25"/>
      <c r="SJN291" s="25"/>
      <c r="SJO291" s="25"/>
      <c r="SJP291" s="26"/>
      <c r="SJQ291" s="30"/>
      <c r="SKA291" s="25"/>
      <c r="SKB291" s="25"/>
      <c r="SKC291" s="25"/>
      <c r="SKD291" s="25"/>
      <c r="SKE291" s="25"/>
      <c r="SKF291" s="26"/>
      <c r="SKG291" s="30"/>
      <c r="SKQ291" s="25"/>
      <c r="SKR291" s="25"/>
      <c r="SKS291" s="25"/>
      <c r="SKT291" s="25"/>
      <c r="SKU291" s="25"/>
      <c r="SKV291" s="26"/>
      <c r="SKW291" s="30"/>
      <c r="SLG291" s="25"/>
      <c r="SLH291" s="25"/>
      <c r="SLI291" s="25"/>
      <c r="SLJ291" s="25"/>
      <c r="SLK291" s="25"/>
      <c r="SLL291" s="26"/>
      <c r="SLM291" s="30"/>
      <c r="SLW291" s="25"/>
      <c r="SLX291" s="25"/>
      <c r="SLY291" s="25"/>
      <c r="SLZ291" s="25"/>
      <c r="SMA291" s="25"/>
      <c r="SMB291" s="26"/>
      <c r="SMC291" s="30"/>
      <c r="SMM291" s="25"/>
      <c r="SMN291" s="25"/>
      <c r="SMO291" s="25"/>
      <c r="SMP291" s="25"/>
      <c r="SMQ291" s="25"/>
      <c r="SMR291" s="26"/>
      <c r="SMS291" s="30"/>
      <c r="SNC291" s="25"/>
      <c r="SND291" s="25"/>
      <c r="SNE291" s="25"/>
      <c r="SNF291" s="25"/>
      <c r="SNG291" s="25"/>
      <c r="SNH291" s="26"/>
      <c r="SNI291" s="30"/>
      <c r="SNS291" s="25"/>
      <c r="SNT291" s="25"/>
      <c r="SNU291" s="25"/>
      <c r="SNV291" s="25"/>
      <c r="SNW291" s="25"/>
      <c r="SNX291" s="26"/>
      <c r="SNY291" s="30"/>
      <c r="SOI291" s="25"/>
      <c r="SOJ291" s="25"/>
      <c r="SOK291" s="25"/>
      <c r="SOL291" s="25"/>
      <c r="SOM291" s="25"/>
      <c r="SON291" s="26"/>
      <c r="SOO291" s="30"/>
      <c r="SOY291" s="25"/>
      <c r="SOZ291" s="25"/>
      <c r="SPA291" s="25"/>
      <c r="SPB291" s="25"/>
      <c r="SPC291" s="25"/>
      <c r="SPD291" s="26"/>
      <c r="SPE291" s="30"/>
      <c r="SPO291" s="25"/>
      <c r="SPP291" s="25"/>
      <c r="SPQ291" s="25"/>
      <c r="SPR291" s="25"/>
      <c r="SPS291" s="25"/>
      <c r="SPT291" s="26"/>
      <c r="SPU291" s="30"/>
      <c r="SQE291" s="25"/>
      <c r="SQF291" s="25"/>
      <c r="SQG291" s="25"/>
      <c r="SQH291" s="25"/>
      <c r="SQI291" s="25"/>
      <c r="SQJ291" s="26"/>
      <c r="SQK291" s="30"/>
      <c r="SQU291" s="25"/>
      <c r="SQV291" s="25"/>
      <c r="SQW291" s="25"/>
      <c r="SQX291" s="25"/>
      <c r="SQY291" s="25"/>
      <c r="SQZ291" s="26"/>
      <c r="SRA291" s="30"/>
      <c r="SRK291" s="25"/>
      <c r="SRL291" s="25"/>
      <c r="SRM291" s="25"/>
      <c r="SRN291" s="25"/>
      <c r="SRO291" s="25"/>
      <c r="SRP291" s="26"/>
      <c r="SRQ291" s="30"/>
      <c r="SSA291" s="25"/>
      <c r="SSB291" s="25"/>
      <c r="SSC291" s="25"/>
      <c r="SSD291" s="25"/>
      <c r="SSE291" s="25"/>
      <c r="SSF291" s="26"/>
      <c r="SSG291" s="30"/>
      <c r="SSQ291" s="25"/>
      <c r="SSR291" s="25"/>
      <c r="SSS291" s="25"/>
      <c r="SST291" s="25"/>
      <c r="SSU291" s="25"/>
      <c r="SSV291" s="26"/>
      <c r="SSW291" s="30"/>
      <c r="STG291" s="25"/>
      <c r="STH291" s="25"/>
      <c r="STI291" s="25"/>
      <c r="STJ291" s="25"/>
      <c r="STK291" s="25"/>
      <c r="STL291" s="26"/>
      <c r="STM291" s="30"/>
      <c r="STW291" s="25"/>
      <c r="STX291" s="25"/>
      <c r="STY291" s="25"/>
      <c r="STZ291" s="25"/>
      <c r="SUA291" s="25"/>
      <c r="SUB291" s="26"/>
      <c r="SUC291" s="30"/>
      <c r="SUM291" s="25"/>
      <c r="SUN291" s="25"/>
      <c r="SUO291" s="25"/>
      <c r="SUP291" s="25"/>
      <c r="SUQ291" s="25"/>
      <c r="SUR291" s="26"/>
      <c r="SUS291" s="30"/>
      <c r="SVC291" s="25"/>
      <c r="SVD291" s="25"/>
      <c r="SVE291" s="25"/>
      <c r="SVF291" s="25"/>
      <c r="SVG291" s="25"/>
      <c r="SVH291" s="26"/>
      <c r="SVI291" s="30"/>
      <c r="SVS291" s="25"/>
      <c r="SVT291" s="25"/>
      <c r="SVU291" s="25"/>
      <c r="SVV291" s="25"/>
      <c r="SVW291" s="25"/>
      <c r="SVX291" s="26"/>
      <c r="SVY291" s="30"/>
      <c r="SWI291" s="25"/>
      <c r="SWJ291" s="25"/>
      <c r="SWK291" s="25"/>
      <c r="SWL291" s="25"/>
      <c r="SWM291" s="25"/>
      <c r="SWN291" s="26"/>
      <c r="SWO291" s="30"/>
      <c r="SWY291" s="25"/>
      <c r="SWZ291" s="25"/>
      <c r="SXA291" s="25"/>
      <c r="SXB291" s="25"/>
      <c r="SXC291" s="25"/>
      <c r="SXD291" s="26"/>
      <c r="SXE291" s="30"/>
      <c r="SXO291" s="25"/>
      <c r="SXP291" s="25"/>
      <c r="SXQ291" s="25"/>
      <c r="SXR291" s="25"/>
      <c r="SXS291" s="25"/>
      <c r="SXT291" s="26"/>
      <c r="SXU291" s="30"/>
      <c r="SYE291" s="25"/>
      <c r="SYF291" s="25"/>
      <c r="SYG291" s="25"/>
      <c r="SYH291" s="25"/>
      <c r="SYI291" s="25"/>
      <c r="SYJ291" s="26"/>
      <c r="SYK291" s="30"/>
      <c r="SYU291" s="25"/>
      <c r="SYV291" s="25"/>
      <c r="SYW291" s="25"/>
      <c r="SYX291" s="25"/>
      <c r="SYY291" s="25"/>
      <c r="SYZ291" s="26"/>
      <c r="SZA291" s="30"/>
      <c r="SZK291" s="25"/>
      <c r="SZL291" s="25"/>
      <c r="SZM291" s="25"/>
      <c r="SZN291" s="25"/>
      <c r="SZO291" s="25"/>
      <c r="SZP291" s="26"/>
      <c r="SZQ291" s="30"/>
      <c r="TAA291" s="25"/>
      <c r="TAB291" s="25"/>
      <c r="TAC291" s="25"/>
      <c r="TAD291" s="25"/>
      <c r="TAE291" s="25"/>
      <c r="TAF291" s="26"/>
      <c r="TAG291" s="30"/>
      <c r="TAQ291" s="25"/>
      <c r="TAR291" s="25"/>
      <c r="TAS291" s="25"/>
      <c r="TAT291" s="25"/>
      <c r="TAU291" s="25"/>
      <c r="TAV291" s="26"/>
      <c r="TAW291" s="30"/>
      <c r="TBG291" s="25"/>
      <c r="TBH291" s="25"/>
      <c r="TBI291" s="25"/>
      <c r="TBJ291" s="25"/>
      <c r="TBK291" s="25"/>
      <c r="TBL291" s="26"/>
      <c r="TBM291" s="30"/>
      <c r="TBW291" s="25"/>
      <c r="TBX291" s="25"/>
      <c r="TBY291" s="25"/>
      <c r="TBZ291" s="25"/>
      <c r="TCA291" s="25"/>
      <c r="TCB291" s="26"/>
      <c r="TCC291" s="30"/>
      <c r="TCM291" s="25"/>
      <c r="TCN291" s="25"/>
      <c r="TCO291" s="25"/>
      <c r="TCP291" s="25"/>
      <c r="TCQ291" s="25"/>
      <c r="TCR291" s="26"/>
      <c r="TCS291" s="30"/>
      <c r="TDC291" s="25"/>
      <c r="TDD291" s="25"/>
      <c r="TDE291" s="25"/>
      <c r="TDF291" s="25"/>
      <c r="TDG291" s="25"/>
      <c r="TDH291" s="26"/>
      <c r="TDI291" s="30"/>
      <c r="TDS291" s="25"/>
      <c r="TDT291" s="25"/>
      <c r="TDU291" s="25"/>
      <c r="TDV291" s="25"/>
      <c r="TDW291" s="25"/>
      <c r="TDX291" s="26"/>
      <c r="TDY291" s="30"/>
      <c r="TEI291" s="25"/>
      <c r="TEJ291" s="25"/>
      <c r="TEK291" s="25"/>
      <c r="TEL291" s="25"/>
      <c r="TEM291" s="25"/>
      <c r="TEN291" s="26"/>
      <c r="TEO291" s="30"/>
      <c r="TEY291" s="25"/>
      <c r="TEZ291" s="25"/>
      <c r="TFA291" s="25"/>
      <c r="TFB291" s="25"/>
      <c r="TFC291" s="25"/>
      <c r="TFD291" s="26"/>
      <c r="TFE291" s="30"/>
      <c r="TFO291" s="25"/>
      <c r="TFP291" s="25"/>
      <c r="TFQ291" s="25"/>
      <c r="TFR291" s="25"/>
      <c r="TFS291" s="25"/>
      <c r="TFT291" s="26"/>
      <c r="TFU291" s="30"/>
      <c r="TGE291" s="25"/>
      <c r="TGF291" s="25"/>
      <c r="TGG291" s="25"/>
      <c r="TGH291" s="25"/>
      <c r="TGI291" s="25"/>
      <c r="TGJ291" s="26"/>
      <c r="TGK291" s="30"/>
      <c r="TGU291" s="25"/>
      <c r="TGV291" s="25"/>
      <c r="TGW291" s="25"/>
      <c r="TGX291" s="25"/>
      <c r="TGY291" s="25"/>
      <c r="TGZ291" s="26"/>
      <c r="THA291" s="30"/>
      <c r="THK291" s="25"/>
      <c r="THL291" s="25"/>
      <c r="THM291" s="25"/>
      <c r="THN291" s="25"/>
      <c r="THO291" s="25"/>
      <c r="THP291" s="26"/>
      <c r="THQ291" s="30"/>
      <c r="TIA291" s="25"/>
      <c r="TIB291" s="25"/>
      <c r="TIC291" s="25"/>
      <c r="TID291" s="25"/>
      <c r="TIE291" s="25"/>
      <c r="TIF291" s="26"/>
      <c r="TIG291" s="30"/>
      <c r="TIQ291" s="25"/>
      <c r="TIR291" s="25"/>
      <c r="TIS291" s="25"/>
      <c r="TIT291" s="25"/>
      <c r="TIU291" s="25"/>
      <c r="TIV291" s="26"/>
      <c r="TIW291" s="30"/>
      <c r="TJG291" s="25"/>
      <c r="TJH291" s="25"/>
      <c r="TJI291" s="25"/>
      <c r="TJJ291" s="25"/>
      <c r="TJK291" s="25"/>
      <c r="TJL291" s="26"/>
      <c r="TJM291" s="30"/>
      <c r="TJW291" s="25"/>
      <c r="TJX291" s="25"/>
      <c r="TJY291" s="25"/>
      <c r="TJZ291" s="25"/>
      <c r="TKA291" s="25"/>
      <c r="TKB291" s="26"/>
      <c r="TKC291" s="30"/>
      <c r="TKM291" s="25"/>
      <c r="TKN291" s="25"/>
      <c r="TKO291" s="25"/>
      <c r="TKP291" s="25"/>
      <c r="TKQ291" s="25"/>
      <c r="TKR291" s="26"/>
      <c r="TKS291" s="30"/>
      <c r="TLC291" s="25"/>
      <c r="TLD291" s="25"/>
      <c r="TLE291" s="25"/>
      <c r="TLF291" s="25"/>
      <c r="TLG291" s="25"/>
      <c r="TLH291" s="26"/>
      <c r="TLI291" s="30"/>
      <c r="TLS291" s="25"/>
      <c r="TLT291" s="25"/>
      <c r="TLU291" s="25"/>
      <c r="TLV291" s="25"/>
      <c r="TLW291" s="25"/>
      <c r="TLX291" s="26"/>
      <c r="TLY291" s="30"/>
      <c r="TMI291" s="25"/>
      <c r="TMJ291" s="25"/>
      <c r="TMK291" s="25"/>
      <c r="TML291" s="25"/>
      <c r="TMM291" s="25"/>
      <c r="TMN291" s="26"/>
      <c r="TMO291" s="30"/>
      <c r="TMY291" s="25"/>
      <c r="TMZ291" s="25"/>
      <c r="TNA291" s="25"/>
      <c r="TNB291" s="25"/>
      <c r="TNC291" s="25"/>
      <c r="TND291" s="26"/>
      <c r="TNE291" s="30"/>
      <c r="TNO291" s="25"/>
      <c r="TNP291" s="25"/>
      <c r="TNQ291" s="25"/>
      <c r="TNR291" s="25"/>
      <c r="TNS291" s="25"/>
      <c r="TNT291" s="26"/>
      <c r="TNU291" s="30"/>
      <c r="TOE291" s="25"/>
      <c r="TOF291" s="25"/>
      <c r="TOG291" s="25"/>
      <c r="TOH291" s="25"/>
      <c r="TOI291" s="25"/>
      <c r="TOJ291" s="26"/>
      <c r="TOK291" s="30"/>
      <c r="TOU291" s="25"/>
      <c r="TOV291" s="25"/>
      <c r="TOW291" s="25"/>
      <c r="TOX291" s="25"/>
      <c r="TOY291" s="25"/>
      <c r="TOZ291" s="26"/>
      <c r="TPA291" s="30"/>
      <c r="TPK291" s="25"/>
      <c r="TPL291" s="25"/>
      <c r="TPM291" s="25"/>
      <c r="TPN291" s="25"/>
      <c r="TPO291" s="25"/>
      <c r="TPP291" s="26"/>
      <c r="TPQ291" s="30"/>
      <c r="TQA291" s="25"/>
      <c r="TQB291" s="25"/>
      <c r="TQC291" s="25"/>
      <c r="TQD291" s="25"/>
      <c r="TQE291" s="25"/>
      <c r="TQF291" s="26"/>
      <c r="TQG291" s="30"/>
      <c r="TQQ291" s="25"/>
      <c r="TQR291" s="25"/>
      <c r="TQS291" s="25"/>
      <c r="TQT291" s="25"/>
      <c r="TQU291" s="25"/>
      <c r="TQV291" s="26"/>
      <c r="TQW291" s="30"/>
      <c r="TRG291" s="25"/>
      <c r="TRH291" s="25"/>
      <c r="TRI291" s="25"/>
      <c r="TRJ291" s="25"/>
      <c r="TRK291" s="25"/>
      <c r="TRL291" s="26"/>
      <c r="TRM291" s="30"/>
      <c r="TRW291" s="25"/>
      <c r="TRX291" s="25"/>
      <c r="TRY291" s="25"/>
      <c r="TRZ291" s="25"/>
      <c r="TSA291" s="25"/>
      <c r="TSB291" s="26"/>
      <c r="TSC291" s="30"/>
      <c r="TSM291" s="25"/>
      <c r="TSN291" s="25"/>
      <c r="TSO291" s="25"/>
      <c r="TSP291" s="25"/>
      <c r="TSQ291" s="25"/>
      <c r="TSR291" s="26"/>
      <c r="TSS291" s="30"/>
      <c r="TTC291" s="25"/>
      <c r="TTD291" s="25"/>
      <c r="TTE291" s="25"/>
      <c r="TTF291" s="25"/>
      <c r="TTG291" s="25"/>
      <c r="TTH291" s="26"/>
      <c r="TTI291" s="30"/>
      <c r="TTS291" s="25"/>
      <c r="TTT291" s="25"/>
      <c r="TTU291" s="25"/>
      <c r="TTV291" s="25"/>
      <c r="TTW291" s="25"/>
      <c r="TTX291" s="26"/>
      <c r="TTY291" s="30"/>
      <c r="TUI291" s="25"/>
      <c r="TUJ291" s="25"/>
      <c r="TUK291" s="25"/>
      <c r="TUL291" s="25"/>
      <c r="TUM291" s="25"/>
      <c r="TUN291" s="26"/>
      <c r="TUO291" s="30"/>
      <c r="TUY291" s="25"/>
      <c r="TUZ291" s="25"/>
      <c r="TVA291" s="25"/>
      <c r="TVB291" s="25"/>
      <c r="TVC291" s="25"/>
      <c r="TVD291" s="26"/>
      <c r="TVE291" s="30"/>
      <c r="TVO291" s="25"/>
      <c r="TVP291" s="25"/>
      <c r="TVQ291" s="25"/>
      <c r="TVR291" s="25"/>
      <c r="TVS291" s="25"/>
      <c r="TVT291" s="26"/>
      <c r="TVU291" s="30"/>
      <c r="TWE291" s="25"/>
      <c r="TWF291" s="25"/>
      <c r="TWG291" s="25"/>
      <c r="TWH291" s="25"/>
      <c r="TWI291" s="25"/>
      <c r="TWJ291" s="26"/>
      <c r="TWK291" s="30"/>
      <c r="TWU291" s="25"/>
      <c r="TWV291" s="25"/>
      <c r="TWW291" s="25"/>
      <c r="TWX291" s="25"/>
      <c r="TWY291" s="25"/>
      <c r="TWZ291" s="26"/>
      <c r="TXA291" s="30"/>
      <c r="TXK291" s="25"/>
      <c r="TXL291" s="25"/>
      <c r="TXM291" s="25"/>
      <c r="TXN291" s="25"/>
      <c r="TXO291" s="25"/>
      <c r="TXP291" s="26"/>
      <c r="TXQ291" s="30"/>
      <c r="TYA291" s="25"/>
      <c r="TYB291" s="25"/>
      <c r="TYC291" s="25"/>
      <c r="TYD291" s="25"/>
      <c r="TYE291" s="25"/>
      <c r="TYF291" s="26"/>
      <c r="TYG291" s="30"/>
      <c r="TYQ291" s="25"/>
      <c r="TYR291" s="25"/>
      <c r="TYS291" s="25"/>
      <c r="TYT291" s="25"/>
      <c r="TYU291" s="25"/>
      <c r="TYV291" s="26"/>
      <c r="TYW291" s="30"/>
      <c r="TZG291" s="25"/>
      <c r="TZH291" s="25"/>
      <c r="TZI291" s="25"/>
      <c r="TZJ291" s="25"/>
      <c r="TZK291" s="25"/>
      <c r="TZL291" s="26"/>
      <c r="TZM291" s="30"/>
      <c r="TZW291" s="25"/>
      <c r="TZX291" s="25"/>
      <c r="TZY291" s="25"/>
      <c r="TZZ291" s="25"/>
      <c r="UAA291" s="25"/>
      <c r="UAB291" s="26"/>
      <c r="UAC291" s="30"/>
      <c r="UAM291" s="25"/>
      <c r="UAN291" s="25"/>
      <c r="UAO291" s="25"/>
      <c r="UAP291" s="25"/>
      <c r="UAQ291" s="25"/>
      <c r="UAR291" s="26"/>
      <c r="UAS291" s="30"/>
      <c r="UBC291" s="25"/>
      <c r="UBD291" s="25"/>
      <c r="UBE291" s="25"/>
      <c r="UBF291" s="25"/>
      <c r="UBG291" s="25"/>
      <c r="UBH291" s="26"/>
      <c r="UBI291" s="30"/>
      <c r="UBS291" s="25"/>
      <c r="UBT291" s="25"/>
      <c r="UBU291" s="25"/>
      <c r="UBV291" s="25"/>
      <c r="UBW291" s="25"/>
      <c r="UBX291" s="26"/>
      <c r="UBY291" s="30"/>
      <c r="UCI291" s="25"/>
      <c r="UCJ291" s="25"/>
      <c r="UCK291" s="25"/>
      <c r="UCL291" s="25"/>
      <c r="UCM291" s="25"/>
      <c r="UCN291" s="26"/>
      <c r="UCO291" s="30"/>
      <c r="UCY291" s="25"/>
      <c r="UCZ291" s="25"/>
      <c r="UDA291" s="25"/>
      <c r="UDB291" s="25"/>
      <c r="UDC291" s="25"/>
      <c r="UDD291" s="26"/>
      <c r="UDE291" s="30"/>
      <c r="UDO291" s="25"/>
      <c r="UDP291" s="25"/>
      <c r="UDQ291" s="25"/>
      <c r="UDR291" s="25"/>
      <c r="UDS291" s="25"/>
      <c r="UDT291" s="26"/>
      <c r="UDU291" s="30"/>
      <c r="UEE291" s="25"/>
      <c r="UEF291" s="25"/>
      <c r="UEG291" s="25"/>
      <c r="UEH291" s="25"/>
      <c r="UEI291" s="25"/>
      <c r="UEJ291" s="26"/>
      <c r="UEK291" s="30"/>
      <c r="UEU291" s="25"/>
      <c r="UEV291" s="25"/>
      <c r="UEW291" s="25"/>
      <c r="UEX291" s="25"/>
      <c r="UEY291" s="25"/>
      <c r="UEZ291" s="26"/>
      <c r="UFA291" s="30"/>
      <c r="UFK291" s="25"/>
      <c r="UFL291" s="25"/>
      <c r="UFM291" s="25"/>
      <c r="UFN291" s="25"/>
      <c r="UFO291" s="25"/>
      <c r="UFP291" s="26"/>
      <c r="UFQ291" s="30"/>
      <c r="UGA291" s="25"/>
      <c r="UGB291" s="25"/>
      <c r="UGC291" s="25"/>
      <c r="UGD291" s="25"/>
      <c r="UGE291" s="25"/>
      <c r="UGF291" s="26"/>
      <c r="UGG291" s="30"/>
      <c r="UGQ291" s="25"/>
      <c r="UGR291" s="25"/>
      <c r="UGS291" s="25"/>
      <c r="UGT291" s="25"/>
      <c r="UGU291" s="25"/>
      <c r="UGV291" s="26"/>
      <c r="UGW291" s="30"/>
      <c r="UHG291" s="25"/>
      <c r="UHH291" s="25"/>
      <c r="UHI291" s="25"/>
      <c r="UHJ291" s="25"/>
      <c r="UHK291" s="25"/>
      <c r="UHL291" s="26"/>
      <c r="UHM291" s="30"/>
      <c r="UHW291" s="25"/>
      <c r="UHX291" s="25"/>
      <c r="UHY291" s="25"/>
      <c r="UHZ291" s="25"/>
      <c r="UIA291" s="25"/>
      <c r="UIB291" s="26"/>
      <c r="UIC291" s="30"/>
      <c r="UIM291" s="25"/>
      <c r="UIN291" s="25"/>
      <c r="UIO291" s="25"/>
      <c r="UIP291" s="25"/>
      <c r="UIQ291" s="25"/>
      <c r="UIR291" s="26"/>
      <c r="UIS291" s="30"/>
      <c r="UJC291" s="25"/>
      <c r="UJD291" s="25"/>
      <c r="UJE291" s="25"/>
      <c r="UJF291" s="25"/>
      <c r="UJG291" s="25"/>
      <c r="UJH291" s="26"/>
      <c r="UJI291" s="30"/>
      <c r="UJS291" s="25"/>
      <c r="UJT291" s="25"/>
      <c r="UJU291" s="25"/>
      <c r="UJV291" s="25"/>
      <c r="UJW291" s="25"/>
      <c r="UJX291" s="26"/>
      <c r="UJY291" s="30"/>
      <c r="UKI291" s="25"/>
      <c r="UKJ291" s="25"/>
      <c r="UKK291" s="25"/>
      <c r="UKL291" s="25"/>
      <c r="UKM291" s="25"/>
      <c r="UKN291" s="26"/>
      <c r="UKO291" s="30"/>
      <c r="UKY291" s="25"/>
      <c r="UKZ291" s="25"/>
      <c r="ULA291" s="25"/>
      <c r="ULB291" s="25"/>
      <c r="ULC291" s="25"/>
      <c r="ULD291" s="26"/>
      <c r="ULE291" s="30"/>
      <c r="ULO291" s="25"/>
      <c r="ULP291" s="25"/>
      <c r="ULQ291" s="25"/>
      <c r="ULR291" s="25"/>
      <c r="ULS291" s="25"/>
      <c r="ULT291" s="26"/>
      <c r="ULU291" s="30"/>
      <c r="UME291" s="25"/>
      <c r="UMF291" s="25"/>
      <c r="UMG291" s="25"/>
      <c r="UMH291" s="25"/>
      <c r="UMI291" s="25"/>
      <c r="UMJ291" s="26"/>
      <c r="UMK291" s="30"/>
      <c r="UMU291" s="25"/>
      <c r="UMV291" s="25"/>
      <c r="UMW291" s="25"/>
      <c r="UMX291" s="25"/>
      <c r="UMY291" s="25"/>
      <c r="UMZ291" s="26"/>
      <c r="UNA291" s="30"/>
      <c r="UNK291" s="25"/>
      <c r="UNL291" s="25"/>
      <c r="UNM291" s="25"/>
      <c r="UNN291" s="25"/>
      <c r="UNO291" s="25"/>
      <c r="UNP291" s="26"/>
      <c r="UNQ291" s="30"/>
      <c r="UOA291" s="25"/>
      <c r="UOB291" s="25"/>
      <c r="UOC291" s="25"/>
      <c r="UOD291" s="25"/>
      <c r="UOE291" s="25"/>
      <c r="UOF291" s="26"/>
      <c r="UOG291" s="30"/>
      <c r="UOQ291" s="25"/>
      <c r="UOR291" s="25"/>
      <c r="UOS291" s="25"/>
      <c r="UOT291" s="25"/>
      <c r="UOU291" s="25"/>
      <c r="UOV291" s="26"/>
      <c r="UOW291" s="30"/>
      <c r="UPG291" s="25"/>
      <c r="UPH291" s="25"/>
      <c r="UPI291" s="25"/>
      <c r="UPJ291" s="25"/>
      <c r="UPK291" s="25"/>
      <c r="UPL291" s="26"/>
      <c r="UPM291" s="30"/>
      <c r="UPW291" s="25"/>
      <c r="UPX291" s="25"/>
      <c r="UPY291" s="25"/>
      <c r="UPZ291" s="25"/>
      <c r="UQA291" s="25"/>
      <c r="UQB291" s="26"/>
      <c r="UQC291" s="30"/>
      <c r="UQM291" s="25"/>
      <c r="UQN291" s="25"/>
      <c r="UQO291" s="25"/>
      <c r="UQP291" s="25"/>
      <c r="UQQ291" s="25"/>
      <c r="UQR291" s="26"/>
      <c r="UQS291" s="30"/>
      <c r="URC291" s="25"/>
      <c r="URD291" s="25"/>
      <c r="URE291" s="25"/>
      <c r="URF291" s="25"/>
      <c r="URG291" s="25"/>
      <c r="URH291" s="26"/>
      <c r="URI291" s="30"/>
      <c r="URS291" s="25"/>
      <c r="URT291" s="25"/>
      <c r="URU291" s="25"/>
      <c r="URV291" s="25"/>
      <c r="URW291" s="25"/>
      <c r="URX291" s="26"/>
      <c r="URY291" s="30"/>
      <c r="USI291" s="25"/>
      <c r="USJ291" s="25"/>
      <c r="USK291" s="25"/>
      <c r="USL291" s="25"/>
      <c r="USM291" s="25"/>
      <c r="USN291" s="26"/>
      <c r="USO291" s="30"/>
      <c r="USY291" s="25"/>
      <c r="USZ291" s="25"/>
      <c r="UTA291" s="25"/>
      <c r="UTB291" s="25"/>
      <c r="UTC291" s="25"/>
      <c r="UTD291" s="26"/>
      <c r="UTE291" s="30"/>
      <c r="UTO291" s="25"/>
      <c r="UTP291" s="25"/>
      <c r="UTQ291" s="25"/>
      <c r="UTR291" s="25"/>
      <c r="UTS291" s="25"/>
      <c r="UTT291" s="26"/>
      <c r="UTU291" s="30"/>
      <c r="UUE291" s="25"/>
      <c r="UUF291" s="25"/>
      <c r="UUG291" s="25"/>
      <c r="UUH291" s="25"/>
      <c r="UUI291" s="25"/>
      <c r="UUJ291" s="26"/>
      <c r="UUK291" s="30"/>
      <c r="UUU291" s="25"/>
      <c r="UUV291" s="25"/>
      <c r="UUW291" s="25"/>
      <c r="UUX291" s="25"/>
      <c r="UUY291" s="25"/>
      <c r="UUZ291" s="26"/>
      <c r="UVA291" s="30"/>
      <c r="UVK291" s="25"/>
      <c r="UVL291" s="25"/>
      <c r="UVM291" s="25"/>
      <c r="UVN291" s="25"/>
      <c r="UVO291" s="25"/>
      <c r="UVP291" s="26"/>
      <c r="UVQ291" s="30"/>
      <c r="UWA291" s="25"/>
      <c r="UWB291" s="25"/>
      <c r="UWC291" s="25"/>
      <c r="UWD291" s="25"/>
      <c r="UWE291" s="25"/>
      <c r="UWF291" s="26"/>
      <c r="UWG291" s="30"/>
      <c r="UWQ291" s="25"/>
      <c r="UWR291" s="25"/>
      <c r="UWS291" s="25"/>
      <c r="UWT291" s="25"/>
      <c r="UWU291" s="25"/>
      <c r="UWV291" s="26"/>
      <c r="UWW291" s="30"/>
      <c r="UXG291" s="25"/>
      <c r="UXH291" s="25"/>
      <c r="UXI291" s="25"/>
      <c r="UXJ291" s="25"/>
      <c r="UXK291" s="25"/>
      <c r="UXL291" s="26"/>
      <c r="UXM291" s="30"/>
      <c r="UXW291" s="25"/>
      <c r="UXX291" s="25"/>
      <c r="UXY291" s="25"/>
      <c r="UXZ291" s="25"/>
      <c r="UYA291" s="25"/>
      <c r="UYB291" s="26"/>
      <c r="UYC291" s="30"/>
      <c r="UYM291" s="25"/>
      <c r="UYN291" s="25"/>
      <c r="UYO291" s="25"/>
      <c r="UYP291" s="25"/>
      <c r="UYQ291" s="25"/>
      <c r="UYR291" s="26"/>
      <c r="UYS291" s="30"/>
      <c r="UZC291" s="25"/>
      <c r="UZD291" s="25"/>
      <c r="UZE291" s="25"/>
      <c r="UZF291" s="25"/>
      <c r="UZG291" s="25"/>
      <c r="UZH291" s="26"/>
      <c r="UZI291" s="30"/>
      <c r="UZS291" s="25"/>
      <c r="UZT291" s="25"/>
      <c r="UZU291" s="25"/>
      <c r="UZV291" s="25"/>
      <c r="UZW291" s="25"/>
      <c r="UZX291" s="26"/>
      <c r="UZY291" s="30"/>
      <c r="VAI291" s="25"/>
      <c r="VAJ291" s="25"/>
      <c r="VAK291" s="25"/>
      <c r="VAL291" s="25"/>
      <c r="VAM291" s="25"/>
      <c r="VAN291" s="26"/>
      <c r="VAO291" s="30"/>
      <c r="VAY291" s="25"/>
      <c r="VAZ291" s="25"/>
      <c r="VBA291" s="25"/>
      <c r="VBB291" s="25"/>
      <c r="VBC291" s="25"/>
      <c r="VBD291" s="26"/>
      <c r="VBE291" s="30"/>
      <c r="VBO291" s="25"/>
      <c r="VBP291" s="25"/>
      <c r="VBQ291" s="25"/>
      <c r="VBR291" s="25"/>
      <c r="VBS291" s="25"/>
      <c r="VBT291" s="26"/>
      <c r="VBU291" s="30"/>
      <c r="VCE291" s="25"/>
      <c r="VCF291" s="25"/>
      <c r="VCG291" s="25"/>
      <c r="VCH291" s="25"/>
      <c r="VCI291" s="25"/>
      <c r="VCJ291" s="26"/>
      <c r="VCK291" s="30"/>
      <c r="VCU291" s="25"/>
      <c r="VCV291" s="25"/>
      <c r="VCW291" s="25"/>
      <c r="VCX291" s="25"/>
      <c r="VCY291" s="25"/>
      <c r="VCZ291" s="26"/>
      <c r="VDA291" s="30"/>
      <c r="VDK291" s="25"/>
      <c r="VDL291" s="25"/>
      <c r="VDM291" s="25"/>
      <c r="VDN291" s="25"/>
      <c r="VDO291" s="25"/>
      <c r="VDP291" s="26"/>
      <c r="VDQ291" s="30"/>
      <c r="VEA291" s="25"/>
      <c r="VEB291" s="25"/>
      <c r="VEC291" s="25"/>
      <c r="VED291" s="25"/>
      <c r="VEE291" s="25"/>
      <c r="VEF291" s="26"/>
      <c r="VEG291" s="30"/>
      <c r="VEQ291" s="25"/>
      <c r="VER291" s="25"/>
      <c r="VES291" s="25"/>
      <c r="VET291" s="25"/>
      <c r="VEU291" s="25"/>
      <c r="VEV291" s="26"/>
      <c r="VEW291" s="30"/>
      <c r="VFG291" s="25"/>
      <c r="VFH291" s="25"/>
      <c r="VFI291" s="25"/>
      <c r="VFJ291" s="25"/>
      <c r="VFK291" s="25"/>
      <c r="VFL291" s="26"/>
      <c r="VFM291" s="30"/>
      <c r="VFW291" s="25"/>
      <c r="VFX291" s="25"/>
      <c r="VFY291" s="25"/>
      <c r="VFZ291" s="25"/>
      <c r="VGA291" s="25"/>
      <c r="VGB291" s="26"/>
      <c r="VGC291" s="30"/>
      <c r="VGM291" s="25"/>
      <c r="VGN291" s="25"/>
      <c r="VGO291" s="25"/>
      <c r="VGP291" s="25"/>
      <c r="VGQ291" s="25"/>
      <c r="VGR291" s="26"/>
      <c r="VGS291" s="30"/>
      <c r="VHC291" s="25"/>
      <c r="VHD291" s="25"/>
      <c r="VHE291" s="25"/>
      <c r="VHF291" s="25"/>
      <c r="VHG291" s="25"/>
      <c r="VHH291" s="26"/>
      <c r="VHI291" s="30"/>
      <c r="VHS291" s="25"/>
      <c r="VHT291" s="25"/>
      <c r="VHU291" s="25"/>
      <c r="VHV291" s="25"/>
      <c r="VHW291" s="25"/>
      <c r="VHX291" s="26"/>
      <c r="VHY291" s="30"/>
      <c r="VII291" s="25"/>
      <c r="VIJ291" s="25"/>
      <c r="VIK291" s="25"/>
      <c r="VIL291" s="25"/>
      <c r="VIM291" s="25"/>
      <c r="VIN291" s="26"/>
      <c r="VIO291" s="30"/>
      <c r="VIY291" s="25"/>
      <c r="VIZ291" s="25"/>
      <c r="VJA291" s="25"/>
      <c r="VJB291" s="25"/>
      <c r="VJC291" s="25"/>
      <c r="VJD291" s="26"/>
      <c r="VJE291" s="30"/>
      <c r="VJO291" s="25"/>
      <c r="VJP291" s="25"/>
      <c r="VJQ291" s="25"/>
      <c r="VJR291" s="25"/>
      <c r="VJS291" s="25"/>
      <c r="VJT291" s="26"/>
      <c r="VJU291" s="30"/>
      <c r="VKE291" s="25"/>
      <c r="VKF291" s="25"/>
      <c r="VKG291" s="25"/>
      <c r="VKH291" s="25"/>
      <c r="VKI291" s="25"/>
      <c r="VKJ291" s="26"/>
      <c r="VKK291" s="30"/>
      <c r="VKU291" s="25"/>
      <c r="VKV291" s="25"/>
      <c r="VKW291" s="25"/>
      <c r="VKX291" s="25"/>
      <c r="VKY291" s="25"/>
      <c r="VKZ291" s="26"/>
      <c r="VLA291" s="30"/>
      <c r="VLK291" s="25"/>
      <c r="VLL291" s="25"/>
      <c r="VLM291" s="25"/>
      <c r="VLN291" s="25"/>
      <c r="VLO291" s="25"/>
      <c r="VLP291" s="26"/>
      <c r="VLQ291" s="30"/>
      <c r="VMA291" s="25"/>
      <c r="VMB291" s="25"/>
      <c r="VMC291" s="25"/>
      <c r="VMD291" s="25"/>
      <c r="VME291" s="25"/>
      <c r="VMF291" s="26"/>
      <c r="VMG291" s="30"/>
      <c r="VMQ291" s="25"/>
      <c r="VMR291" s="25"/>
      <c r="VMS291" s="25"/>
      <c r="VMT291" s="25"/>
      <c r="VMU291" s="25"/>
      <c r="VMV291" s="26"/>
      <c r="VMW291" s="30"/>
      <c r="VNG291" s="25"/>
      <c r="VNH291" s="25"/>
      <c r="VNI291" s="25"/>
      <c r="VNJ291" s="25"/>
      <c r="VNK291" s="25"/>
      <c r="VNL291" s="26"/>
      <c r="VNM291" s="30"/>
      <c r="VNW291" s="25"/>
      <c r="VNX291" s="25"/>
      <c r="VNY291" s="25"/>
      <c r="VNZ291" s="25"/>
      <c r="VOA291" s="25"/>
      <c r="VOB291" s="26"/>
      <c r="VOC291" s="30"/>
      <c r="VOM291" s="25"/>
      <c r="VON291" s="25"/>
      <c r="VOO291" s="25"/>
      <c r="VOP291" s="25"/>
      <c r="VOQ291" s="25"/>
      <c r="VOR291" s="26"/>
      <c r="VOS291" s="30"/>
      <c r="VPC291" s="25"/>
      <c r="VPD291" s="25"/>
      <c r="VPE291" s="25"/>
      <c r="VPF291" s="25"/>
      <c r="VPG291" s="25"/>
      <c r="VPH291" s="26"/>
      <c r="VPI291" s="30"/>
      <c r="VPS291" s="25"/>
      <c r="VPT291" s="25"/>
      <c r="VPU291" s="25"/>
      <c r="VPV291" s="25"/>
      <c r="VPW291" s="25"/>
      <c r="VPX291" s="26"/>
      <c r="VPY291" s="30"/>
      <c r="VQI291" s="25"/>
      <c r="VQJ291" s="25"/>
      <c r="VQK291" s="25"/>
      <c r="VQL291" s="25"/>
      <c r="VQM291" s="25"/>
      <c r="VQN291" s="26"/>
      <c r="VQO291" s="30"/>
      <c r="VQY291" s="25"/>
      <c r="VQZ291" s="25"/>
      <c r="VRA291" s="25"/>
      <c r="VRB291" s="25"/>
      <c r="VRC291" s="25"/>
      <c r="VRD291" s="26"/>
      <c r="VRE291" s="30"/>
      <c r="VRO291" s="25"/>
      <c r="VRP291" s="25"/>
      <c r="VRQ291" s="25"/>
      <c r="VRR291" s="25"/>
      <c r="VRS291" s="25"/>
      <c r="VRT291" s="26"/>
      <c r="VRU291" s="30"/>
      <c r="VSE291" s="25"/>
      <c r="VSF291" s="25"/>
      <c r="VSG291" s="25"/>
      <c r="VSH291" s="25"/>
      <c r="VSI291" s="25"/>
      <c r="VSJ291" s="26"/>
      <c r="VSK291" s="30"/>
      <c r="VSU291" s="25"/>
      <c r="VSV291" s="25"/>
      <c r="VSW291" s="25"/>
      <c r="VSX291" s="25"/>
      <c r="VSY291" s="25"/>
      <c r="VSZ291" s="26"/>
      <c r="VTA291" s="30"/>
      <c r="VTK291" s="25"/>
      <c r="VTL291" s="25"/>
      <c r="VTM291" s="25"/>
      <c r="VTN291" s="25"/>
      <c r="VTO291" s="25"/>
      <c r="VTP291" s="26"/>
      <c r="VTQ291" s="30"/>
      <c r="VUA291" s="25"/>
      <c r="VUB291" s="25"/>
      <c r="VUC291" s="25"/>
      <c r="VUD291" s="25"/>
      <c r="VUE291" s="25"/>
      <c r="VUF291" s="26"/>
      <c r="VUG291" s="30"/>
      <c r="VUQ291" s="25"/>
      <c r="VUR291" s="25"/>
      <c r="VUS291" s="25"/>
      <c r="VUT291" s="25"/>
      <c r="VUU291" s="25"/>
      <c r="VUV291" s="26"/>
      <c r="VUW291" s="30"/>
      <c r="VVG291" s="25"/>
      <c r="VVH291" s="25"/>
      <c r="VVI291" s="25"/>
      <c r="VVJ291" s="25"/>
      <c r="VVK291" s="25"/>
      <c r="VVL291" s="26"/>
      <c r="VVM291" s="30"/>
      <c r="VVW291" s="25"/>
      <c r="VVX291" s="25"/>
      <c r="VVY291" s="25"/>
      <c r="VVZ291" s="25"/>
      <c r="VWA291" s="25"/>
      <c r="VWB291" s="26"/>
      <c r="VWC291" s="30"/>
      <c r="VWM291" s="25"/>
      <c r="VWN291" s="25"/>
      <c r="VWO291" s="25"/>
      <c r="VWP291" s="25"/>
      <c r="VWQ291" s="25"/>
      <c r="VWR291" s="26"/>
      <c r="VWS291" s="30"/>
      <c r="VXC291" s="25"/>
      <c r="VXD291" s="25"/>
      <c r="VXE291" s="25"/>
      <c r="VXF291" s="25"/>
      <c r="VXG291" s="25"/>
      <c r="VXH291" s="26"/>
      <c r="VXI291" s="30"/>
      <c r="VXS291" s="25"/>
      <c r="VXT291" s="25"/>
      <c r="VXU291" s="25"/>
      <c r="VXV291" s="25"/>
      <c r="VXW291" s="25"/>
      <c r="VXX291" s="26"/>
      <c r="VXY291" s="30"/>
      <c r="VYI291" s="25"/>
      <c r="VYJ291" s="25"/>
      <c r="VYK291" s="25"/>
      <c r="VYL291" s="25"/>
      <c r="VYM291" s="25"/>
      <c r="VYN291" s="26"/>
      <c r="VYO291" s="30"/>
      <c r="VYY291" s="25"/>
      <c r="VYZ291" s="25"/>
      <c r="VZA291" s="25"/>
      <c r="VZB291" s="25"/>
      <c r="VZC291" s="25"/>
      <c r="VZD291" s="26"/>
      <c r="VZE291" s="30"/>
      <c r="VZO291" s="25"/>
      <c r="VZP291" s="25"/>
      <c r="VZQ291" s="25"/>
      <c r="VZR291" s="25"/>
      <c r="VZS291" s="25"/>
      <c r="VZT291" s="26"/>
      <c r="VZU291" s="30"/>
      <c r="WAE291" s="25"/>
      <c r="WAF291" s="25"/>
      <c r="WAG291" s="25"/>
      <c r="WAH291" s="25"/>
      <c r="WAI291" s="25"/>
      <c r="WAJ291" s="26"/>
      <c r="WAK291" s="30"/>
      <c r="WAU291" s="25"/>
      <c r="WAV291" s="25"/>
      <c r="WAW291" s="25"/>
      <c r="WAX291" s="25"/>
      <c r="WAY291" s="25"/>
      <c r="WAZ291" s="26"/>
      <c r="WBA291" s="30"/>
      <c r="WBK291" s="25"/>
      <c r="WBL291" s="25"/>
      <c r="WBM291" s="25"/>
      <c r="WBN291" s="25"/>
      <c r="WBO291" s="25"/>
      <c r="WBP291" s="26"/>
      <c r="WBQ291" s="30"/>
      <c r="WCA291" s="25"/>
      <c r="WCB291" s="25"/>
      <c r="WCC291" s="25"/>
      <c r="WCD291" s="25"/>
      <c r="WCE291" s="25"/>
      <c r="WCF291" s="26"/>
      <c r="WCG291" s="30"/>
      <c r="WCQ291" s="25"/>
      <c r="WCR291" s="25"/>
      <c r="WCS291" s="25"/>
      <c r="WCT291" s="25"/>
      <c r="WCU291" s="25"/>
      <c r="WCV291" s="26"/>
      <c r="WCW291" s="30"/>
      <c r="WDG291" s="25"/>
      <c r="WDH291" s="25"/>
      <c r="WDI291" s="25"/>
      <c r="WDJ291" s="25"/>
      <c r="WDK291" s="25"/>
      <c r="WDL291" s="26"/>
      <c r="WDM291" s="30"/>
      <c r="WDW291" s="25"/>
      <c r="WDX291" s="25"/>
      <c r="WDY291" s="25"/>
      <c r="WDZ291" s="25"/>
      <c r="WEA291" s="25"/>
      <c r="WEB291" s="26"/>
      <c r="WEC291" s="30"/>
      <c r="WEM291" s="25"/>
      <c r="WEN291" s="25"/>
      <c r="WEO291" s="25"/>
      <c r="WEP291" s="25"/>
      <c r="WEQ291" s="25"/>
      <c r="WER291" s="26"/>
      <c r="WES291" s="30"/>
      <c r="WFC291" s="25"/>
      <c r="WFD291" s="25"/>
      <c r="WFE291" s="25"/>
      <c r="WFF291" s="25"/>
      <c r="WFG291" s="25"/>
      <c r="WFH291" s="26"/>
      <c r="WFI291" s="30"/>
      <c r="WFS291" s="25"/>
      <c r="WFT291" s="25"/>
      <c r="WFU291" s="25"/>
      <c r="WFV291" s="25"/>
      <c r="WFW291" s="25"/>
      <c r="WFX291" s="26"/>
      <c r="WFY291" s="30"/>
      <c r="WGI291" s="25"/>
      <c r="WGJ291" s="25"/>
      <c r="WGK291" s="25"/>
      <c r="WGL291" s="25"/>
      <c r="WGM291" s="25"/>
      <c r="WGN291" s="26"/>
      <c r="WGO291" s="30"/>
      <c r="WGY291" s="25"/>
      <c r="WGZ291" s="25"/>
      <c r="WHA291" s="25"/>
      <c r="WHB291" s="25"/>
      <c r="WHC291" s="25"/>
      <c r="WHD291" s="26"/>
      <c r="WHE291" s="30"/>
      <c r="WHO291" s="25"/>
      <c r="WHP291" s="25"/>
      <c r="WHQ291" s="25"/>
      <c r="WHR291" s="25"/>
      <c r="WHS291" s="25"/>
      <c r="WHT291" s="26"/>
      <c r="WHU291" s="30"/>
      <c r="WIE291" s="25"/>
      <c r="WIF291" s="25"/>
      <c r="WIG291" s="25"/>
      <c r="WIH291" s="25"/>
      <c r="WII291" s="25"/>
      <c r="WIJ291" s="26"/>
      <c r="WIK291" s="30"/>
      <c r="WIU291" s="25"/>
      <c r="WIV291" s="25"/>
      <c r="WIW291" s="25"/>
      <c r="WIX291" s="25"/>
      <c r="WIY291" s="25"/>
      <c r="WIZ291" s="26"/>
      <c r="WJA291" s="30"/>
      <c r="WJK291" s="25"/>
      <c r="WJL291" s="25"/>
      <c r="WJM291" s="25"/>
      <c r="WJN291" s="25"/>
      <c r="WJO291" s="25"/>
      <c r="WJP291" s="26"/>
      <c r="WJQ291" s="30"/>
      <c r="WKA291" s="25"/>
      <c r="WKB291" s="25"/>
      <c r="WKC291" s="25"/>
      <c r="WKD291" s="25"/>
      <c r="WKE291" s="25"/>
      <c r="WKF291" s="26"/>
      <c r="WKG291" s="30"/>
      <c r="WKQ291" s="25"/>
      <c r="WKR291" s="25"/>
      <c r="WKS291" s="25"/>
      <c r="WKT291" s="25"/>
      <c r="WKU291" s="25"/>
      <c r="WKV291" s="26"/>
      <c r="WKW291" s="30"/>
      <c r="WLG291" s="25"/>
      <c r="WLH291" s="25"/>
      <c r="WLI291" s="25"/>
      <c r="WLJ291" s="25"/>
      <c r="WLK291" s="25"/>
      <c r="WLL291" s="26"/>
      <c r="WLM291" s="30"/>
      <c r="WLW291" s="25"/>
      <c r="WLX291" s="25"/>
      <c r="WLY291" s="25"/>
      <c r="WLZ291" s="25"/>
      <c r="WMA291" s="25"/>
      <c r="WMB291" s="26"/>
      <c r="WMC291" s="30"/>
      <c r="WMM291" s="25"/>
      <c r="WMN291" s="25"/>
      <c r="WMO291" s="25"/>
      <c r="WMP291" s="25"/>
      <c r="WMQ291" s="25"/>
      <c r="WMR291" s="26"/>
      <c r="WMS291" s="30"/>
      <c r="WNC291" s="25"/>
      <c r="WND291" s="25"/>
      <c r="WNE291" s="25"/>
      <c r="WNF291" s="25"/>
      <c r="WNG291" s="25"/>
      <c r="WNH291" s="26"/>
      <c r="WNI291" s="30"/>
      <c r="WNS291" s="25"/>
      <c r="WNT291" s="25"/>
      <c r="WNU291" s="25"/>
      <c r="WNV291" s="25"/>
      <c r="WNW291" s="25"/>
      <c r="WNX291" s="26"/>
      <c r="WNY291" s="30"/>
      <c r="WOI291" s="25"/>
      <c r="WOJ291" s="25"/>
      <c r="WOK291" s="25"/>
      <c r="WOL291" s="25"/>
      <c r="WOM291" s="25"/>
      <c r="WON291" s="26"/>
      <c r="WOO291" s="30"/>
      <c r="WOY291" s="25"/>
      <c r="WOZ291" s="25"/>
      <c r="WPA291" s="25"/>
      <c r="WPB291" s="25"/>
      <c r="WPC291" s="25"/>
      <c r="WPD291" s="26"/>
      <c r="WPE291" s="30"/>
      <c r="WPO291" s="25"/>
      <c r="WPP291" s="25"/>
      <c r="WPQ291" s="25"/>
      <c r="WPR291" s="25"/>
      <c r="WPS291" s="25"/>
      <c r="WPT291" s="26"/>
      <c r="WPU291" s="30"/>
      <c r="WQE291" s="25"/>
      <c r="WQF291" s="25"/>
      <c r="WQG291" s="25"/>
      <c r="WQH291" s="25"/>
      <c r="WQI291" s="25"/>
      <c r="WQJ291" s="26"/>
      <c r="WQK291" s="30"/>
      <c r="WQU291" s="25"/>
      <c r="WQV291" s="25"/>
      <c r="WQW291" s="25"/>
      <c r="WQX291" s="25"/>
      <c r="WQY291" s="25"/>
      <c r="WQZ291" s="26"/>
      <c r="WRA291" s="30"/>
      <c r="WRK291" s="25"/>
      <c r="WRL291" s="25"/>
      <c r="WRM291" s="25"/>
      <c r="WRN291" s="25"/>
      <c r="WRO291" s="25"/>
      <c r="WRP291" s="26"/>
      <c r="WRQ291" s="30"/>
      <c r="WSA291" s="25"/>
      <c r="WSB291" s="25"/>
      <c r="WSC291" s="25"/>
      <c r="WSD291" s="25"/>
      <c r="WSE291" s="25"/>
      <c r="WSF291" s="26"/>
      <c r="WSG291" s="30"/>
      <c r="WSQ291" s="25"/>
      <c r="WSR291" s="25"/>
      <c r="WSS291" s="25"/>
      <c r="WST291" s="25"/>
      <c r="WSU291" s="25"/>
      <c r="WSV291" s="26"/>
      <c r="WSW291" s="30"/>
      <c r="WTG291" s="25"/>
      <c r="WTH291" s="25"/>
      <c r="WTI291" s="25"/>
      <c r="WTJ291" s="25"/>
      <c r="WTK291" s="25"/>
      <c r="WTL291" s="26"/>
      <c r="WTM291" s="30"/>
      <c r="WTW291" s="25"/>
      <c r="WTX291" s="25"/>
      <c r="WTY291" s="25"/>
      <c r="WTZ291" s="25"/>
      <c r="WUA291" s="25"/>
      <c r="WUB291" s="26"/>
      <c r="WUC291" s="30"/>
      <c r="WUM291" s="25"/>
      <c r="WUN291" s="25"/>
      <c r="WUO291" s="25"/>
      <c r="WUP291" s="25"/>
      <c r="WUQ291" s="25"/>
      <c r="WUR291" s="26"/>
      <c r="WUS291" s="30"/>
      <c r="WVC291" s="25"/>
      <c r="WVD291" s="25"/>
      <c r="WVE291" s="25"/>
      <c r="WVF291" s="25"/>
      <c r="WVG291" s="25"/>
      <c r="WVH291" s="26"/>
      <c r="WVI291" s="30"/>
      <c r="WVS291" s="25"/>
      <c r="WVT291" s="25"/>
      <c r="WVU291" s="25"/>
      <c r="WVV291" s="25"/>
      <c r="WVW291" s="25"/>
      <c r="WVX291" s="26"/>
      <c r="WVY291" s="30"/>
      <c r="WWI291" s="25"/>
      <c r="WWJ291" s="25"/>
      <c r="WWK291" s="25"/>
      <c r="WWL291" s="25"/>
      <c r="WWM291" s="25"/>
      <c r="WWN291" s="26"/>
      <c r="WWO291" s="30"/>
      <c r="WWY291" s="25"/>
      <c r="WWZ291" s="25"/>
      <c r="WXA291" s="25"/>
      <c r="WXB291" s="25"/>
      <c r="WXC291" s="25"/>
      <c r="WXD291" s="26"/>
      <c r="WXE291" s="30"/>
      <c r="WXO291" s="25"/>
      <c r="WXP291" s="25"/>
      <c r="WXQ291" s="25"/>
      <c r="WXR291" s="25"/>
      <c r="WXS291" s="25"/>
      <c r="WXT291" s="26"/>
      <c r="WXU291" s="30"/>
      <c r="WYE291" s="25"/>
      <c r="WYF291" s="25"/>
      <c r="WYG291" s="25"/>
      <c r="WYH291" s="25"/>
      <c r="WYI291" s="25"/>
      <c r="WYJ291" s="26"/>
      <c r="WYK291" s="30"/>
      <c r="WYU291" s="25"/>
      <c r="WYV291" s="25"/>
      <c r="WYW291" s="25"/>
      <c r="WYX291" s="25"/>
      <c r="WYY291" s="25"/>
      <c r="WYZ291" s="26"/>
      <c r="WZA291" s="30"/>
      <c r="WZK291" s="25"/>
      <c r="WZL291" s="25"/>
      <c r="WZM291" s="25"/>
      <c r="WZN291" s="25"/>
      <c r="WZO291" s="25"/>
      <c r="WZP291" s="26"/>
      <c r="WZQ291" s="30"/>
      <c r="XAA291" s="25"/>
      <c r="XAB291" s="25"/>
      <c r="XAC291" s="25"/>
      <c r="XAD291" s="25"/>
      <c r="XAE291" s="25"/>
      <c r="XAF291" s="26"/>
      <c r="XAG291" s="30"/>
      <c r="XAQ291" s="25"/>
      <c r="XAR291" s="25"/>
      <c r="XAS291" s="25"/>
      <c r="XAT291" s="25"/>
      <c r="XAU291" s="25"/>
      <c r="XAV291" s="26"/>
      <c r="XAW291" s="30"/>
      <c r="XBG291" s="25"/>
      <c r="XBH291" s="25"/>
      <c r="XBI291" s="25"/>
      <c r="XBJ291" s="25"/>
      <c r="XBK291" s="25"/>
      <c r="XBL291" s="26"/>
      <c r="XBM291" s="30"/>
      <c r="XBW291" s="25"/>
      <c r="XBX291" s="25"/>
      <c r="XBY291" s="25"/>
      <c r="XBZ291" s="25"/>
      <c r="XCA291" s="25"/>
      <c r="XCB291" s="26"/>
      <c r="XCC291" s="30"/>
      <c r="XCM291" s="25"/>
      <c r="XCN291" s="25"/>
      <c r="XCO291" s="25"/>
      <c r="XCP291" s="25"/>
      <c r="XCQ291" s="25"/>
      <c r="XCR291" s="26"/>
      <c r="XCS291" s="30"/>
      <c r="XDC291" s="25"/>
      <c r="XDD291" s="25"/>
      <c r="XDE291" s="25"/>
      <c r="XDF291" s="25"/>
      <c r="XDG291" s="25"/>
      <c r="XDH291" s="26"/>
      <c r="XDI291" s="30"/>
      <c r="XDS291" s="25"/>
      <c r="XDT291" s="25"/>
      <c r="XDU291" s="25"/>
      <c r="XDV291" s="25"/>
      <c r="XDW291" s="25"/>
      <c r="XDX291" s="26"/>
      <c r="XDY291" s="30"/>
      <c r="XEI291" s="25"/>
      <c r="XEJ291" s="25"/>
      <c r="XEK291" s="25"/>
      <c r="XEL291" s="25"/>
      <c r="XEM291" s="25"/>
      <c r="XEN291" s="26"/>
      <c r="XEO291" s="30"/>
      <c r="XEY291" s="25"/>
      <c r="XEZ291" s="25"/>
      <c r="XFA291" s="25"/>
      <c r="XFB291" s="25"/>
      <c r="XFC291" s="25"/>
      <c r="XFD291" s="1"/>
    </row>
    <row r="292" customFormat="false" ht="14.25" hidden="false" customHeight="false" outlineLevel="0" collapsed="false">
      <c r="A292" s="29" t="s">
        <v>1372</v>
      </c>
      <c r="B292" s="1" t="s">
        <v>1430</v>
      </c>
      <c r="C292" s="1" t="s">
        <v>1614</v>
      </c>
      <c r="D292" s="1" t="s">
        <v>1705</v>
      </c>
      <c r="E292" s="1" t="s">
        <v>1705</v>
      </c>
      <c r="F292" s="1" t="n">
        <v>21</v>
      </c>
      <c r="G292" s="1" t="s">
        <v>1665</v>
      </c>
      <c r="H292" s="1" t="s">
        <v>1617</v>
      </c>
      <c r="I292" s="1" t="s">
        <v>1618</v>
      </c>
      <c r="J292" s="1" t="s">
        <v>1517</v>
      </c>
      <c r="K292" s="18" t="s">
        <v>1515</v>
      </c>
      <c r="L292" s="18" t="str">
        <f aca="false">+VLOOKUP(K292,'Correl CIIU'!$A$1:$F$26,2,FALSE())</f>
        <v>Suministro de agua; evacuación de aguas residuales, gestión de desechos y descontaminación</v>
      </c>
      <c r="M292" s="18" t="str">
        <f aca="false">+VLOOKUP(K292,'Correl CIIU'!$A$1:$F$26,3,FALSE())</f>
        <v>Suministro de agua</v>
      </c>
      <c r="N292" s="18" t="str">
        <f aca="false">+VLOOKUP(K292,'Correl CIIU'!$A$1:$F$26,4,FALSE())</f>
        <v>Water supply; sewerage, waste management and remediation activities</v>
      </c>
      <c r="O292" s="18" t="n">
        <v>2</v>
      </c>
      <c r="P292" s="19" t="str">
        <f aca="false">+VLOOKUP(O292,bio!$A$2:$B$4,2,FALSE())</f>
        <v>Bioeconomía extendida</v>
      </c>
    </row>
    <row r="293" customFormat="false" ht="14.25" hidden="false" customHeight="false" outlineLevel="0" collapsed="false">
      <c r="A293" s="29" t="s">
        <v>1374</v>
      </c>
      <c r="B293" s="1" t="s">
        <v>1430</v>
      </c>
      <c r="C293" s="1" t="s">
        <v>1614</v>
      </c>
      <c r="D293" s="1" t="s">
        <v>1705</v>
      </c>
      <c r="E293" s="1" t="s">
        <v>1705</v>
      </c>
      <c r="F293" s="1" t="n">
        <v>22</v>
      </c>
      <c r="G293" s="1" t="s">
        <v>1666</v>
      </c>
      <c r="H293" s="1" t="s">
        <v>1617</v>
      </c>
      <c r="I293" s="1" t="s">
        <v>1619</v>
      </c>
      <c r="J293" s="1" t="s">
        <v>1557</v>
      </c>
      <c r="K293" s="20" t="s">
        <v>1548</v>
      </c>
      <c r="L293" s="20" t="s">
        <v>1549</v>
      </c>
      <c r="M293" s="20" t="s">
        <v>1549</v>
      </c>
      <c r="N293" s="20" t="s">
        <v>1550</v>
      </c>
      <c r="O293" s="20" t="n">
        <v>3</v>
      </c>
      <c r="P293" s="27" t="s">
        <v>1602</v>
      </c>
    </row>
    <row r="294" customFormat="false" ht="14.25" hidden="false" customHeight="false" outlineLevel="0" collapsed="false">
      <c r="A294" s="29" t="s">
        <v>1376</v>
      </c>
      <c r="B294" s="1" t="s">
        <v>1430</v>
      </c>
      <c r="C294" s="1" t="s">
        <v>1614</v>
      </c>
      <c r="D294" s="1" t="s">
        <v>1705</v>
      </c>
      <c r="E294" s="1" t="s">
        <v>1705</v>
      </c>
      <c r="F294" s="1" t="n">
        <v>23</v>
      </c>
      <c r="G294" s="1" t="s">
        <v>1669</v>
      </c>
      <c r="H294" s="1" t="s">
        <v>1617</v>
      </c>
      <c r="I294" s="1" t="s">
        <v>1620</v>
      </c>
      <c r="J294" s="1" t="s">
        <v>1578</v>
      </c>
      <c r="K294" s="18" t="s">
        <v>1574</v>
      </c>
      <c r="L294" s="18" t="str">
        <f aca="false">+VLOOKUP(K294,'Correl CIIU'!$A$1:$F$26,2,FALSE())</f>
        <v>Actividades profesionales, científicas y técnicas</v>
      </c>
      <c r="M294" s="18" t="str">
        <f aca="false">+VLOOKUP(K294,'Correl CIIU'!$A$1:$F$26,3,FALSE())</f>
        <v>Servicios profesionales</v>
      </c>
      <c r="N294" s="18" t="str">
        <f aca="false">+VLOOKUP(K294,'Correl CIIU'!$A$1:$F$26,4,FALSE())</f>
        <v>Professional, scientific and technical activities</v>
      </c>
      <c r="O294" s="18" t="n">
        <v>2</v>
      </c>
      <c r="P294" s="19" t="str">
        <f aca="false">+VLOOKUP(O294,bio!$A$2:$B$4,2,FALSE())</f>
        <v>Bioeconomía extendida</v>
      </c>
    </row>
    <row r="295" customFormat="false" ht="14.25" hidden="false" customHeight="false" outlineLevel="0" collapsed="false">
      <c r="A295" s="29" t="s">
        <v>1378</v>
      </c>
      <c r="B295" s="1" t="s">
        <v>1430</v>
      </c>
      <c r="C295" s="1" t="s">
        <v>1614</v>
      </c>
      <c r="D295" s="1" t="s">
        <v>1705</v>
      </c>
      <c r="E295" s="1" t="s">
        <v>1705</v>
      </c>
      <c r="F295" s="1" t="n">
        <v>24</v>
      </c>
      <c r="G295" s="1" t="s">
        <v>1721</v>
      </c>
      <c r="H295" s="1" t="s">
        <v>1617</v>
      </c>
      <c r="I295" s="1" t="n">
        <v>50.1</v>
      </c>
      <c r="J295" s="1" t="s">
        <v>1621</v>
      </c>
      <c r="K295" s="18" t="s">
        <v>1622</v>
      </c>
      <c r="L295" s="18" t="str">
        <f aca="false">+VLOOKUP(K295,'Correl CIIU'!$A$1:$F$26,2,FALSE())</f>
        <v>Administración pública y defensa; planes de seguridad social de afiliación obligatoria</v>
      </c>
      <c r="M295" s="18" t="str">
        <f aca="false">+VLOOKUP(K295,'Correl CIIU'!$A$1:$F$26,3,FALSE())</f>
        <v>Administración pública</v>
      </c>
      <c r="N295" s="18" t="str">
        <f aca="false">+VLOOKUP(K295,'Correl CIIU'!$A$1:$F$26,4,FALSE())</f>
        <v>Public administration and defence; compulsory social security</v>
      </c>
      <c r="O295" s="18" t="n">
        <v>3</v>
      </c>
      <c r="P295" s="19" t="str">
        <f aca="false">+VLOOKUP(O295,bio!$A$2:$B$4,2,FALSE())</f>
        <v>No bioeconomía</v>
      </c>
    </row>
    <row r="296" customFormat="false" ht="14.25" hidden="false" customHeight="false" outlineLevel="0" collapsed="false">
      <c r="A296" s="29" t="s">
        <v>1380</v>
      </c>
      <c r="B296" s="1" t="s">
        <v>1430</v>
      </c>
      <c r="C296" s="1" t="s">
        <v>1614</v>
      </c>
      <c r="D296" s="1" t="s">
        <v>1705</v>
      </c>
      <c r="E296" s="1" t="s">
        <v>1705</v>
      </c>
      <c r="F296" s="1" t="n">
        <v>25</v>
      </c>
      <c r="G296" s="1" t="s">
        <v>1722</v>
      </c>
      <c r="H296" s="1" t="s">
        <v>1617</v>
      </c>
      <c r="I296" s="1" t="n">
        <v>50.2</v>
      </c>
      <c r="J296" s="1" t="s">
        <v>1623</v>
      </c>
      <c r="K296" s="18" t="s">
        <v>1624</v>
      </c>
      <c r="L296" s="18" t="str">
        <f aca="false">+VLOOKUP(K296,'Correl CIIU'!$A$1:$F$26,2,FALSE())</f>
        <v>Actividades artísticas, de entretenimiento y recreativas</v>
      </c>
      <c r="M296" s="18" t="str">
        <f aca="false">+VLOOKUP(K296,'Correl CIIU'!$A$1:$F$26,3,FALSE())</f>
        <v>Recreación</v>
      </c>
      <c r="N296" s="18" t="str">
        <f aca="false">+VLOOKUP(K296,'Correl CIIU'!$A$1:$F$26,4,FALSE())</f>
        <v>Arts, entertainment and recreation</v>
      </c>
      <c r="O296" s="18" t="n">
        <v>3</v>
      </c>
      <c r="P296" s="19" t="str">
        <f aca="false">+VLOOKUP(O296,bio!$A$2:$B$4,2,FALSE())</f>
        <v>No bioeconomía</v>
      </c>
    </row>
    <row r="297" customFormat="false" ht="14.25" hidden="false" customHeight="false" outlineLevel="0" collapsed="false">
      <c r="A297" s="29" t="s">
        <v>1382</v>
      </c>
      <c r="B297" s="1" t="s">
        <v>1430</v>
      </c>
      <c r="C297" s="1" t="s">
        <v>1614</v>
      </c>
      <c r="D297" s="1" t="s">
        <v>1705</v>
      </c>
      <c r="E297" s="1" t="s">
        <v>1705</v>
      </c>
      <c r="F297" s="1" t="n">
        <v>26</v>
      </c>
      <c r="G297" s="1" t="s">
        <v>1723</v>
      </c>
      <c r="H297" s="1" t="s">
        <v>1617</v>
      </c>
      <c r="I297" s="1" t="n">
        <v>50.3</v>
      </c>
      <c r="J297" s="1" t="s">
        <v>1625</v>
      </c>
      <c r="K297" s="18" t="s">
        <v>1622</v>
      </c>
      <c r="L297" s="18" t="str">
        <f aca="false">+VLOOKUP(K297,'Correl CIIU'!$A$1:$F$26,2,FALSE())</f>
        <v>Administración pública y defensa; planes de seguridad social de afiliación obligatoria</v>
      </c>
      <c r="M297" s="18" t="str">
        <f aca="false">+VLOOKUP(K297,'Correl CIIU'!$A$1:$F$26,3,FALSE())</f>
        <v>Administración pública</v>
      </c>
      <c r="N297" s="18" t="str">
        <f aca="false">+VLOOKUP(K297,'Correl CIIU'!$A$1:$F$26,4,FALSE())</f>
        <v>Public administration and defence; compulsory social security</v>
      </c>
      <c r="O297" s="18" t="n">
        <v>3</v>
      </c>
      <c r="P297" s="19" t="str">
        <f aca="false">+VLOOKUP(O297,bio!$A$2:$B$4,2,FALSE())</f>
        <v>No bioeconomía</v>
      </c>
    </row>
    <row r="298" customFormat="false" ht="14.25" hidden="false" customHeight="false" outlineLevel="0" collapsed="false">
      <c r="A298" s="29" t="s">
        <v>1384</v>
      </c>
      <c r="B298" s="1" t="s">
        <v>1430</v>
      </c>
      <c r="C298" s="1" t="s">
        <v>1614</v>
      </c>
      <c r="D298" s="1" t="s">
        <v>1705</v>
      </c>
      <c r="E298" s="1" t="s">
        <v>1705</v>
      </c>
      <c r="F298" s="1" t="n">
        <v>27</v>
      </c>
      <c r="G298" s="1" t="s">
        <v>1724</v>
      </c>
      <c r="H298" s="1" t="s">
        <v>1617</v>
      </c>
      <c r="I298" s="1" t="s">
        <v>1626</v>
      </c>
      <c r="J298" s="1" t="s">
        <v>1587</v>
      </c>
      <c r="K298" s="18" t="s">
        <v>1588</v>
      </c>
      <c r="L298" s="18" t="str">
        <f aca="false">+VLOOKUP(K298,'Correl CIIU'!$A$1:$F$26,2,FALSE())</f>
        <v>Enseñanza</v>
      </c>
      <c r="M298" s="18" t="str">
        <f aca="false">+VLOOKUP(K298,'Correl CIIU'!$A$1:$F$26,3,FALSE())</f>
        <v>Enseñanza</v>
      </c>
      <c r="N298" s="18" t="str">
        <f aca="false">+VLOOKUP(K298,'Correl CIIU'!$A$1:$F$26,4,FALSE())</f>
        <v>Education</v>
      </c>
      <c r="O298" s="18" t="n">
        <v>3</v>
      </c>
      <c r="P298" s="19" t="str">
        <f aca="false">+VLOOKUP(O298,bio!$A$2:$B$4,2,FALSE())</f>
        <v>No bioeconomía</v>
      </c>
    </row>
    <row r="299" customFormat="false" ht="14.25" hidden="false" customHeight="false" outlineLevel="0" collapsed="false">
      <c r="A299" s="29" t="s">
        <v>1386</v>
      </c>
      <c r="B299" s="1" t="s">
        <v>1430</v>
      </c>
      <c r="C299" s="1" t="s">
        <v>1614</v>
      </c>
      <c r="D299" s="1" t="s">
        <v>1705</v>
      </c>
      <c r="E299" s="1" t="s">
        <v>1705</v>
      </c>
      <c r="F299" s="1" t="n">
        <v>28</v>
      </c>
      <c r="G299" s="1" t="s">
        <v>1725</v>
      </c>
      <c r="H299" s="1" t="s">
        <v>1617</v>
      </c>
      <c r="I299" s="1" t="s">
        <v>1627</v>
      </c>
      <c r="J299" s="1" t="s">
        <v>1590</v>
      </c>
      <c r="K299" s="18" t="s">
        <v>1591</v>
      </c>
      <c r="L299" s="18" t="str">
        <f aca="false">+VLOOKUP(K299,'Correl CIIU'!$A$1:$F$26,2,FALSE())</f>
        <v>Actividades de atención de la salud humana y de asistencia social</v>
      </c>
      <c r="M299" s="18" t="str">
        <f aca="false">+VLOOKUP(K299,'Correl CIIU'!$A$1:$F$26,3,FALSE())</f>
        <v>Salud</v>
      </c>
      <c r="N299" s="18" t="str">
        <f aca="false">+VLOOKUP(K299,'Correl CIIU'!$A$1:$F$26,4,FALSE())</f>
        <v>Human health and social work activities</v>
      </c>
      <c r="O299" s="18" t="n">
        <v>3</v>
      </c>
      <c r="P299" s="19" t="str">
        <f aca="false">+VLOOKUP(O299,bio!$A$2:$B$4,2,FALSE())</f>
        <v>No bioeconomía</v>
      </c>
    </row>
    <row r="300" customFormat="false" ht="14.25" hidden="false" customHeight="false" outlineLevel="0" collapsed="false">
      <c r="A300" s="29" t="s">
        <v>1388</v>
      </c>
      <c r="B300" s="1" t="s">
        <v>1430</v>
      </c>
      <c r="C300" s="1" t="s">
        <v>1614</v>
      </c>
      <c r="D300" s="1" t="s">
        <v>1705</v>
      </c>
      <c r="E300" s="1" t="s">
        <v>1705</v>
      </c>
      <c r="F300" s="1" t="n">
        <v>29</v>
      </c>
      <c r="G300" s="1" t="s">
        <v>1726</v>
      </c>
      <c r="H300" s="1" t="s">
        <v>1617</v>
      </c>
      <c r="I300" s="1" t="s">
        <v>1628</v>
      </c>
      <c r="J300" s="1" t="s">
        <v>1593</v>
      </c>
      <c r="K300" s="18" t="s">
        <v>1594</v>
      </c>
      <c r="L300" s="18" t="str">
        <f aca="false">+VLOOKUP(K300,'Correl CIIU'!$A$1:$F$26,2,FALSE())</f>
        <v>Otras actividades de servicios</v>
      </c>
      <c r="M300" s="18" t="str">
        <f aca="false">+VLOOKUP(K300,'Correl CIIU'!$A$1:$F$26,3,FALSE())</f>
        <v>Otros servicios</v>
      </c>
      <c r="N300" s="18" t="str">
        <f aca="false">+VLOOKUP(K300,'Correl CIIU'!$A$1:$F$26,4,FALSE())</f>
        <v>Other service activities</v>
      </c>
      <c r="O300" s="18" t="n">
        <v>3</v>
      </c>
      <c r="P300" s="19" t="str">
        <f aca="false">+VLOOKUP(O300,bio!$A$2:$B$4,2,FALSE())</f>
        <v>No bioeconomía</v>
      </c>
    </row>
    <row r="301" customFormat="false" ht="14.25" hidden="false" customHeight="false" outlineLevel="0" collapsed="false">
      <c r="A301" s="31" t="s">
        <v>1390</v>
      </c>
      <c r="B301" s="1" t="s">
        <v>1430</v>
      </c>
      <c r="C301" s="1" t="s">
        <v>1614</v>
      </c>
      <c r="D301" s="32" t="s">
        <v>1705</v>
      </c>
      <c r="E301" s="32" t="s">
        <v>1705</v>
      </c>
      <c r="F301" s="32" t="n">
        <v>30</v>
      </c>
      <c r="G301" s="32" t="s">
        <v>1727</v>
      </c>
      <c r="H301" s="32" t="s">
        <v>1617</v>
      </c>
      <c r="I301" s="32" t="s">
        <v>1629</v>
      </c>
      <c r="J301" s="32" t="s">
        <v>1596</v>
      </c>
      <c r="K301" s="33" t="s">
        <v>1594</v>
      </c>
      <c r="L301" s="33" t="str">
        <f aca="false">+VLOOKUP(K301,'Correl CIIU'!$A$1:$F$26,2,FALSE())</f>
        <v>Otras actividades de servicios</v>
      </c>
      <c r="M301" s="33" t="str">
        <f aca="false">+VLOOKUP(K301,'Correl CIIU'!$A$1:$F$26,3,FALSE())</f>
        <v>Otros servicios</v>
      </c>
      <c r="N301" s="33" t="str">
        <f aca="false">+VLOOKUP(K301,'Correl CIIU'!$A$1:$F$26,4,FALSE())</f>
        <v>Other service activities</v>
      </c>
      <c r="O301" s="33" t="n">
        <v>3</v>
      </c>
      <c r="P301" s="34" t="str">
        <f aca="false">+VLOOKUP(O301,bio!$A$2:$B$4,2,FALSE())</f>
        <v>No bioeconomía</v>
      </c>
    </row>
    <row r="302" customFormat="false" ht="14.25" hidden="false" customHeight="false" outlineLevel="0" collapsed="false">
      <c r="A302" s="16"/>
    </row>
    <row r="303" customFormat="false" ht="14.25" hidden="false" customHeight="false" outlineLevel="0" collapsed="false">
      <c r="A303" s="16"/>
    </row>
    <row r="304" customFormat="false" ht="14.25" hidden="false" customHeight="false" outlineLevel="0" collapsed="false">
      <c r="A304" s="16"/>
    </row>
    <row r="305" customFormat="false" ht="14.25" hidden="false" customHeight="false" outlineLevel="0" collapsed="false">
      <c r="A305" s="16"/>
    </row>
    <row r="306" customFormat="false" ht="14.25" hidden="false" customHeight="false" outlineLevel="0" collapsed="false">
      <c r="A306" s="16"/>
    </row>
    <row r="307" customFormat="false" ht="14.25" hidden="false" customHeight="false" outlineLevel="0" collapsed="false">
      <c r="A307" s="16"/>
    </row>
    <row r="308" customFormat="false" ht="14.25" hidden="false" customHeight="false" outlineLevel="0" collapsed="false">
      <c r="A308" s="16"/>
    </row>
    <row r="309" customFormat="false" ht="14.25" hidden="false" customHeight="false" outlineLevel="0" collapsed="false">
      <c r="A309" s="16"/>
    </row>
    <row r="310" customFormat="false" ht="14.25" hidden="false" customHeight="false" outlineLevel="0" collapsed="false">
      <c r="A310" s="16"/>
    </row>
    <row r="311" customFormat="false" ht="14.25" hidden="false" customHeight="false" outlineLevel="0" collapsed="false">
      <c r="A311" s="16"/>
    </row>
    <row r="312" customFormat="false" ht="14.25" hidden="false" customHeight="false" outlineLevel="0" collapsed="false">
      <c r="A312" s="16"/>
    </row>
    <row r="313" customFormat="false" ht="14.25" hidden="false" customHeight="false" outlineLevel="0" collapsed="false">
      <c r="A313" s="16"/>
    </row>
    <row r="314" customFormat="false" ht="14.25" hidden="false" customHeight="false" outlineLevel="0" collapsed="false">
      <c r="A314" s="16"/>
    </row>
    <row r="315" customFormat="false" ht="14.25" hidden="false" customHeight="false" outlineLevel="0" collapsed="false">
      <c r="A315" s="16"/>
    </row>
    <row r="316" customFormat="false" ht="14.25" hidden="false" customHeight="false" outlineLevel="0" collapsed="false">
      <c r="A316" s="16"/>
    </row>
    <row r="317" customFormat="false" ht="14.25" hidden="false" customHeight="false" outlineLevel="0" collapsed="false">
      <c r="A317" s="16"/>
    </row>
    <row r="318" customFormat="false" ht="14.25" hidden="false" customHeight="false" outlineLevel="0" collapsed="false">
      <c r="A318" s="16"/>
    </row>
    <row r="319" customFormat="false" ht="14.25" hidden="false" customHeight="false" outlineLevel="0" collapsed="false">
      <c r="A319" s="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1" activeCellId="0" sqref="L21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14.18"/>
    <col collapsed="false" customWidth="true" hidden="false" outlineLevel="0" max="2" min="2" style="1" width="48.54"/>
    <col collapsed="false" customWidth="true" hidden="false" outlineLevel="0" max="3" min="3" style="1" width="24.54"/>
  </cols>
  <sheetData>
    <row r="1" customFormat="false" ht="14.25" hidden="false" customHeight="false" outlineLevel="0" collapsed="false">
      <c r="A1" s="35" t="s">
        <v>1424</v>
      </c>
      <c r="B1" s="35" t="s">
        <v>1425</v>
      </c>
      <c r="C1" s="35" t="s">
        <v>1426</v>
      </c>
      <c r="D1" s="35" t="s">
        <v>1427</v>
      </c>
      <c r="E1" s="35"/>
      <c r="F1" s="35"/>
    </row>
    <row r="2" customFormat="false" ht="14.25" hidden="false" customHeight="false" outlineLevel="0" collapsed="false">
      <c r="A2" s="36" t="s">
        <v>1433</v>
      </c>
      <c r="B2" s="36" t="s">
        <v>1728</v>
      </c>
      <c r="C2" s="36" t="s">
        <v>1729</v>
      </c>
      <c r="D2" s="36" t="s">
        <v>1730</v>
      </c>
      <c r="E2" s="36"/>
      <c r="F2" s="36"/>
    </row>
    <row r="3" customFormat="false" ht="14.25" hidden="false" customHeight="false" outlineLevel="0" collapsed="false">
      <c r="A3" s="36" t="s">
        <v>1464</v>
      </c>
      <c r="B3" s="36" t="s">
        <v>1731</v>
      </c>
      <c r="C3" s="36" t="s">
        <v>1732</v>
      </c>
      <c r="D3" s="36" t="s">
        <v>1733</v>
      </c>
      <c r="E3" s="36"/>
      <c r="F3" s="36"/>
    </row>
    <row r="4" customFormat="false" ht="14.25" hidden="false" customHeight="false" outlineLevel="0" collapsed="false">
      <c r="A4" s="36" t="s">
        <v>1467</v>
      </c>
      <c r="B4" s="36" t="s">
        <v>1734</v>
      </c>
      <c r="C4" s="36" t="s">
        <v>1735</v>
      </c>
      <c r="D4" s="36" t="s">
        <v>1736</v>
      </c>
      <c r="E4" s="36"/>
      <c r="F4" s="36"/>
    </row>
    <row r="5" customFormat="false" ht="14.25" hidden="false" customHeight="false" outlineLevel="0" collapsed="false">
      <c r="A5" s="36" t="s">
        <v>1467</v>
      </c>
      <c r="B5" s="36" t="s">
        <v>1734</v>
      </c>
      <c r="C5" s="36" t="s">
        <v>1735</v>
      </c>
      <c r="D5" s="36" t="s">
        <v>1736</v>
      </c>
      <c r="E5" s="36"/>
      <c r="F5" s="36"/>
    </row>
    <row r="6" customFormat="false" ht="14.25" hidden="false" customHeight="false" outlineLevel="0" collapsed="false">
      <c r="A6" s="36" t="s">
        <v>1467</v>
      </c>
      <c r="B6" s="36" t="s">
        <v>1734</v>
      </c>
      <c r="C6" s="36" t="s">
        <v>1735</v>
      </c>
      <c r="D6" s="36" t="s">
        <v>1736</v>
      </c>
      <c r="E6" s="36"/>
      <c r="F6" s="36"/>
    </row>
    <row r="7" customFormat="false" ht="14.25" hidden="false" customHeight="false" outlineLevel="0" collapsed="false">
      <c r="A7" s="36" t="s">
        <v>1512</v>
      </c>
      <c r="B7" s="36" t="s">
        <v>1511</v>
      </c>
      <c r="C7" s="36" t="s">
        <v>1737</v>
      </c>
      <c r="D7" s="36" t="s">
        <v>1738</v>
      </c>
      <c r="E7" s="36"/>
      <c r="F7" s="36"/>
    </row>
    <row r="8" customFormat="false" ht="14.25" hidden="false" customHeight="false" outlineLevel="0" collapsed="false">
      <c r="A8" s="36" t="s">
        <v>1515</v>
      </c>
      <c r="B8" s="36" t="s">
        <v>1739</v>
      </c>
      <c r="C8" s="36" t="s">
        <v>1740</v>
      </c>
      <c r="D8" s="36" t="s">
        <v>1741</v>
      </c>
      <c r="E8" s="36"/>
      <c r="F8" s="36"/>
    </row>
    <row r="9" customFormat="false" ht="14.25" hidden="false" customHeight="false" outlineLevel="0" collapsed="false">
      <c r="A9" s="36" t="s">
        <v>1520</v>
      </c>
      <c r="B9" s="36" t="s">
        <v>1600</v>
      </c>
      <c r="C9" s="36" t="s">
        <v>1600</v>
      </c>
      <c r="D9" s="36" t="s">
        <v>1601</v>
      </c>
      <c r="E9" s="36"/>
      <c r="F9" s="36"/>
    </row>
    <row r="10" customFormat="false" ht="14.25" hidden="false" customHeight="false" outlineLevel="0" collapsed="false">
      <c r="A10" s="36" t="s">
        <v>1523</v>
      </c>
      <c r="B10" s="36" t="s">
        <v>1742</v>
      </c>
      <c r="C10" s="36" t="s">
        <v>1743</v>
      </c>
      <c r="D10" s="36" t="s">
        <v>1744</v>
      </c>
      <c r="E10" s="36"/>
      <c r="F10" s="36"/>
    </row>
    <row r="11" customFormat="false" ht="14.25" hidden="false" customHeight="false" outlineLevel="0" collapsed="false">
      <c r="A11" s="36" t="s">
        <v>1530</v>
      </c>
      <c r="B11" s="36" t="s">
        <v>1745</v>
      </c>
      <c r="C11" s="36" t="s">
        <v>1745</v>
      </c>
      <c r="D11" s="36" t="s">
        <v>1746</v>
      </c>
      <c r="E11" s="36"/>
      <c r="F11" s="36"/>
    </row>
    <row r="12" customFormat="false" ht="14.25" hidden="false" customHeight="false" outlineLevel="0" collapsed="false">
      <c r="A12" s="36" t="s">
        <v>1548</v>
      </c>
      <c r="B12" s="36" t="s">
        <v>1549</v>
      </c>
      <c r="C12" s="36" t="s">
        <v>1549</v>
      </c>
      <c r="D12" s="36" t="s">
        <v>1550</v>
      </c>
      <c r="E12" s="36"/>
      <c r="F12" s="36"/>
    </row>
    <row r="13" customFormat="false" ht="14.25" hidden="false" customHeight="false" outlineLevel="0" collapsed="false">
      <c r="A13" s="36" t="s">
        <v>1553</v>
      </c>
      <c r="B13" s="36" t="s">
        <v>1747</v>
      </c>
      <c r="C13" s="36" t="s">
        <v>1748</v>
      </c>
      <c r="D13" s="36" t="s">
        <v>1749</v>
      </c>
      <c r="E13" s="36"/>
      <c r="F13" s="36"/>
    </row>
    <row r="14" customFormat="false" ht="14.25" hidden="false" customHeight="false" outlineLevel="0" collapsed="false">
      <c r="A14" s="36" t="s">
        <v>1562</v>
      </c>
      <c r="B14" s="36" t="s">
        <v>1750</v>
      </c>
      <c r="C14" s="36" t="s">
        <v>1751</v>
      </c>
      <c r="D14" s="36" t="s">
        <v>1752</v>
      </c>
      <c r="E14" s="36"/>
      <c r="F14" s="36"/>
    </row>
    <row r="15" customFormat="false" ht="14.25" hidden="false" customHeight="false" outlineLevel="0" collapsed="false">
      <c r="A15" s="36" t="s">
        <v>1569</v>
      </c>
      <c r="B15" s="36" t="s">
        <v>1604</v>
      </c>
      <c r="C15" s="36" t="s">
        <v>1605</v>
      </c>
      <c r="D15" s="36" t="s">
        <v>1606</v>
      </c>
      <c r="E15" s="36"/>
      <c r="F15" s="36"/>
    </row>
    <row r="16" customFormat="false" ht="14.25" hidden="false" customHeight="false" outlineLevel="0" collapsed="false">
      <c r="A16" s="36" t="s">
        <v>1574</v>
      </c>
      <c r="B16" s="36" t="s">
        <v>1753</v>
      </c>
      <c r="C16" s="36" t="s">
        <v>1754</v>
      </c>
      <c r="D16" s="36" t="s">
        <v>1755</v>
      </c>
      <c r="E16" s="36"/>
      <c r="F16" s="36"/>
    </row>
    <row r="17" customFormat="false" ht="14.25" hidden="false" customHeight="false" outlineLevel="0" collapsed="false">
      <c r="A17" s="36" t="s">
        <v>1581</v>
      </c>
      <c r="B17" s="36" t="s">
        <v>1756</v>
      </c>
      <c r="C17" s="36" t="s">
        <v>1757</v>
      </c>
      <c r="D17" s="36" t="s">
        <v>1758</v>
      </c>
      <c r="E17" s="36"/>
      <c r="F17" s="36"/>
    </row>
    <row r="18" customFormat="false" ht="14.25" hidden="false" customHeight="false" outlineLevel="0" collapsed="false">
      <c r="A18" s="36" t="s">
        <v>1588</v>
      </c>
      <c r="B18" s="36" t="s">
        <v>1587</v>
      </c>
      <c r="C18" s="36" t="s">
        <v>1587</v>
      </c>
      <c r="D18" s="36" t="s">
        <v>1759</v>
      </c>
      <c r="E18" s="36"/>
      <c r="F18" s="36"/>
    </row>
    <row r="19" customFormat="false" ht="14.25" hidden="false" customHeight="false" outlineLevel="0" collapsed="false">
      <c r="A19" s="36" t="s">
        <v>1591</v>
      </c>
      <c r="B19" s="36" t="s">
        <v>1590</v>
      </c>
      <c r="C19" s="36" t="s">
        <v>1760</v>
      </c>
      <c r="D19" s="36" t="s">
        <v>1761</v>
      </c>
      <c r="E19" s="36"/>
      <c r="F19" s="36"/>
    </row>
    <row r="20" customFormat="false" ht="14.25" hidden="false" customHeight="false" outlineLevel="0" collapsed="false">
      <c r="A20" s="36" t="s">
        <v>1624</v>
      </c>
      <c r="B20" s="36" t="s">
        <v>1593</v>
      </c>
      <c r="C20" s="36" t="s">
        <v>1762</v>
      </c>
      <c r="D20" s="36" t="s">
        <v>1763</v>
      </c>
      <c r="E20" s="36"/>
      <c r="F20" s="36"/>
    </row>
    <row r="21" customFormat="false" ht="14.25" hidden="false" customHeight="false" outlineLevel="0" collapsed="false">
      <c r="A21" s="36" t="s">
        <v>1594</v>
      </c>
      <c r="B21" s="36" t="s">
        <v>1764</v>
      </c>
      <c r="C21" s="36" t="s">
        <v>1765</v>
      </c>
      <c r="D21" s="36" t="s">
        <v>1766</v>
      </c>
      <c r="E21" s="36"/>
      <c r="F21" s="36"/>
    </row>
    <row r="22" customFormat="false" ht="14.25" hidden="false" customHeight="false" outlineLevel="0" collapsed="false">
      <c r="A22" s="36" t="s">
        <v>1767</v>
      </c>
      <c r="B22" s="36" t="s">
        <v>1767</v>
      </c>
      <c r="C22" s="36" t="s">
        <v>1767</v>
      </c>
      <c r="D22" s="36" t="s">
        <v>1767</v>
      </c>
      <c r="E22" s="36"/>
      <c r="F22" s="36"/>
    </row>
    <row r="23" customFormat="false" ht="14.25" hidden="false" customHeight="false" outlineLevel="0" collapsed="false">
      <c r="A23" s="36" t="s">
        <v>1608</v>
      </c>
      <c r="B23" s="36" t="s">
        <v>1609</v>
      </c>
      <c r="C23" s="36" t="s">
        <v>1610</v>
      </c>
      <c r="D23" s="36" t="s">
        <v>1611</v>
      </c>
      <c r="E23" s="36"/>
      <c r="F23" s="36"/>
    </row>
    <row r="24" customFormat="false" ht="14.25" hidden="false" customHeight="false" outlineLevel="0" collapsed="false">
      <c r="A24" s="36" t="s">
        <v>1574</v>
      </c>
      <c r="B24" s="36" t="s">
        <v>1753</v>
      </c>
      <c r="C24" s="36" t="s">
        <v>1754</v>
      </c>
      <c r="D24" s="36" t="s">
        <v>1755</v>
      </c>
      <c r="E24" s="36"/>
      <c r="F24" s="36"/>
    </row>
    <row r="25" customFormat="false" ht="14.25" hidden="false" customHeight="false" outlineLevel="0" collapsed="false">
      <c r="A25" s="36" t="s">
        <v>1622</v>
      </c>
      <c r="B25" s="36" t="s">
        <v>1768</v>
      </c>
      <c r="C25" s="36" t="s">
        <v>1769</v>
      </c>
      <c r="D25" s="36" t="s">
        <v>1770</v>
      </c>
      <c r="E25" s="36"/>
      <c r="F25" s="36"/>
    </row>
    <row r="26" customFormat="false" ht="14.25" hidden="false" customHeight="false" outlineLevel="0" collapsed="false">
      <c r="A26" s="36" t="s">
        <v>1767</v>
      </c>
      <c r="B26" s="36" t="s">
        <v>1767</v>
      </c>
      <c r="C26" s="36" t="s">
        <v>1767</v>
      </c>
      <c r="D26" s="36" t="s">
        <v>1767</v>
      </c>
      <c r="E26" s="36"/>
      <c r="F26" s="3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2" min="1" style="1" width="43.45"/>
    <col collapsed="false" customWidth="true" hidden="false" outlineLevel="0" max="3" min="3" style="1" width="34.18"/>
    <col collapsed="false" customWidth="true" hidden="false" outlineLevel="0" max="4" min="4" style="1" width="50.18"/>
    <col collapsed="false" customWidth="true" hidden="false" outlineLevel="0" max="5" min="5" style="37" width="12.27"/>
    <col collapsed="false" customWidth="true" hidden="false" outlineLevel="0" max="6" min="6" style="1" width="30.54"/>
    <col collapsed="false" customWidth="true" hidden="false" outlineLevel="0" max="7" min="7" style="1" width="46.45"/>
    <col collapsed="false" customWidth="true" hidden="false" outlineLevel="0" max="9" min="8" style="1" width="25.45"/>
    <col collapsed="false" customWidth="true" hidden="false" outlineLevel="0" max="10" min="10" style="1" width="14"/>
  </cols>
  <sheetData>
    <row r="1" customFormat="false" ht="14.25" hidden="false" customHeight="false" outlineLevel="0" collapsed="false">
      <c r="A1" s="38" t="s">
        <v>1415</v>
      </c>
      <c r="B1" s="39" t="s">
        <v>1416</v>
      </c>
      <c r="C1" s="40" t="s">
        <v>1417</v>
      </c>
      <c r="D1" s="38" t="s">
        <v>1418</v>
      </c>
      <c r="E1" s="37" t="s">
        <v>1419</v>
      </c>
      <c r="F1" s="37" t="s">
        <v>1420</v>
      </c>
      <c r="G1" s="37" t="s">
        <v>1421</v>
      </c>
      <c r="H1" s="40" t="s">
        <v>1771</v>
      </c>
      <c r="I1" s="40" t="s">
        <v>1772</v>
      </c>
    </row>
    <row r="2" customFormat="false" ht="14.25" hidden="false" customHeight="false" outlineLevel="0" collapsed="false">
      <c r="A2" s="41" t="s">
        <v>1713</v>
      </c>
      <c r="B2" s="41" t="s">
        <v>1614</v>
      </c>
      <c r="C2" s="42" t="s">
        <v>1773</v>
      </c>
      <c r="D2" s="41" t="s">
        <v>1617</v>
      </c>
      <c r="E2" s="41" t="n">
        <v>1</v>
      </c>
      <c r="F2" s="41" t="s">
        <v>1616</v>
      </c>
      <c r="G2" s="41" t="s">
        <v>1617</v>
      </c>
      <c r="H2" s="41" t="n">
        <v>1</v>
      </c>
      <c r="I2" s="41" t="n">
        <v>0</v>
      </c>
    </row>
    <row r="3" customFormat="false" ht="14.25" hidden="false" customHeight="false" outlineLevel="0" collapsed="false">
      <c r="A3" s="41" t="s">
        <v>1430</v>
      </c>
      <c r="B3" s="41" t="s">
        <v>1614</v>
      </c>
      <c r="C3" s="42" t="s">
        <v>1773</v>
      </c>
      <c r="D3" s="41" t="s">
        <v>1705</v>
      </c>
      <c r="E3" s="41" t="n">
        <v>1</v>
      </c>
      <c r="F3" s="41" t="s">
        <v>1616</v>
      </c>
      <c r="G3" s="41" t="s">
        <v>1617</v>
      </c>
      <c r="H3" s="41" t="n">
        <v>2</v>
      </c>
      <c r="I3" s="41" t="n">
        <v>1</v>
      </c>
    </row>
    <row r="4" customFormat="false" ht="14.25" hidden="false" customHeight="false" outlineLevel="0" collapsed="false">
      <c r="A4" s="41" t="s">
        <v>1598</v>
      </c>
      <c r="B4" s="41" t="s">
        <v>1614</v>
      </c>
      <c r="C4" s="42" t="s">
        <v>1773</v>
      </c>
      <c r="D4" s="41" t="s">
        <v>1774</v>
      </c>
      <c r="E4" s="41" t="n">
        <v>1</v>
      </c>
      <c r="F4" s="41" t="s">
        <v>1616</v>
      </c>
      <c r="G4" s="41" t="s">
        <v>1617</v>
      </c>
      <c r="H4" s="41" t="n">
        <v>3</v>
      </c>
      <c r="I4" s="41" t="n">
        <v>2</v>
      </c>
    </row>
    <row r="5" customFormat="false" ht="14.25" hidden="false" customHeight="false" outlineLevel="0" collapsed="false">
      <c r="A5" s="41" t="s">
        <v>1613</v>
      </c>
      <c r="B5" s="41" t="s">
        <v>1614</v>
      </c>
      <c r="C5" s="42" t="s">
        <v>1773</v>
      </c>
      <c r="D5" s="41" t="s">
        <v>1615</v>
      </c>
      <c r="E5" s="41" t="n">
        <v>1</v>
      </c>
      <c r="F5" s="41" t="s">
        <v>1616</v>
      </c>
      <c r="G5" s="41" t="s">
        <v>1617</v>
      </c>
      <c r="H5" s="41" t="n">
        <v>4</v>
      </c>
      <c r="I5" s="41" t="n">
        <v>3</v>
      </c>
    </row>
    <row r="6" customFormat="false" ht="14.25" hidden="false" customHeight="false" outlineLevel="0" collapsed="false">
      <c r="A6" s="41" t="s">
        <v>1720</v>
      </c>
      <c r="B6" s="41" t="s">
        <v>1614</v>
      </c>
      <c r="C6" s="42" t="s">
        <v>1773</v>
      </c>
      <c r="D6" s="41" t="s">
        <v>1775</v>
      </c>
      <c r="E6" s="41" t="n">
        <v>2</v>
      </c>
      <c r="F6" s="41" t="s">
        <v>1706</v>
      </c>
      <c r="G6" s="41" t="s">
        <v>1776</v>
      </c>
      <c r="H6" s="41" t="n">
        <v>5</v>
      </c>
      <c r="I6" s="41" t="n">
        <v>0</v>
      </c>
    </row>
    <row r="7" customFormat="false" ht="14.25" hidden="false" customHeight="false" outlineLevel="0" collapsed="false">
      <c r="A7" s="41" t="s">
        <v>1665</v>
      </c>
      <c r="B7" s="41" t="s">
        <v>1614</v>
      </c>
      <c r="C7" s="42" t="s">
        <v>1773</v>
      </c>
      <c r="D7" s="41" t="s">
        <v>1777</v>
      </c>
      <c r="E7" s="41" t="n">
        <v>2</v>
      </c>
      <c r="F7" s="41" t="s">
        <v>1706</v>
      </c>
      <c r="G7" s="41" t="s">
        <v>1776</v>
      </c>
      <c r="H7" s="41" t="n">
        <v>6</v>
      </c>
      <c r="I7" s="41" t="n">
        <v>1</v>
      </c>
    </row>
    <row r="8" customFormat="false" ht="14.25" hidden="false" customHeight="false" outlineLevel="0" collapsed="false">
      <c r="A8" s="41" t="s">
        <v>1666</v>
      </c>
      <c r="B8" s="41" t="s">
        <v>1614</v>
      </c>
      <c r="C8" s="42" t="s">
        <v>1773</v>
      </c>
      <c r="D8" s="41" t="s">
        <v>1778</v>
      </c>
      <c r="E8" s="41" t="n">
        <v>2</v>
      </c>
      <c r="F8" s="41" t="s">
        <v>1706</v>
      </c>
      <c r="G8" s="41" t="s">
        <v>1776</v>
      </c>
      <c r="H8" s="41" t="n">
        <v>7</v>
      </c>
      <c r="I8" s="41" t="n">
        <v>2</v>
      </c>
    </row>
    <row r="9" customFormat="false" ht="14.25" hidden="false" customHeight="false" outlineLevel="0" collapsed="false">
      <c r="A9" s="41" t="s">
        <v>1669</v>
      </c>
      <c r="B9" s="41" t="s">
        <v>1614</v>
      </c>
      <c r="C9" s="42" t="s">
        <v>1773</v>
      </c>
      <c r="D9" s="41" t="s">
        <v>1779</v>
      </c>
      <c r="E9" s="41" t="n">
        <v>2</v>
      </c>
      <c r="F9" s="41" t="s">
        <v>1706</v>
      </c>
      <c r="G9" s="41" t="s">
        <v>1776</v>
      </c>
      <c r="H9" s="41" t="n">
        <v>8</v>
      </c>
      <c r="I9" s="41" t="n">
        <v>3</v>
      </c>
    </row>
    <row r="10" customFormat="false" ht="14.25" hidden="false" customHeight="false" outlineLevel="0" collapsed="false">
      <c r="A10" s="41" t="s">
        <v>1682</v>
      </c>
      <c r="B10" s="41" t="s">
        <v>1780</v>
      </c>
      <c r="C10" s="41" t="s">
        <v>1781</v>
      </c>
      <c r="D10" s="41" t="s">
        <v>1782</v>
      </c>
      <c r="E10" s="41" t="n">
        <v>3</v>
      </c>
      <c r="F10" s="41" t="s">
        <v>1707</v>
      </c>
      <c r="G10" s="41" t="s">
        <v>1781</v>
      </c>
      <c r="H10" s="41" t="n">
        <v>9</v>
      </c>
      <c r="I10" s="41" t="n">
        <v>9</v>
      </c>
    </row>
    <row r="11" customFormat="false" ht="14.25" hidden="false" customHeight="false" outlineLevel="0" collapsed="false">
      <c r="A11" s="41" t="s">
        <v>1685</v>
      </c>
      <c r="B11" s="41" t="s">
        <v>1780</v>
      </c>
      <c r="C11" s="42" t="s">
        <v>1783</v>
      </c>
      <c r="D11" s="43" t="s">
        <v>1784</v>
      </c>
      <c r="E11" s="41" t="n">
        <v>3</v>
      </c>
      <c r="F11" s="41" t="s">
        <v>1707</v>
      </c>
      <c r="G11" s="41" t="s">
        <v>1781</v>
      </c>
      <c r="H11" s="41" t="n">
        <v>10</v>
      </c>
      <c r="I11" s="41" t="n">
        <v>9</v>
      </c>
    </row>
    <row r="12" customFormat="false" ht="14.25" hidden="false" customHeight="false" outlineLevel="0" collapsed="false">
      <c r="A12" s="41" t="s">
        <v>1688</v>
      </c>
      <c r="B12" s="41" t="s">
        <v>1780</v>
      </c>
      <c r="C12" s="42" t="s">
        <v>1783</v>
      </c>
      <c r="D12" s="41" t="s">
        <v>1785</v>
      </c>
      <c r="E12" s="41" t="n">
        <v>3</v>
      </c>
      <c r="F12" s="41" t="s">
        <v>1707</v>
      </c>
      <c r="G12" s="41" t="s">
        <v>1781</v>
      </c>
      <c r="H12" s="41" t="n">
        <v>11</v>
      </c>
      <c r="I12" s="41" t="n">
        <v>9</v>
      </c>
    </row>
    <row r="13" customFormat="false" ht="14.25" hidden="false" customHeight="false" outlineLevel="0" collapsed="false">
      <c r="A13" s="41" t="s">
        <v>1786</v>
      </c>
      <c r="B13" s="41" t="s">
        <v>1780</v>
      </c>
      <c r="C13" s="42" t="s">
        <v>1783</v>
      </c>
      <c r="D13" s="41" t="s">
        <v>1787</v>
      </c>
      <c r="E13" s="41" t="n">
        <v>3</v>
      </c>
      <c r="F13" s="41" t="s">
        <v>1707</v>
      </c>
      <c r="G13" s="41" t="s">
        <v>1781</v>
      </c>
      <c r="H13" s="41" t="n">
        <v>12</v>
      </c>
      <c r="I13" s="41" t="n">
        <v>9</v>
      </c>
    </row>
    <row r="14" customFormat="false" ht="14.25" hidden="false" customHeight="false" outlineLevel="0" collapsed="false">
      <c r="A14" s="41" t="s">
        <v>1788</v>
      </c>
      <c r="B14" s="41" t="s">
        <v>1780</v>
      </c>
      <c r="C14" s="42" t="s">
        <v>1783</v>
      </c>
      <c r="D14" s="41" t="s">
        <v>1789</v>
      </c>
      <c r="E14" s="41" t="n">
        <v>3</v>
      </c>
      <c r="F14" s="41" t="s">
        <v>1707</v>
      </c>
      <c r="G14" s="41" t="s">
        <v>1781</v>
      </c>
      <c r="H14" s="41"/>
      <c r="I14" s="41"/>
    </row>
    <row r="15" customFormat="false" ht="14.25" hidden="false" customHeight="false" outlineLevel="0" collapsed="false">
      <c r="A15" s="41" t="s">
        <v>1691</v>
      </c>
      <c r="B15" s="41" t="s">
        <v>1780</v>
      </c>
      <c r="C15" s="42" t="s">
        <v>1783</v>
      </c>
      <c r="D15" s="41" t="s">
        <v>1790</v>
      </c>
      <c r="E15" s="41" t="n">
        <v>3</v>
      </c>
      <c r="F15" s="41" t="s">
        <v>1707</v>
      </c>
      <c r="G15" s="41" t="s">
        <v>1781</v>
      </c>
      <c r="H15" s="41" t="n">
        <v>13</v>
      </c>
      <c r="I15" s="41" t="n">
        <v>9</v>
      </c>
    </row>
    <row r="16" customFormat="false" ht="14.25" hidden="false" customHeight="false" outlineLevel="0" collapsed="false">
      <c r="A16" s="41" t="s">
        <v>1693</v>
      </c>
      <c r="B16" s="41" t="s">
        <v>1780</v>
      </c>
      <c r="C16" s="42" t="s">
        <v>1783</v>
      </c>
      <c r="D16" s="41" t="s">
        <v>1791</v>
      </c>
      <c r="E16" s="41" t="n">
        <v>3</v>
      </c>
      <c r="F16" s="41" t="s">
        <v>1707</v>
      </c>
      <c r="G16" s="41" t="s">
        <v>1781</v>
      </c>
      <c r="H16" s="41" t="n">
        <v>14</v>
      </c>
      <c r="I16" s="41" t="n">
        <v>9</v>
      </c>
    </row>
    <row r="17" customFormat="false" ht="14.25" hidden="false" customHeight="false" outlineLevel="0" collapsed="false">
      <c r="A17" s="41" t="s">
        <v>1792</v>
      </c>
      <c r="B17" s="41" t="s">
        <v>1780</v>
      </c>
      <c r="C17" s="42" t="s">
        <v>1783</v>
      </c>
      <c r="D17" s="41" t="s">
        <v>1793</v>
      </c>
      <c r="E17" s="41" t="n">
        <v>4</v>
      </c>
      <c r="F17" s="41" t="s">
        <v>1708</v>
      </c>
      <c r="G17" s="41" t="s">
        <v>1794</v>
      </c>
      <c r="H17" s="41" t="n">
        <v>15</v>
      </c>
      <c r="I17" s="41" t="n">
        <v>9</v>
      </c>
    </row>
    <row r="18" customFormat="false" ht="14.25" hidden="false" customHeight="false" outlineLevel="0" collapsed="false">
      <c r="A18" s="41" t="s">
        <v>1795</v>
      </c>
      <c r="B18" s="41" t="s">
        <v>1780</v>
      </c>
      <c r="C18" s="42" t="s">
        <v>1783</v>
      </c>
      <c r="D18" s="41" t="s">
        <v>1796</v>
      </c>
      <c r="E18" s="41" t="n">
        <v>4</v>
      </c>
      <c r="F18" s="41" t="s">
        <v>1708</v>
      </c>
      <c r="G18" s="41" t="s">
        <v>1794</v>
      </c>
      <c r="H18" s="41" t="n">
        <v>16</v>
      </c>
      <c r="I18" s="41" t="n">
        <v>9</v>
      </c>
    </row>
    <row r="19" customFormat="false" ht="14.25" hidden="false" customHeight="false" outlineLevel="0" collapsed="false">
      <c r="A19" s="41" t="s">
        <v>1696</v>
      </c>
      <c r="B19" s="41" t="s">
        <v>1797</v>
      </c>
      <c r="C19" s="42" t="s">
        <v>1783</v>
      </c>
      <c r="D19" s="41" t="s">
        <v>1798</v>
      </c>
      <c r="E19" s="41" t="n">
        <v>5</v>
      </c>
      <c r="F19" s="41" t="s">
        <v>1709</v>
      </c>
      <c r="G19" s="41" t="s">
        <v>1799</v>
      </c>
      <c r="H19" s="41" t="n">
        <v>17</v>
      </c>
      <c r="I19" s="41" t="n">
        <v>10</v>
      </c>
    </row>
    <row r="20" customFormat="false" ht="14.25" hidden="false" customHeight="false" outlineLevel="0" collapsed="false">
      <c r="A20" s="41" t="s">
        <v>1800</v>
      </c>
      <c r="B20" s="41" t="s">
        <v>1797</v>
      </c>
      <c r="C20" s="42" t="s">
        <v>1783</v>
      </c>
      <c r="D20" s="41" t="s">
        <v>1801</v>
      </c>
      <c r="E20" s="41" t="n">
        <v>5</v>
      </c>
      <c r="F20" s="41" t="s">
        <v>1709</v>
      </c>
      <c r="G20" s="41" t="s">
        <v>1799</v>
      </c>
      <c r="H20" s="41" t="n">
        <v>18</v>
      </c>
      <c r="I20" s="41" t="n">
        <v>10</v>
      </c>
    </row>
    <row r="21" customFormat="false" ht="14.25" hidden="false" customHeight="false" outlineLevel="0" collapsed="false">
      <c r="A21" s="41" t="s">
        <v>1698</v>
      </c>
      <c r="B21" s="41" t="s">
        <v>1797</v>
      </c>
      <c r="C21" s="42" t="s">
        <v>1783</v>
      </c>
      <c r="D21" s="41" t="s">
        <v>1802</v>
      </c>
      <c r="E21" s="41" t="n">
        <v>5</v>
      </c>
      <c r="F21" s="41" t="s">
        <v>1709</v>
      </c>
      <c r="G21" s="41" t="s">
        <v>1799</v>
      </c>
      <c r="H21" s="41" t="n">
        <v>19</v>
      </c>
      <c r="I21" s="41" t="n">
        <v>10</v>
      </c>
    </row>
    <row r="22" customFormat="false" ht="14.25" hidden="false" customHeight="false" outlineLevel="0" collapsed="false">
      <c r="A22" s="41" t="s">
        <v>1700</v>
      </c>
      <c r="B22" s="41" t="s">
        <v>1797</v>
      </c>
      <c r="C22" s="42" t="s">
        <v>1783</v>
      </c>
      <c r="D22" s="41" t="s">
        <v>1803</v>
      </c>
      <c r="E22" s="41" t="n">
        <v>5</v>
      </c>
      <c r="F22" s="41" t="s">
        <v>1709</v>
      </c>
      <c r="G22" s="41" t="s">
        <v>1799</v>
      </c>
      <c r="H22" s="41" t="n">
        <v>20</v>
      </c>
      <c r="I22" s="41" t="n">
        <v>10</v>
      </c>
    </row>
    <row r="23" customFormat="false" ht="14.25" hidden="false" customHeight="false" outlineLevel="0" collapsed="false">
      <c r="A23" s="41" t="s">
        <v>1804</v>
      </c>
      <c r="B23" s="41" t="s">
        <v>1673</v>
      </c>
      <c r="C23" s="42" t="s">
        <v>1805</v>
      </c>
      <c r="D23" s="41" t="s">
        <v>1676</v>
      </c>
      <c r="E23" s="41" t="n">
        <v>6</v>
      </c>
      <c r="F23" s="41" t="s">
        <v>1675</v>
      </c>
      <c r="G23" s="41" t="s">
        <v>1676</v>
      </c>
      <c r="H23" s="41" t="n">
        <v>21</v>
      </c>
      <c r="I23" s="41" t="n">
        <v>4</v>
      </c>
    </row>
    <row r="24" customFormat="false" ht="14.25" hidden="false" customHeight="false" outlineLevel="0" collapsed="false">
      <c r="A24" s="41" t="s">
        <v>1672</v>
      </c>
      <c r="B24" s="41" t="s">
        <v>1673</v>
      </c>
      <c r="C24" s="42" t="s">
        <v>1805</v>
      </c>
      <c r="D24" s="41" t="s">
        <v>1674</v>
      </c>
      <c r="E24" s="41" t="n">
        <v>6</v>
      </c>
      <c r="F24" s="41" t="s">
        <v>1675</v>
      </c>
      <c r="G24" s="41" t="s">
        <v>1676</v>
      </c>
      <c r="H24" s="41" t="n">
        <v>22</v>
      </c>
      <c r="I24" s="41" t="n">
        <v>4</v>
      </c>
    </row>
    <row r="25" customFormat="false" ht="14.25" hidden="false" customHeight="false" outlineLevel="0" collapsed="false">
      <c r="A25" s="41" t="s">
        <v>1678</v>
      </c>
      <c r="B25" s="41" t="s">
        <v>1673</v>
      </c>
      <c r="C25" s="42" t="s">
        <v>1805</v>
      </c>
      <c r="D25" s="41" t="s">
        <v>1679</v>
      </c>
      <c r="E25" s="41" t="n">
        <v>6</v>
      </c>
      <c r="F25" s="41" t="s">
        <v>1675</v>
      </c>
      <c r="G25" s="41" t="s">
        <v>1676</v>
      </c>
      <c r="H25" s="41" t="n">
        <v>23</v>
      </c>
      <c r="I25" s="41" t="n">
        <v>4</v>
      </c>
    </row>
    <row r="26" customFormat="false" ht="14.25" hidden="false" customHeight="false" outlineLevel="0" collapsed="false">
      <c r="A26" s="41" t="s">
        <v>1806</v>
      </c>
      <c r="B26" s="41" t="s">
        <v>1673</v>
      </c>
      <c r="C26" s="42" t="s">
        <v>1805</v>
      </c>
      <c r="D26" s="41" t="s">
        <v>1807</v>
      </c>
      <c r="E26" s="41" t="n">
        <v>7</v>
      </c>
      <c r="F26" s="41" t="s">
        <v>1710</v>
      </c>
      <c r="G26" s="41" t="s">
        <v>1807</v>
      </c>
      <c r="H26" s="41" t="n">
        <v>24</v>
      </c>
      <c r="I26" s="41"/>
    </row>
    <row r="27" customFormat="false" ht="14.25" hidden="false" customHeight="false" outlineLevel="0" collapsed="false">
      <c r="A27" s="41" t="s">
        <v>1633</v>
      </c>
      <c r="B27" s="41" t="s">
        <v>1673</v>
      </c>
      <c r="C27" s="42" t="s">
        <v>1805</v>
      </c>
      <c r="D27" s="41" t="s">
        <v>1808</v>
      </c>
      <c r="E27" s="41" t="n">
        <v>7</v>
      </c>
      <c r="F27" s="41" t="s">
        <v>1710</v>
      </c>
      <c r="G27" s="41" t="s">
        <v>1807</v>
      </c>
      <c r="H27" s="41" t="n">
        <v>25</v>
      </c>
      <c r="I27" s="41" t="n">
        <v>4</v>
      </c>
    </row>
    <row r="28" customFormat="false" ht="14.25" hidden="false" customHeight="false" outlineLevel="0" collapsed="false">
      <c r="A28" s="41" t="s">
        <v>1636</v>
      </c>
      <c r="B28" s="41" t="s">
        <v>1673</v>
      </c>
      <c r="C28" s="42" t="s">
        <v>1805</v>
      </c>
      <c r="D28" s="41" t="s">
        <v>1809</v>
      </c>
      <c r="E28" s="41" t="n">
        <v>7</v>
      </c>
      <c r="F28" s="41" t="s">
        <v>1710</v>
      </c>
      <c r="G28" s="41" t="s">
        <v>1807</v>
      </c>
      <c r="H28" s="41" t="n">
        <v>26</v>
      </c>
      <c r="I28" s="41" t="n">
        <v>4</v>
      </c>
    </row>
    <row r="29" customFormat="false" ht="14.25" hidden="false" customHeight="false" outlineLevel="0" collapsed="false">
      <c r="A29" s="41" t="s">
        <v>1639</v>
      </c>
      <c r="B29" s="41" t="s">
        <v>1810</v>
      </c>
      <c r="C29" s="42" t="s">
        <v>1811</v>
      </c>
      <c r="D29" s="41" t="s">
        <v>1812</v>
      </c>
      <c r="E29" s="41" t="n">
        <v>8</v>
      </c>
      <c r="F29" s="41" t="s">
        <v>1639</v>
      </c>
      <c r="G29" s="41" t="s">
        <v>1812</v>
      </c>
      <c r="H29" s="41" t="n">
        <v>27</v>
      </c>
      <c r="I29" s="41" t="n">
        <v>5</v>
      </c>
    </row>
    <row r="30" customFormat="false" ht="14.25" hidden="false" customHeight="false" outlineLevel="0" collapsed="false">
      <c r="A30" s="41" t="s">
        <v>1642</v>
      </c>
      <c r="B30" s="41" t="s">
        <v>1813</v>
      </c>
      <c r="C30" s="42" t="s">
        <v>1814</v>
      </c>
      <c r="D30" s="41" t="s">
        <v>1815</v>
      </c>
      <c r="E30" s="41" t="n">
        <v>9</v>
      </c>
      <c r="F30" s="41" t="s">
        <v>1816</v>
      </c>
      <c r="G30" s="41" t="s">
        <v>1817</v>
      </c>
      <c r="H30" s="41" t="n">
        <v>28</v>
      </c>
      <c r="I30" s="41" t="n">
        <v>6</v>
      </c>
    </row>
    <row r="31" customFormat="false" ht="14.25" hidden="false" customHeight="false" outlineLevel="0" collapsed="false">
      <c r="A31" s="41" t="s">
        <v>1645</v>
      </c>
      <c r="B31" s="41" t="s">
        <v>1813</v>
      </c>
      <c r="C31" s="42" t="s">
        <v>1814</v>
      </c>
      <c r="D31" s="41" t="s">
        <v>1818</v>
      </c>
      <c r="E31" s="41" t="n">
        <v>9</v>
      </c>
      <c r="F31" s="41" t="s">
        <v>1816</v>
      </c>
      <c r="G31" s="41" t="s">
        <v>1817</v>
      </c>
      <c r="H31" s="41" t="n">
        <v>29</v>
      </c>
      <c r="I31" s="41" t="n">
        <v>6</v>
      </c>
    </row>
    <row r="32" customFormat="false" ht="14.25" hidden="false" customHeight="false" outlineLevel="0" collapsed="false">
      <c r="A32" s="41" t="s">
        <v>1648</v>
      </c>
      <c r="B32" s="41" t="s">
        <v>1813</v>
      </c>
      <c r="C32" s="42" t="s">
        <v>1814</v>
      </c>
      <c r="D32" s="41" t="s">
        <v>1819</v>
      </c>
      <c r="E32" s="41" t="n">
        <v>9</v>
      </c>
      <c r="F32" s="41" t="s">
        <v>1816</v>
      </c>
      <c r="G32" s="41" t="s">
        <v>1817</v>
      </c>
      <c r="H32" s="41" t="n">
        <v>30</v>
      </c>
      <c r="I32" s="41" t="n">
        <v>6</v>
      </c>
    </row>
    <row r="33" customFormat="false" ht="14.25" hidden="false" customHeight="false" outlineLevel="0" collapsed="false">
      <c r="A33" s="41" t="s">
        <v>1651</v>
      </c>
      <c r="B33" s="41" t="s">
        <v>1813</v>
      </c>
      <c r="C33" s="42" t="s">
        <v>1814</v>
      </c>
      <c r="D33" s="41" t="s">
        <v>1820</v>
      </c>
      <c r="E33" s="41" t="n">
        <v>9</v>
      </c>
      <c r="F33" s="41" t="s">
        <v>1816</v>
      </c>
      <c r="G33" s="41" t="s">
        <v>1817</v>
      </c>
      <c r="H33" s="41" t="n">
        <v>31</v>
      </c>
      <c r="I33" s="41" t="n">
        <v>6</v>
      </c>
    </row>
    <row r="34" customFormat="false" ht="14.25" hidden="false" customHeight="false" outlineLevel="0" collapsed="false">
      <c r="A34" s="41" t="s">
        <v>1821</v>
      </c>
      <c r="B34" s="41" t="s">
        <v>1813</v>
      </c>
      <c r="C34" s="42" t="s">
        <v>1814</v>
      </c>
      <c r="D34" s="41" t="s">
        <v>1822</v>
      </c>
      <c r="E34" s="41" t="n">
        <v>10</v>
      </c>
      <c r="F34" s="41" t="s">
        <v>1823</v>
      </c>
      <c r="G34" s="41" t="s">
        <v>1822</v>
      </c>
      <c r="H34" s="41" t="n">
        <v>32</v>
      </c>
      <c r="I34" s="41" t="n">
        <v>6</v>
      </c>
    </row>
    <row r="35" customFormat="false" ht="14.25" hidden="false" customHeight="false" outlineLevel="0" collapsed="false">
      <c r="A35" s="41" t="s">
        <v>1654</v>
      </c>
      <c r="B35" s="41" t="s">
        <v>1813</v>
      </c>
      <c r="C35" s="42" t="s">
        <v>1814</v>
      </c>
      <c r="D35" s="41" t="s">
        <v>1824</v>
      </c>
      <c r="E35" s="41" t="n">
        <v>11</v>
      </c>
      <c r="F35" s="41" t="s">
        <v>1825</v>
      </c>
      <c r="G35" s="41" t="s">
        <v>1826</v>
      </c>
      <c r="H35" s="41" t="n">
        <v>33</v>
      </c>
      <c r="I35" s="41" t="n">
        <v>7</v>
      </c>
    </row>
    <row r="36" customFormat="false" ht="14.25" hidden="false" customHeight="false" outlineLevel="0" collapsed="false">
      <c r="A36" s="41" t="s">
        <v>1827</v>
      </c>
      <c r="B36" s="41" t="s">
        <v>1828</v>
      </c>
      <c r="C36" s="42" t="s">
        <v>1814</v>
      </c>
      <c r="D36" s="41" t="s">
        <v>1829</v>
      </c>
      <c r="E36" s="41" t="n">
        <v>11</v>
      </c>
      <c r="F36" s="41" t="s">
        <v>1825</v>
      </c>
      <c r="G36" s="41" t="s">
        <v>1826</v>
      </c>
      <c r="H36" s="41" t="n">
        <v>34</v>
      </c>
      <c r="I36" s="41" t="n">
        <v>7</v>
      </c>
    </row>
    <row r="37" customFormat="false" ht="14.25" hidden="false" customHeight="false" outlineLevel="0" collapsed="false">
      <c r="A37" s="41" t="s">
        <v>1656</v>
      </c>
      <c r="B37" s="41" t="s">
        <v>1657</v>
      </c>
      <c r="C37" s="42" t="s">
        <v>1658</v>
      </c>
      <c r="D37" s="41" t="s">
        <v>1659</v>
      </c>
      <c r="E37" s="41" t="n">
        <v>12</v>
      </c>
      <c r="F37" s="41" t="s">
        <v>1660</v>
      </c>
      <c r="G37" s="41" t="s">
        <v>1658</v>
      </c>
      <c r="H37" s="41" t="n">
        <v>35</v>
      </c>
      <c r="I37" s="41" t="n">
        <v>8</v>
      </c>
    </row>
    <row r="38" customFormat="false" ht="14.25" hidden="false" customHeight="false" outlineLevel="0" collapsed="false">
      <c r="A38" s="41" t="s">
        <v>1830</v>
      </c>
      <c r="B38" s="41" t="s">
        <v>1657</v>
      </c>
      <c r="C38" s="42" t="s">
        <v>1658</v>
      </c>
      <c r="D38" s="41" t="s">
        <v>1831</v>
      </c>
      <c r="E38" s="41" t="n">
        <v>12</v>
      </c>
      <c r="F38" s="41" t="s">
        <v>1660</v>
      </c>
      <c r="G38" s="41" t="s">
        <v>1658</v>
      </c>
      <c r="H38" s="41" t="n">
        <v>36</v>
      </c>
      <c r="I38" s="41" t="n">
        <v>8</v>
      </c>
    </row>
    <row r="39" customFormat="false" ht="14.25" hidden="false" customHeight="false" outlineLevel="0" collapsed="false">
      <c r="A39" s="41" t="s">
        <v>1662</v>
      </c>
      <c r="B39" s="41" t="s">
        <v>1657</v>
      </c>
      <c r="C39" s="42" t="s">
        <v>1658</v>
      </c>
      <c r="D39" s="41" t="s">
        <v>1663</v>
      </c>
      <c r="E39" s="41" t="n">
        <v>12</v>
      </c>
      <c r="F39" s="41" t="s">
        <v>1660</v>
      </c>
      <c r="G39" s="41" t="s">
        <v>1658</v>
      </c>
      <c r="H39" s="41" t="n">
        <v>37</v>
      </c>
      <c r="I39" s="41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2" min="1" style="1" width="43.45"/>
    <col collapsed="false" customWidth="true" hidden="false" outlineLevel="0" max="3" min="3" style="1" width="34.18"/>
    <col collapsed="false" customWidth="true" hidden="false" outlineLevel="0" max="4" min="4" style="1" width="50.18"/>
    <col collapsed="false" customWidth="true" hidden="false" outlineLevel="0" max="5" min="5" style="37" width="12.27"/>
    <col collapsed="false" customWidth="true" hidden="false" outlineLevel="0" max="6" min="6" style="1" width="30.54"/>
    <col collapsed="false" customWidth="true" hidden="false" outlineLevel="0" max="7" min="7" style="1" width="46.45"/>
    <col collapsed="false" customWidth="true" hidden="false" outlineLevel="0" max="9" min="8" style="1" width="25.45"/>
    <col collapsed="false" customWidth="true" hidden="false" outlineLevel="0" max="10" min="10" style="1" width="14"/>
  </cols>
  <sheetData>
    <row r="1" customFormat="false" ht="14.25" hidden="false" customHeight="false" outlineLevel="0" collapsed="false">
      <c r="A1" s="38" t="s">
        <v>1415</v>
      </c>
      <c r="B1" s="39" t="s">
        <v>1416</v>
      </c>
      <c r="C1" s="40" t="s">
        <v>1417</v>
      </c>
      <c r="D1" s="38" t="s">
        <v>1418</v>
      </c>
      <c r="E1" s="37" t="s">
        <v>1419</v>
      </c>
      <c r="F1" s="37" t="s">
        <v>1420</v>
      </c>
      <c r="G1" s="37" t="s">
        <v>1421</v>
      </c>
      <c r="H1" s="40" t="s">
        <v>1771</v>
      </c>
      <c r="I1" s="40" t="s">
        <v>1772</v>
      </c>
    </row>
    <row r="2" customFormat="false" ht="14.25" hidden="false" customHeight="false" outlineLevel="0" collapsed="false">
      <c r="A2" s="41" t="s">
        <v>1713</v>
      </c>
      <c r="B2" s="41" t="s">
        <v>1614</v>
      </c>
      <c r="C2" s="42" t="s">
        <v>1773</v>
      </c>
      <c r="D2" s="41" t="s">
        <v>1617</v>
      </c>
      <c r="E2" s="41" t="n">
        <v>1</v>
      </c>
      <c r="F2" s="41" t="s">
        <v>1616</v>
      </c>
      <c r="G2" s="41" t="s">
        <v>1617</v>
      </c>
      <c r="H2" s="41" t="n">
        <v>1</v>
      </c>
      <c r="I2" s="41" t="n">
        <v>0</v>
      </c>
    </row>
    <row r="3" customFormat="false" ht="14.25" hidden="false" customHeight="false" outlineLevel="0" collapsed="false">
      <c r="A3" s="41" t="s">
        <v>1430</v>
      </c>
      <c r="B3" s="41" t="s">
        <v>1614</v>
      </c>
      <c r="C3" s="42" t="s">
        <v>1773</v>
      </c>
      <c r="D3" s="41" t="s">
        <v>1705</v>
      </c>
      <c r="E3" s="41" t="n">
        <v>1</v>
      </c>
      <c r="F3" s="41" t="s">
        <v>1616</v>
      </c>
      <c r="G3" s="41" t="s">
        <v>1617</v>
      </c>
      <c r="H3" s="41" t="n">
        <v>2</v>
      </c>
      <c r="I3" s="41" t="n">
        <v>1</v>
      </c>
    </row>
    <row r="4" customFormat="false" ht="14.25" hidden="false" customHeight="false" outlineLevel="0" collapsed="false">
      <c r="A4" s="41" t="s">
        <v>1598</v>
      </c>
      <c r="B4" s="41" t="s">
        <v>1614</v>
      </c>
      <c r="C4" s="42" t="s">
        <v>1773</v>
      </c>
      <c r="D4" s="41" t="s">
        <v>1774</v>
      </c>
      <c r="E4" s="41" t="n">
        <v>1</v>
      </c>
      <c r="F4" s="41" t="s">
        <v>1616</v>
      </c>
      <c r="G4" s="41" t="s">
        <v>1617</v>
      </c>
      <c r="H4" s="41" t="n">
        <v>3</v>
      </c>
      <c r="I4" s="41" t="n">
        <v>2</v>
      </c>
    </row>
    <row r="5" customFormat="false" ht="14.25" hidden="false" customHeight="false" outlineLevel="0" collapsed="false">
      <c r="A5" s="41" t="s">
        <v>1613</v>
      </c>
      <c r="B5" s="41" t="s">
        <v>1614</v>
      </c>
      <c r="C5" s="42" t="s">
        <v>1773</v>
      </c>
      <c r="D5" s="41" t="s">
        <v>1615</v>
      </c>
      <c r="E5" s="41" t="n">
        <v>1</v>
      </c>
      <c r="F5" s="41" t="s">
        <v>1616</v>
      </c>
      <c r="G5" s="41" t="s">
        <v>1617</v>
      </c>
      <c r="H5" s="41" t="n">
        <v>4</v>
      </c>
      <c r="I5" s="41" t="n">
        <v>3</v>
      </c>
    </row>
    <row r="6" customFormat="false" ht="14.25" hidden="false" customHeight="false" outlineLevel="0" collapsed="false">
      <c r="A6" s="41" t="s">
        <v>1720</v>
      </c>
      <c r="B6" s="41" t="s">
        <v>1614</v>
      </c>
      <c r="C6" s="42" t="s">
        <v>1773</v>
      </c>
      <c r="D6" s="41" t="s">
        <v>1775</v>
      </c>
      <c r="E6" s="41" t="n">
        <v>2</v>
      </c>
      <c r="F6" s="41" t="s">
        <v>1706</v>
      </c>
      <c r="G6" s="41" t="s">
        <v>1776</v>
      </c>
      <c r="H6" s="41" t="n">
        <v>5</v>
      </c>
      <c r="I6" s="41" t="n">
        <v>0</v>
      </c>
    </row>
    <row r="7" customFormat="false" ht="14.25" hidden="false" customHeight="false" outlineLevel="0" collapsed="false">
      <c r="A7" s="41" t="s">
        <v>1665</v>
      </c>
      <c r="B7" s="41" t="s">
        <v>1614</v>
      </c>
      <c r="C7" s="42" t="s">
        <v>1773</v>
      </c>
      <c r="D7" s="41" t="s">
        <v>1777</v>
      </c>
      <c r="E7" s="41" t="n">
        <v>2</v>
      </c>
      <c r="F7" s="41" t="s">
        <v>1706</v>
      </c>
      <c r="G7" s="41" t="s">
        <v>1776</v>
      </c>
      <c r="H7" s="41" t="n">
        <v>6</v>
      </c>
      <c r="I7" s="41" t="n">
        <v>1</v>
      </c>
    </row>
    <row r="8" customFormat="false" ht="14.25" hidden="false" customHeight="false" outlineLevel="0" collapsed="false">
      <c r="A8" s="41" t="s">
        <v>1666</v>
      </c>
      <c r="B8" s="41" t="s">
        <v>1614</v>
      </c>
      <c r="C8" s="42" t="s">
        <v>1773</v>
      </c>
      <c r="D8" s="41" t="s">
        <v>1778</v>
      </c>
      <c r="E8" s="41" t="n">
        <v>2</v>
      </c>
      <c r="F8" s="41" t="s">
        <v>1706</v>
      </c>
      <c r="G8" s="41" t="s">
        <v>1776</v>
      </c>
      <c r="H8" s="41" t="n">
        <v>7</v>
      </c>
      <c r="I8" s="41" t="n">
        <v>2</v>
      </c>
    </row>
    <row r="9" customFormat="false" ht="14.25" hidden="false" customHeight="false" outlineLevel="0" collapsed="false">
      <c r="A9" s="41" t="s">
        <v>1669</v>
      </c>
      <c r="B9" s="41" t="s">
        <v>1614</v>
      </c>
      <c r="C9" s="42" t="s">
        <v>1773</v>
      </c>
      <c r="D9" s="41" t="s">
        <v>1779</v>
      </c>
      <c r="E9" s="41" t="n">
        <v>2</v>
      </c>
      <c r="F9" s="41" t="s">
        <v>1706</v>
      </c>
      <c r="G9" s="41" t="s">
        <v>1776</v>
      </c>
      <c r="H9" s="41" t="n">
        <v>8</v>
      </c>
      <c r="I9" s="41" t="n">
        <v>3</v>
      </c>
    </row>
    <row r="10" customFormat="false" ht="14.25" hidden="false" customHeight="false" outlineLevel="0" collapsed="false">
      <c r="A10" s="41" t="s">
        <v>1682</v>
      </c>
      <c r="B10" s="41" t="s">
        <v>1780</v>
      </c>
      <c r="C10" s="41" t="s">
        <v>1781</v>
      </c>
      <c r="D10" s="41" t="s">
        <v>1782</v>
      </c>
      <c r="E10" s="41" t="n">
        <v>3</v>
      </c>
      <c r="F10" s="41" t="s">
        <v>1707</v>
      </c>
      <c r="G10" s="41" t="s">
        <v>1781</v>
      </c>
      <c r="H10" s="41" t="n">
        <v>9</v>
      </c>
      <c r="I10" s="41" t="n">
        <v>9</v>
      </c>
    </row>
    <row r="11" customFormat="false" ht="14.25" hidden="false" customHeight="false" outlineLevel="0" collapsed="false">
      <c r="A11" s="41" t="s">
        <v>1685</v>
      </c>
      <c r="B11" s="41" t="s">
        <v>1780</v>
      </c>
      <c r="C11" s="42" t="s">
        <v>1783</v>
      </c>
      <c r="D11" s="43" t="s">
        <v>1784</v>
      </c>
      <c r="E11" s="41" t="n">
        <v>3</v>
      </c>
      <c r="F11" s="41" t="s">
        <v>1707</v>
      </c>
      <c r="G11" s="41" t="s">
        <v>1781</v>
      </c>
      <c r="H11" s="41" t="n">
        <v>10</v>
      </c>
      <c r="I11" s="41" t="n">
        <v>9</v>
      </c>
    </row>
    <row r="12" customFormat="false" ht="14.25" hidden="false" customHeight="false" outlineLevel="0" collapsed="false">
      <c r="A12" s="41" t="s">
        <v>1688</v>
      </c>
      <c r="B12" s="41" t="s">
        <v>1780</v>
      </c>
      <c r="C12" s="42" t="s">
        <v>1783</v>
      </c>
      <c r="D12" s="41" t="s">
        <v>1785</v>
      </c>
      <c r="E12" s="41" t="n">
        <v>3</v>
      </c>
      <c r="F12" s="41" t="s">
        <v>1707</v>
      </c>
      <c r="G12" s="41" t="s">
        <v>1781</v>
      </c>
      <c r="H12" s="41" t="n">
        <v>11</v>
      </c>
      <c r="I12" s="41" t="n">
        <v>9</v>
      </c>
    </row>
    <row r="13" customFormat="false" ht="14.25" hidden="false" customHeight="false" outlineLevel="0" collapsed="false">
      <c r="A13" s="41" t="s">
        <v>1786</v>
      </c>
      <c r="B13" s="41" t="s">
        <v>1780</v>
      </c>
      <c r="C13" s="42" t="s">
        <v>1783</v>
      </c>
      <c r="D13" s="41" t="s">
        <v>1787</v>
      </c>
      <c r="E13" s="41" t="n">
        <v>3</v>
      </c>
      <c r="F13" s="41" t="s">
        <v>1707</v>
      </c>
      <c r="G13" s="41" t="s">
        <v>1781</v>
      </c>
      <c r="H13" s="41" t="n">
        <v>12</v>
      </c>
      <c r="I13" s="41" t="n">
        <v>9</v>
      </c>
    </row>
    <row r="14" customFormat="false" ht="14.25" hidden="false" customHeight="false" outlineLevel="0" collapsed="false">
      <c r="A14" s="41" t="s">
        <v>1788</v>
      </c>
      <c r="B14" s="41" t="s">
        <v>1780</v>
      </c>
      <c r="C14" s="42" t="s">
        <v>1783</v>
      </c>
      <c r="D14" s="41" t="s">
        <v>1789</v>
      </c>
      <c r="E14" s="41" t="n">
        <v>3</v>
      </c>
      <c r="F14" s="41" t="s">
        <v>1707</v>
      </c>
      <c r="G14" s="41" t="s">
        <v>1781</v>
      </c>
      <c r="H14" s="41"/>
      <c r="I14" s="41"/>
    </row>
    <row r="15" customFormat="false" ht="14.25" hidden="false" customHeight="false" outlineLevel="0" collapsed="false">
      <c r="A15" s="41" t="s">
        <v>1691</v>
      </c>
      <c r="B15" s="41" t="s">
        <v>1780</v>
      </c>
      <c r="C15" s="42" t="s">
        <v>1783</v>
      </c>
      <c r="D15" s="41" t="s">
        <v>1790</v>
      </c>
      <c r="E15" s="41" t="n">
        <v>3</v>
      </c>
      <c r="F15" s="41" t="s">
        <v>1707</v>
      </c>
      <c r="G15" s="41" t="s">
        <v>1781</v>
      </c>
      <c r="H15" s="41" t="n">
        <v>13</v>
      </c>
      <c r="I15" s="41" t="n">
        <v>9</v>
      </c>
    </row>
    <row r="16" customFormat="false" ht="14.25" hidden="false" customHeight="false" outlineLevel="0" collapsed="false">
      <c r="A16" s="41" t="s">
        <v>1693</v>
      </c>
      <c r="B16" s="41" t="s">
        <v>1780</v>
      </c>
      <c r="C16" s="42" t="s">
        <v>1783</v>
      </c>
      <c r="D16" s="41" t="s">
        <v>1791</v>
      </c>
      <c r="E16" s="41" t="n">
        <v>3</v>
      </c>
      <c r="F16" s="41" t="s">
        <v>1707</v>
      </c>
      <c r="G16" s="41" t="s">
        <v>1781</v>
      </c>
      <c r="H16" s="41" t="n">
        <v>14</v>
      </c>
      <c r="I16" s="41" t="n">
        <v>9</v>
      </c>
    </row>
    <row r="17" customFormat="false" ht="14.25" hidden="false" customHeight="false" outlineLevel="0" collapsed="false">
      <c r="A17" s="41" t="s">
        <v>1792</v>
      </c>
      <c r="B17" s="41" t="s">
        <v>1780</v>
      </c>
      <c r="C17" s="42" t="s">
        <v>1783</v>
      </c>
      <c r="D17" s="41" t="s">
        <v>1793</v>
      </c>
      <c r="E17" s="41" t="n">
        <v>4</v>
      </c>
      <c r="F17" s="41" t="s">
        <v>1708</v>
      </c>
      <c r="G17" s="41" t="s">
        <v>1794</v>
      </c>
      <c r="H17" s="41" t="n">
        <v>15</v>
      </c>
      <c r="I17" s="41" t="n">
        <v>9</v>
      </c>
    </row>
    <row r="18" customFormat="false" ht="14.25" hidden="false" customHeight="false" outlineLevel="0" collapsed="false">
      <c r="A18" s="41" t="s">
        <v>1795</v>
      </c>
      <c r="B18" s="41" t="s">
        <v>1780</v>
      </c>
      <c r="C18" s="42" t="s">
        <v>1783</v>
      </c>
      <c r="D18" s="41" t="s">
        <v>1796</v>
      </c>
      <c r="E18" s="41" t="n">
        <v>4</v>
      </c>
      <c r="F18" s="41" t="s">
        <v>1708</v>
      </c>
      <c r="G18" s="41" t="s">
        <v>1794</v>
      </c>
      <c r="H18" s="41" t="n">
        <v>16</v>
      </c>
      <c r="I18" s="41" t="n">
        <v>9</v>
      </c>
    </row>
    <row r="19" customFormat="false" ht="14.25" hidden="false" customHeight="false" outlineLevel="0" collapsed="false">
      <c r="A19" s="41" t="s">
        <v>1696</v>
      </c>
      <c r="B19" s="41" t="s">
        <v>1797</v>
      </c>
      <c r="C19" s="42" t="s">
        <v>1783</v>
      </c>
      <c r="D19" s="41" t="s">
        <v>1798</v>
      </c>
      <c r="E19" s="41" t="n">
        <v>5</v>
      </c>
      <c r="F19" s="41" t="s">
        <v>1709</v>
      </c>
      <c r="G19" s="41" t="s">
        <v>1799</v>
      </c>
      <c r="H19" s="41" t="n">
        <v>17</v>
      </c>
      <c r="I19" s="41" t="n">
        <v>10</v>
      </c>
    </row>
    <row r="20" customFormat="false" ht="14.25" hidden="false" customHeight="false" outlineLevel="0" collapsed="false">
      <c r="A20" s="41" t="s">
        <v>1800</v>
      </c>
      <c r="B20" s="41" t="s">
        <v>1797</v>
      </c>
      <c r="C20" s="42" t="s">
        <v>1783</v>
      </c>
      <c r="D20" s="41" t="s">
        <v>1801</v>
      </c>
      <c r="E20" s="41" t="n">
        <v>5</v>
      </c>
      <c r="F20" s="41" t="s">
        <v>1709</v>
      </c>
      <c r="G20" s="41" t="s">
        <v>1799</v>
      </c>
      <c r="H20" s="41" t="n">
        <v>18</v>
      </c>
      <c r="I20" s="41" t="n">
        <v>10</v>
      </c>
    </row>
    <row r="21" customFormat="false" ht="14.25" hidden="false" customHeight="false" outlineLevel="0" collapsed="false">
      <c r="A21" s="41" t="s">
        <v>1698</v>
      </c>
      <c r="B21" s="41" t="s">
        <v>1797</v>
      </c>
      <c r="C21" s="42" t="s">
        <v>1783</v>
      </c>
      <c r="D21" s="41" t="s">
        <v>1802</v>
      </c>
      <c r="E21" s="41" t="n">
        <v>5</v>
      </c>
      <c r="F21" s="41" t="s">
        <v>1709</v>
      </c>
      <c r="G21" s="41" t="s">
        <v>1799</v>
      </c>
      <c r="H21" s="41" t="n">
        <v>19</v>
      </c>
      <c r="I21" s="41" t="n">
        <v>10</v>
      </c>
    </row>
    <row r="22" customFormat="false" ht="14.25" hidden="false" customHeight="false" outlineLevel="0" collapsed="false">
      <c r="A22" s="41" t="s">
        <v>1700</v>
      </c>
      <c r="B22" s="41" t="s">
        <v>1797</v>
      </c>
      <c r="C22" s="42" t="s">
        <v>1783</v>
      </c>
      <c r="D22" s="41" t="s">
        <v>1803</v>
      </c>
      <c r="E22" s="41" t="n">
        <v>5</v>
      </c>
      <c r="F22" s="41" t="s">
        <v>1709</v>
      </c>
      <c r="G22" s="41" t="s">
        <v>1799</v>
      </c>
      <c r="H22" s="41" t="n">
        <v>20</v>
      </c>
      <c r="I22" s="41" t="n">
        <v>10</v>
      </c>
    </row>
    <row r="23" customFormat="false" ht="14.25" hidden="false" customHeight="false" outlineLevel="0" collapsed="false">
      <c r="A23" s="41" t="s">
        <v>1804</v>
      </c>
      <c r="B23" s="41" t="s">
        <v>1673</v>
      </c>
      <c r="C23" s="42" t="s">
        <v>1805</v>
      </c>
      <c r="D23" s="41" t="s">
        <v>1676</v>
      </c>
      <c r="E23" s="41" t="n">
        <v>6</v>
      </c>
      <c r="F23" s="41" t="s">
        <v>1675</v>
      </c>
      <c r="G23" s="41" t="s">
        <v>1676</v>
      </c>
      <c r="H23" s="41" t="n">
        <v>21</v>
      </c>
      <c r="I23" s="41" t="n">
        <v>4</v>
      </c>
    </row>
    <row r="24" customFormat="false" ht="14.25" hidden="false" customHeight="false" outlineLevel="0" collapsed="false">
      <c r="A24" s="41" t="s">
        <v>1672</v>
      </c>
      <c r="B24" s="41" t="s">
        <v>1673</v>
      </c>
      <c r="C24" s="42" t="s">
        <v>1805</v>
      </c>
      <c r="D24" s="41" t="s">
        <v>1674</v>
      </c>
      <c r="E24" s="41" t="n">
        <v>6</v>
      </c>
      <c r="F24" s="41" t="s">
        <v>1675</v>
      </c>
      <c r="G24" s="41" t="s">
        <v>1676</v>
      </c>
      <c r="H24" s="41" t="n">
        <v>22</v>
      </c>
      <c r="I24" s="41" t="n">
        <v>4</v>
      </c>
    </row>
    <row r="25" customFormat="false" ht="14.25" hidden="false" customHeight="false" outlineLevel="0" collapsed="false">
      <c r="A25" s="41" t="s">
        <v>1678</v>
      </c>
      <c r="B25" s="41" t="s">
        <v>1673</v>
      </c>
      <c r="C25" s="42" t="s">
        <v>1805</v>
      </c>
      <c r="D25" s="41" t="s">
        <v>1679</v>
      </c>
      <c r="E25" s="41" t="n">
        <v>6</v>
      </c>
      <c r="F25" s="41" t="s">
        <v>1675</v>
      </c>
      <c r="G25" s="41" t="s">
        <v>1676</v>
      </c>
      <c r="H25" s="41" t="n">
        <v>23</v>
      </c>
      <c r="I25" s="41" t="n">
        <v>4</v>
      </c>
    </row>
    <row r="26" customFormat="false" ht="14.25" hidden="false" customHeight="false" outlineLevel="0" collapsed="false">
      <c r="A26" s="41" t="s">
        <v>1806</v>
      </c>
      <c r="B26" s="41" t="s">
        <v>1673</v>
      </c>
      <c r="C26" s="42" t="s">
        <v>1805</v>
      </c>
      <c r="D26" s="41" t="s">
        <v>1807</v>
      </c>
      <c r="E26" s="41" t="n">
        <v>7</v>
      </c>
      <c r="F26" s="41" t="s">
        <v>1710</v>
      </c>
      <c r="G26" s="41" t="s">
        <v>1807</v>
      </c>
      <c r="H26" s="41" t="n">
        <v>24</v>
      </c>
      <c r="I26" s="41"/>
    </row>
    <row r="27" customFormat="false" ht="14.25" hidden="false" customHeight="false" outlineLevel="0" collapsed="false">
      <c r="A27" s="41" t="s">
        <v>1633</v>
      </c>
      <c r="B27" s="41" t="s">
        <v>1673</v>
      </c>
      <c r="C27" s="42" t="s">
        <v>1805</v>
      </c>
      <c r="D27" s="41" t="s">
        <v>1808</v>
      </c>
      <c r="E27" s="41" t="n">
        <v>7</v>
      </c>
      <c r="F27" s="41" t="s">
        <v>1710</v>
      </c>
      <c r="G27" s="41" t="s">
        <v>1807</v>
      </c>
      <c r="H27" s="41" t="n">
        <v>25</v>
      </c>
      <c r="I27" s="41" t="n">
        <v>4</v>
      </c>
    </row>
    <row r="28" customFormat="false" ht="14.25" hidden="false" customHeight="false" outlineLevel="0" collapsed="false">
      <c r="A28" s="41" t="s">
        <v>1636</v>
      </c>
      <c r="B28" s="41" t="s">
        <v>1673</v>
      </c>
      <c r="C28" s="42" t="s">
        <v>1805</v>
      </c>
      <c r="D28" s="41" t="s">
        <v>1809</v>
      </c>
      <c r="E28" s="41" t="n">
        <v>7</v>
      </c>
      <c r="F28" s="41" t="s">
        <v>1710</v>
      </c>
      <c r="G28" s="41" t="s">
        <v>1807</v>
      </c>
      <c r="H28" s="41" t="n">
        <v>26</v>
      </c>
      <c r="I28" s="41" t="n">
        <v>4</v>
      </c>
    </row>
    <row r="29" customFormat="false" ht="14.25" hidden="false" customHeight="false" outlineLevel="0" collapsed="false">
      <c r="A29" s="41" t="s">
        <v>1639</v>
      </c>
      <c r="B29" s="41" t="s">
        <v>1810</v>
      </c>
      <c r="C29" s="42" t="s">
        <v>1811</v>
      </c>
      <c r="D29" s="41" t="s">
        <v>1812</v>
      </c>
      <c r="E29" s="41" t="n">
        <v>8</v>
      </c>
      <c r="F29" s="41" t="s">
        <v>1639</v>
      </c>
      <c r="G29" s="41" t="s">
        <v>1812</v>
      </c>
      <c r="H29" s="41" t="n">
        <v>27</v>
      </c>
      <c r="I29" s="41" t="n">
        <v>5</v>
      </c>
    </row>
    <row r="30" customFormat="false" ht="14.25" hidden="false" customHeight="false" outlineLevel="0" collapsed="false">
      <c r="A30" s="41" t="s">
        <v>1642</v>
      </c>
      <c r="B30" s="41" t="s">
        <v>1813</v>
      </c>
      <c r="C30" s="42" t="s">
        <v>1814</v>
      </c>
      <c r="D30" s="41" t="s">
        <v>1815</v>
      </c>
      <c r="E30" s="41" t="n">
        <v>9</v>
      </c>
      <c r="F30" s="41" t="s">
        <v>1816</v>
      </c>
      <c r="G30" s="41" t="s">
        <v>1817</v>
      </c>
      <c r="H30" s="41" t="n">
        <v>28</v>
      </c>
      <c r="I30" s="41" t="n">
        <v>6</v>
      </c>
    </row>
    <row r="31" customFormat="false" ht="14.25" hidden="false" customHeight="false" outlineLevel="0" collapsed="false">
      <c r="A31" s="41" t="s">
        <v>1645</v>
      </c>
      <c r="B31" s="41" t="s">
        <v>1813</v>
      </c>
      <c r="C31" s="42" t="s">
        <v>1814</v>
      </c>
      <c r="D31" s="41" t="s">
        <v>1818</v>
      </c>
      <c r="E31" s="41" t="n">
        <v>9</v>
      </c>
      <c r="F31" s="41" t="s">
        <v>1816</v>
      </c>
      <c r="G31" s="41" t="s">
        <v>1817</v>
      </c>
      <c r="H31" s="41" t="n">
        <v>29</v>
      </c>
      <c r="I31" s="41" t="n">
        <v>6</v>
      </c>
    </row>
    <row r="32" customFormat="false" ht="14.25" hidden="false" customHeight="false" outlineLevel="0" collapsed="false">
      <c r="A32" s="41" t="s">
        <v>1648</v>
      </c>
      <c r="B32" s="41" t="s">
        <v>1813</v>
      </c>
      <c r="C32" s="42" t="s">
        <v>1814</v>
      </c>
      <c r="D32" s="41" t="s">
        <v>1819</v>
      </c>
      <c r="E32" s="41" t="n">
        <v>9</v>
      </c>
      <c r="F32" s="41" t="s">
        <v>1816</v>
      </c>
      <c r="G32" s="41" t="s">
        <v>1817</v>
      </c>
      <c r="H32" s="41" t="n">
        <v>30</v>
      </c>
      <c r="I32" s="41" t="n">
        <v>6</v>
      </c>
    </row>
    <row r="33" customFormat="false" ht="14.25" hidden="false" customHeight="false" outlineLevel="0" collapsed="false">
      <c r="A33" s="41" t="s">
        <v>1651</v>
      </c>
      <c r="B33" s="41" t="s">
        <v>1813</v>
      </c>
      <c r="C33" s="42" t="s">
        <v>1814</v>
      </c>
      <c r="D33" s="41" t="s">
        <v>1820</v>
      </c>
      <c r="E33" s="41" t="n">
        <v>9</v>
      </c>
      <c r="F33" s="41" t="s">
        <v>1816</v>
      </c>
      <c r="G33" s="41" t="s">
        <v>1817</v>
      </c>
      <c r="H33" s="41" t="n">
        <v>31</v>
      </c>
      <c r="I33" s="41" t="n">
        <v>6</v>
      </c>
    </row>
    <row r="34" customFormat="false" ht="14.25" hidden="false" customHeight="false" outlineLevel="0" collapsed="false">
      <c r="A34" s="41" t="s">
        <v>1821</v>
      </c>
      <c r="B34" s="41" t="s">
        <v>1813</v>
      </c>
      <c r="C34" s="42" t="s">
        <v>1814</v>
      </c>
      <c r="D34" s="41" t="s">
        <v>1822</v>
      </c>
      <c r="E34" s="41" t="n">
        <v>10</v>
      </c>
      <c r="F34" s="41" t="s">
        <v>1823</v>
      </c>
      <c r="G34" s="41" t="s">
        <v>1822</v>
      </c>
      <c r="H34" s="41" t="n">
        <v>32</v>
      </c>
      <c r="I34" s="41" t="n">
        <v>6</v>
      </c>
    </row>
    <row r="35" customFormat="false" ht="14.25" hidden="false" customHeight="false" outlineLevel="0" collapsed="false">
      <c r="A35" s="41" t="s">
        <v>1654</v>
      </c>
      <c r="B35" s="41" t="s">
        <v>1813</v>
      </c>
      <c r="C35" s="42" t="s">
        <v>1814</v>
      </c>
      <c r="D35" s="41" t="s">
        <v>1824</v>
      </c>
      <c r="E35" s="41" t="n">
        <v>11</v>
      </c>
      <c r="F35" s="41" t="s">
        <v>1825</v>
      </c>
      <c r="G35" s="41" t="s">
        <v>1826</v>
      </c>
      <c r="H35" s="41" t="n">
        <v>33</v>
      </c>
      <c r="I35" s="41" t="n">
        <v>7</v>
      </c>
    </row>
    <row r="36" customFormat="false" ht="14.25" hidden="false" customHeight="false" outlineLevel="0" collapsed="false">
      <c r="A36" s="41" t="s">
        <v>1827</v>
      </c>
      <c r="B36" s="41" t="s">
        <v>1828</v>
      </c>
      <c r="C36" s="42" t="s">
        <v>1814</v>
      </c>
      <c r="D36" s="41" t="s">
        <v>1829</v>
      </c>
      <c r="E36" s="41" t="n">
        <v>11</v>
      </c>
      <c r="F36" s="41" t="s">
        <v>1825</v>
      </c>
      <c r="G36" s="41" t="s">
        <v>1826</v>
      </c>
      <c r="H36" s="41" t="n">
        <v>34</v>
      </c>
      <c r="I36" s="41" t="n">
        <v>7</v>
      </c>
    </row>
    <row r="37" customFormat="false" ht="14.25" hidden="false" customHeight="false" outlineLevel="0" collapsed="false">
      <c r="A37" s="41" t="s">
        <v>1656</v>
      </c>
      <c r="B37" s="41" t="s">
        <v>1657</v>
      </c>
      <c r="C37" s="42" t="s">
        <v>1658</v>
      </c>
      <c r="D37" s="41" t="s">
        <v>1659</v>
      </c>
      <c r="E37" s="41" t="n">
        <v>12</v>
      </c>
      <c r="F37" s="41" t="s">
        <v>1660</v>
      </c>
      <c r="G37" s="41" t="s">
        <v>1658</v>
      </c>
      <c r="H37" s="41" t="n">
        <v>35</v>
      </c>
      <c r="I37" s="41" t="n">
        <v>8</v>
      </c>
    </row>
    <row r="38" customFormat="false" ht="14.25" hidden="false" customHeight="false" outlineLevel="0" collapsed="false">
      <c r="A38" s="41" t="s">
        <v>1830</v>
      </c>
      <c r="B38" s="41" t="s">
        <v>1657</v>
      </c>
      <c r="C38" s="42" t="s">
        <v>1658</v>
      </c>
      <c r="D38" s="41" t="s">
        <v>1831</v>
      </c>
      <c r="E38" s="41" t="n">
        <v>12</v>
      </c>
      <c r="F38" s="41" t="s">
        <v>1660</v>
      </c>
      <c r="G38" s="41" t="s">
        <v>1658</v>
      </c>
      <c r="H38" s="41" t="n">
        <v>36</v>
      </c>
      <c r="I38" s="41" t="n">
        <v>8</v>
      </c>
    </row>
    <row r="39" customFormat="false" ht="14.25" hidden="false" customHeight="false" outlineLevel="0" collapsed="false">
      <c r="A39" s="41" t="s">
        <v>1662</v>
      </c>
      <c r="B39" s="41" t="s">
        <v>1657</v>
      </c>
      <c r="C39" s="42" t="s">
        <v>1658</v>
      </c>
      <c r="D39" s="41" t="s">
        <v>1663</v>
      </c>
      <c r="E39" s="41" t="n">
        <v>12</v>
      </c>
      <c r="F39" s="41" t="s">
        <v>1660</v>
      </c>
      <c r="G39" s="41" t="s">
        <v>1658</v>
      </c>
      <c r="H39" s="41" t="n">
        <v>37</v>
      </c>
      <c r="I39" s="41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26.18"/>
    <col collapsed="false" customWidth="true" hidden="false" outlineLevel="0" max="2" min="2" style="1" width="51.63"/>
    <col collapsed="false" customWidth="true" hidden="false" outlineLevel="0" max="3" min="3" style="1" width="1.82"/>
  </cols>
  <sheetData>
    <row r="1" customFormat="false" ht="14.25" hidden="false" customHeight="false" outlineLevel="0" collapsed="false">
      <c r="A1" s="44" t="s">
        <v>1832</v>
      </c>
      <c r="B1" s="44" t="s">
        <v>1833</v>
      </c>
      <c r="C1" s="44" t="s">
        <v>1834</v>
      </c>
    </row>
    <row r="2" customFormat="false" ht="14.25" hidden="false" customHeight="false" outlineLevel="0" collapsed="false">
      <c r="A2" s="1" t="s">
        <v>1835</v>
      </c>
      <c r="B2" s="1" t="s">
        <v>1617</v>
      </c>
      <c r="C2" s="1" t="n">
        <v>1</v>
      </c>
    </row>
    <row r="3" customFormat="false" ht="14.25" hidden="false" customHeight="false" outlineLevel="0" collapsed="false">
      <c r="A3" s="1" t="s">
        <v>1836</v>
      </c>
      <c r="B3" s="1" t="s">
        <v>1776</v>
      </c>
      <c r="C3" s="1" t="n">
        <v>2</v>
      </c>
    </row>
    <row r="4" customFormat="false" ht="14.25" hidden="false" customHeight="false" outlineLevel="0" collapsed="false">
      <c r="A4" s="1" t="s">
        <v>1837</v>
      </c>
      <c r="B4" s="1" t="s">
        <v>1811</v>
      </c>
      <c r="C4" s="1" t="n">
        <v>3</v>
      </c>
    </row>
    <row r="5" customFormat="false" ht="14.25" hidden="false" customHeight="false" outlineLevel="0" collapsed="false">
      <c r="A5" s="1" t="s">
        <v>1838</v>
      </c>
      <c r="B5" s="1" t="s">
        <v>1839</v>
      </c>
      <c r="C5" s="1" t="n">
        <v>4</v>
      </c>
    </row>
    <row r="6" customFormat="false" ht="14.25" hidden="false" customHeight="false" outlineLevel="0" collapsed="false">
      <c r="A6" s="1" t="s">
        <v>1840</v>
      </c>
      <c r="B6" s="1" t="s">
        <v>1841</v>
      </c>
      <c r="C6" s="1" t="n">
        <v>5</v>
      </c>
    </row>
    <row r="7" customFormat="false" ht="14.25" hidden="false" customHeight="false" outlineLevel="0" collapsed="false">
      <c r="A7" s="1" t="s">
        <v>1842</v>
      </c>
      <c r="B7" s="1" t="s">
        <v>1843</v>
      </c>
      <c r="C7" s="1" t="n">
        <v>6</v>
      </c>
    </row>
    <row r="8" customFormat="false" ht="14.25" hidden="false" customHeight="false" outlineLevel="0" collapsed="false">
      <c r="A8" s="1" t="s">
        <v>1844</v>
      </c>
      <c r="B8" s="1" t="s">
        <v>1845</v>
      </c>
      <c r="C8" s="1" t="n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88" activeCellId="0" sqref="A388"/>
    </sheetView>
  </sheetViews>
  <sheetFormatPr defaultColWidth="28.82421875" defaultRowHeight="14.25" customHeight="false" zeroHeight="false" outlineLevelRow="0" outlineLevelCol="0"/>
  <cols>
    <col collapsed="false" customWidth="true" hidden="false" outlineLevel="0" max="6" min="6" style="1" width="49.18"/>
    <col collapsed="false" customWidth="true" hidden="false" outlineLevel="0" max="7" min="7" style="1" width="26"/>
    <col collapsed="false" customWidth="true" hidden="false" outlineLevel="0" max="8" min="8" style="1" width="21.36"/>
    <col collapsed="false" customWidth="true" hidden="false" outlineLevel="0" max="9" min="9" style="1" width="30.27"/>
    <col collapsed="false" customWidth="true" hidden="false" outlineLevel="0" max="10" min="10" style="1" width="19.73"/>
    <col collapsed="false" customWidth="true" hidden="false" outlineLevel="0" max="11" min="11" style="1" width="29.91"/>
    <col collapsed="false" customWidth="true" hidden="false" outlineLevel="0" max="12" min="12" style="1" width="49.82"/>
  </cols>
  <sheetData>
    <row r="1" customFormat="false" ht="14.25" hidden="false" customHeight="false" outlineLevel="0" collapsed="false">
      <c r="A1" s="45" t="s">
        <v>1</v>
      </c>
      <c r="B1" s="46" t="s">
        <v>1832</v>
      </c>
      <c r="C1" s="46" t="s">
        <v>1833</v>
      </c>
      <c r="D1" s="46" t="s">
        <v>1834</v>
      </c>
      <c r="E1" s="46" t="s">
        <v>1846</v>
      </c>
      <c r="F1" s="46" t="s">
        <v>1847</v>
      </c>
      <c r="G1" s="47" t="s">
        <v>1848</v>
      </c>
      <c r="H1" s="47" t="s">
        <v>1849</v>
      </c>
      <c r="I1" s="48" t="s">
        <v>1850</v>
      </c>
      <c r="J1" s="48" t="s">
        <v>1851</v>
      </c>
      <c r="K1" s="49" t="s">
        <v>1852</v>
      </c>
      <c r="L1" s="49" t="s">
        <v>1853</v>
      </c>
      <c r="M1" s="49" t="s">
        <v>1854</v>
      </c>
      <c r="N1" s="49" t="s">
        <v>1855</v>
      </c>
      <c r="O1" s="49" t="s">
        <v>1856</v>
      </c>
      <c r="P1" s="49" t="s">
        <v>1857</v>
      </c>
      <c r="Q1" s="49" t="s">
        <v>1858</v>
      </c>
      <c r="R1" s="49" t="s">
        <v>1859</v>
      </c>
      <c r="S1" s="49" t="s">
        <v>1860</v>
      </c>
      <c r="T1" s="50" t="s">
        <v>1861</v>
      </c>
    </row>
    <row r="2" customFormat="false" ht="14.25" hidden="false" customHeight="false" outlineLevel="0" collapsed="false">
      <c r="A2" s="51" t="s">
        <v>3</v>
      </c>
      <c r="B2" s="52" t="s">
        <v>1835</v>
      </c>
      <c r="C2" s="53" t="str">
        <f aca="false">VLOOKUP(B2, AT_FILAS!$A$2:$C$8,2,FALSE())</f>
        <v>Producción</v>
      </c>
      <c r="D2" s="54" t="n">
        <f aca="false">VLOOKUP(B2, AT_FILAS!$A$2:$C$8,3,FALSE())</f>
        <v>1</v>
      </c>
      <c r="E2" s="55" t="s">
        <v>1862</v>
      </c>
      <c r="F2" s="55" t="s">
        <v>1863</v>
      </c>
      <c r="G2" s="21" t="s">
        <v>1864</v>
      </c>
      <c r="H2" s="21" t="n">
        <v>1</v>
      </c>
      <c r="I2" s="21" t="s">
        <v>1865</v>
      </c>
      <c r="J2" s="21" t="s">
        <v>1866</v>
      </c>
      <c r="K2" s="21" t="n">
        <v>1</v>
      </c>
      <c r="L2" s="56" t="str">
        <f aca="false">VLOOKUP(K2,clasif_filas!$A$2:$J$39,2,FALSE())</f>
        <v>Productos de la agricultura, la horticultura y la jardinería comercial</v>
      </c>
      <c r="M2" s="56" t="n">
        <f aca="false">VLOOKUP(K2,clasif_filas!$A$2:$J$39,3,FALSE())</f>
        <v>1</v>
      </c>
      <c r="N2" s="56" t="str">
        <f aca="false">VLOOKUP(K2,clasif_filas!$A$2:$J$39,4,FALSE())</f>
        <v>Productos de la agricultura, la horticultura y la jardinería comercial</v>
      </c>
      <c r="O2" s="56" t="n">
        <f aca="false">VLOOKUP(K2,clasif_filas!$A$2:$J$39,5,FALSE())</f>
        <v>1</v>
      </c>
      <c r="P2" s="56" t="str">
        <f aca="false">VLOOKUP(K2,clasif_filas!$A$2:$J$39,6,FALSE())</f>
        <v>Biomasa que se cultiva para producir alimentos, forrajes, fibras y energía</v>
      </c>
      <c r="Q2" s="56" t="n">
        <f aca="false">VLOOKUP(K2,clasif_filas!$A$2:$J$39,7,FALSE())</f>
        <v>0</v>
      </c>
      <c r="R2" s="56" t="str">
        <f aca="false">VLOOKUP(K2,clasif_filas!$A$2:$J$39,8,FALSE())</f>
        <v>Productos de la agricultura, la silvicultura yla pesca</v>
      </c>
      <c r="S2" s="56" t="n">
        <f aca="false">VLOOKUP(K2,clasif_filas!$A$2:$J$39,9,FALSE())</f>
        <v>1</v>
      </c>
      <c r="T2" s="57" t="str">
        <f aca="false">VLOOKUP(K2,clasif_filas!$A$2:$J$39,10,FALSE())</f>
        <v>Bioeconomía</v>
      </c>
    </row>
    <row r="3" customFormat="false" ht="14.25" hidden="false" customHeight="false" outlineLevel="0" collapsed="false">
      <c r="A3" s="29" t="s">
        <v>5</v>
      </c>
      <c r="B3" s="58" t="s">
        <v>1835</v>
      </c>
      <c r="C3" s="58" t="str">
        <f aca="false">VLOOKUP(B3, AT_FILAS!$A$2:$C$8,2,FALSE())</f>
        <v>Producción</v>
      </c>
      <c r="D3" s="59" t="n">
        <f aca="false">VLOOKUP(B3, AT_FILAS!$A$2:$C$8,3,FALSE())</f>
        <v>1</v>
      </c>
      <c r="E3" s="60" t="s">
        <v>1867</v>
      </c>
      <c r="F3" s="60" t="s">
        <v>1868</v>
      </c>
      <c r="G3" s="21" t="s">
        <v>1864</v>
      </c>
      <c r="H3" s="21" t="n">
        <v>1</v>
      </c>
      <c r="I3" s="21" t="s">
        <v>1865</v>
      </c>
      <c r="J3" s="21" t="s">
        <v>1866</v>
      </c>
      <c r="K3" s="21" t="n">
        <v>1</v>
      </c>
      <c r="L3" s="21" t="str">
        <f aca="false">VLOOKUP(K3,clasif_filas!$A$2:$J$39,2,FALSE())</f>
        <v>Productos de la agricultura, la horticultura y la jardinería comercial</v>
      </c>
      <c r="M3" s="21" t="n">
        <f aca="false">VLOOKUP(K3,clasif_filas!$A$2:$J$39,3,FALSE())</f>
        <v>1</v>
      </c>
      <c r="N3" s="21" t="str">
        <f aca="false">VLOOKUP(K3,clasif_filas!$A$2:$J$39,4,FALSE())</f>
        <v>Productos de la agricultura, la horticultura y la jardinería comercial</v>
      </c>
      <c r="O3" s="21" t="n">
        <f aca="false">VLOOKUP(K3,clasif_filas!$A$2:$J$39,5,FALSE())</f>
        <v>1</v>
      </c>
      <c r="P3" s="21" t="str">
        <f aca="false">VLOOKUP(K3,clasif_filas!$A$2:$J$39,6,FALSE())</f>
        <v>Biomasa que se cultiva para producir alimentos, forrajes, fibras y energía</v>
      </c>
      <c r="Q3" s="21" t="n">
        <f aca="false">VLOOKUP(K3,clasif_filas!$A$2:$J$39,7,FALSE())</f>
        <v>0</v>
      </c>
      <c r="R3" s="21" t="str">
        <f aca="false">VLOOKUP(K3,clasif_filas!$A$2:$J$39,8,FALSE())</f>
        <v>Productos de la agricultura, la silvicultura yla pesca</v>
      </c>
      <c r="S3" s="21" t="n">
        <f aca="false">VLOOKUP(K3,clasif_filas!$A$2:$J$39,9,FALSE())</f>
        <v>1</v>
      </c>
      <c r="T3" s="61" t="str">
        <f aca="false">VLOOKUP(K3,clasif_filas!$A$2:$J$39,10,FALSE())</f>
        <v>Bioeconomía</v>
      </c>
    </row>
    <row r="4" customFormat="false" ht="14.25" hidden="false" customHeight="false" outlineLevel="0" collapsed="false">
      <c r="A4" s="29" t="s">
        <v>7</v>
      </c>
      <c r="B4" s="58" t="s">
        <v>1835</v>
      </c>
      <c r="C4" s="58" t="str">
        <f aca="false">VLOOKUP(B4, AT_FILAS!$A$2:$C$8,2,FALSE())</f>
        <v>Producción</v>
      </c>
      <c r="D4" s="59" t="n">
        <f aca="false">VLOOKUP(B4, AT_FILAS!$A$2:$C$8,3,FALSE())</f>
        <v>1</v>
      </c>
      <c r="E4" s="60" t="s">
        <v>1869</v>
      </c>
      <c r="F4" s="60" t="s">
        <v>1870</v>
      </c>
      <c r="G4" s="1" t="s">
        <v>1871</v>
      </c>
      <c r="H4" s="1" t="n">
        <v>1</v>
      </c>
      <c r="I4" s="1" t="s">
        <v>1865</v>
      </c>
      <c r="J4" s="1" t="s">
        <v>1866</v>
      </c>
      <c r="K4" s="21" t="n">
        <v>1</v>
      </c>
      <c r="L4" s="21" t="str">
        <f aca="false">VLOOKUP(K4,clasif_filas!$A$2:$J$39,2,FALSE())</f>
        <v>Productos de la agricultura, la horticultura y la jardinería comercial</v>
      </c>
      <c r="M4" s="21" t="n">
        <f aca="false">VLOOKUP(K4,clasif_filas!$A$2:$J$39,3,FALSE())</f>
        <v>1</v>
      </c>
      <c r="N4" s="21" t="str">
        <f aca="false">VLOOKUP(K4,clasif_filas!$A$2:$J$39,4,FALSE())</f>
        <v>Productos de la agricultura, la horticultura y la jardinería comercial</v>
      </c>
      <c r="O4" s="21" t="n">
        <f aca="false">VLOOKUP(K4,clasif_filas!$A$2:$J$39,5,FALSE())</f>
        <v>1</v>
      </c>
      <c r="P4" s="21" t="str">
        <f aca="false">VLOOKUP(K4,clasif_filas!$A$2:$J$39,6,FALSE())</f>
        <v>Biomasa que se cultiva para producir alimentos, forrajes, fibras y energía</v>
      </c>
      <c r="Q4" s="21" t="n">
        <f aca="false">VLOOKUP(K4,clasif_filas!$A$2:$J$39,7,FALSE())</f>
        <v>0</v>
      </c>
      <c r="R4" s="21" t="str">
        <f aca="false">VLOOKUP(K4,clasif_filas!$A$2:$J$39,8,FALSE())</f>
        <v>Productos de la agricultura, la silvicultura yla pesca</v>
      </c>
      <c r="S4" s="21" t="n">
        <f aca="false">VLOOKUP(K4,clasif_filas!$A$2:$J$39,9,FALSE())</f>
        <v>1</v>
      </c>
      <c r="T4" s="61" t="str">
        <f aca="false">VLOOKUP(K4,clasif_filas!$A$2:$J$39,10,FALSE())</f>
        <v>Bioeconomía</v>
      </c>
    </row>
    <row r="5" customFormat="false" ht="14.25" hidden="false" customHeight="false" outlineLevel="0" collapsed="false">
      <c r="A5" s="29" t="s">
        <v>9</v>
      </c>
      <c r="B5" s="58" t="s">
        <v>1835</v>
      </c>
      <c r="C5" s="58" t="str">
        <f aca="false">VLOOKUP(B5, AT_FILAS!$A$2:$C$8,2,FALSE())</f>
        <v>Producción</v>
      </c>
      <c r="D5" s="59" t="n">
        <f aca="false">VLOOKUP(B5, AT_FILAS!$A$2:$C$8,3,FALSE())</f>
        <v>1</v>
      </c>
      <c r="E5" s="60" t="s">
        <v>1872</v>
      </c>
      <c r="F5" s="60" t="s">
        <v>1873</v>
      </c>
      <c r="G5" s="1" t="s">
        <v>1874</v>
      </c>
      <c r="H5" s="1" t="n">
        <v>1</v>
      </c>
      <c r="I5" s="1" t="s">
        <v>1865</v>
      </c>
      <c r="J5" s="1" t="s">
        <v>1866</v>
      </c>
      <c r="K5" s="21" t="n">
        <v>1</v>
      </c>
      <c r="L5" s="21" t="str">
        <f aca="false">VLOOKUP(K5,clasif_filas!$A$2:$J$39,2,FALSE())</f>
        <v>Productos de la agricultura, la horticultura y la jardinería comercial</v>
      </c>
      <c r="M5" s="21" t="n">
        <f aca="false">VLOOKUP(K5,clasif_filas!$A$2:$J$39,3,FALSE())</f>
        <v>1</v>
      </c>
      <c r="N5" s="21" t="str">
        <f aca="false">VLOOKUP(K5,clasif_filas!$A$2:$J$39,4,FALSE())</f>
        <v>Productos de la agricultura, la horticultura y la jardinería comercial</v>
      </c>
      <c r="O5" s="21" t="n">
        <f aca="false">VLOOKUP(K5,clasif_filas!$A$2:$J$39,5,FALSE())</f>
        <v>1</v>
      </c>
      <c r="P5" s="21" t="str">
        <f aca="false">VLOOKUP(K5,clasif_filas!$A$2:$J$39,6,FALSE())</f>
        <v>Biomasa que se cultiva para producir alimentos, forrajes, fibras y energía</v>
      </c>
      <c r="Q5" s="21" t="n">
        <f aca="false">VLOOKUP(K5,clasif_filas!$A$2:$J$39,7,FALSE())</f>
        <v>0</v>
      </c>
      <c r="R5" s="21" t="str">
        <f aca="false">VLOOKUP(K5,clasif_filas!$A$2:$J$39,8,FALSE())</f>
        <v>Productos de la agricultura, la silvicultura yla pesca</v>
      </c>
      <c r="S5" s="21" t="n">
        <f aca="false">VLOOKUP(K5,clasif_filas!$A$2:$J$39,9,FALSE())</f>
        <v>1</v>
      </c>
      <c r="T5" s="61" t="str">
        <f aca="false">VLOOKUP(K5,clasif_filas!$A$2:$J$39,10,FALSE())</f>
        <v>Bioeconomía</v>
      </c>
    </row>
    <row r="6" customFormat="false" ht="14.25" hidden="false" customHeight="false" outlineLevel="0" collapsed="false">
      <c r="A6" s="29" t="s">
        <v>11</v>
      </c>
      <c r="B6" s="58" t="s">
        <v>1835</v>
      </c>
      <c r="C6" s="58" t="str">
        <f aca="false">VLOOKUP(B6, AT_FILAS!$A$2:$C$8,2,FALSE())</f>
        <v>Producción</v>
      </c>
      <c r="D6" s="59" t="n">
        <f aca="false">VLOOKUP(B6, AT_FILAS!$A$2:$C$8,3,FALSE())</f>
        <v>1</v>
      </c>
      <c r="E6" s="60" t="s">
        <v>1875</v>
      </c>
      <c r="F6" s="60" t="s">
        <v>1876</v>
      </c>
      <c r="G6" s="21" t="s">
        <v>1864</v>
      </c>
      <c r="H6" s="21" t="n">
        <v>1</v>
      </c>
      <c r="I6" s="21" t="s">
        <v>1865</v>
      </c>
      <c r="J6" s="21" t="s">
        <v>1866</v>
      </c>
      <c r="K6" s="21" t="n">
        <v>1</v>
      </c>
      <c r="L6" s="21" t="str">
        <f aca="false">VLOOKUP(K6,clasif_filas!$A$2:$J$39,2,FALSE())</f>
        <v>Productos de la agricultura, la horticultura y la jardinería comercial</v>
      </c>
      <c r="M6" s="21" t="n">
        <f aca="false">VLOOKUP(K6,clasif_filas!$A$2:$J$39,3,FALSE())</f>
        <v>1</v>
      </c>
      <c r="N6" s="21" t="str">
        <f aca="false">VLOOKUP(K6,clasif_filas!$A$2:$J$39,4,FALSE())</f>
        <v>Productos de la agricultura, la horticultura y la jardinería comercial</v>
      </c>
      <c r="O6" s="21" t="n">
        <f aca="false">VLOOKUP(K6,clasif_filas!$A$2:$J$39,5,FALSE())</f>
        <v>1</v>
      </c>
      <c r="P6" s="21" t="str">
        <f aca="false">VLOOKUP(K6,clasif_filas!$A$2:$J$39,6,FALSE())</f>
        <v>Biomasa que se cultiva para producir alimentos, forrajes, fibras y energía</v>
      </c>
      <c r="Q6" s="21" t="n">
        <f aca="false">VLOOKUP(K6,clasif_filas!$A$2:$J$39,7,FALSE())</f>
        <v>0</v>
      </c>
      <c r="R6" s="21" t="str">
        <f aca="false">VLOOKUP(K6,clasif_filas!$A$2:$J$39,8,FALSE())</f>
        <v>Productos de la agricultura, la silvicultura yla pesca</v>
      </c>
      <c r="S6" s="21" t="n">
        <f aca="false">VLOOKUP(K6,clasif_filas!$A$2:$J$39,9,FALSE())</f>
        <v>1</v>
      </c>
      <c r="T6" s="61" t="str">
        <f aca="false">VLOOKUP(K6,clasif_filas!$A$2:$J$39,10,FALSE())</f>
        <v>Bioeconomía</v>
      </c>
    </row>
    <row r="7" customFormat="false" ht="14.25" hidden="false" customHeight="false" outlineLevel="0" collapsed="false">
      <c r="A7" s="29" t="s">
        <v>13</v>
      </c>
      <c r="B7" s="58" t="s">
        <v>1835</v>
      </c>
      <c r="C7" s="58" t="str">
        <f aca="false">VLOOKUP(B7, AT_FILAS!$A$2:$C$8,2,FALSE())</f>
        <v>Producción</v>
      </c>
      <c r="D7" s="59" t="n">
        <f aca="false">VLOOKUP(B7, AT_FILAS!$A$2:$C$8,3,FALSE())</f>
        <v>1</v>
      </c>
      <c r="E7" s="60" t="s">
        <v>1877</v>
      </c>
      <c r="F7" s="60" t="s">
        <v>1878</v>
      </c>
      <c r="G7" s="21" t="s">
        <v>1864</v>
      </c>
      <c r="H7" s="21" t="n">
        <v>1</v>
      </c>
      <c r="I7" s="21" t="s">
        <v>1865</v>
      </c>
      <c r="J7" s="21" t="s">
        <v>1866</v>
      </c>
      <c r="K7" s="21" t="n">
        <v>1</v>
      </c>
      <c r="L7" s="21" t="str">
        <f aca="false">VLOOKUP(K7,clasif_filas!$A$2:$J$39,2,FALSE())</f>
        <v>Productos de la agricultura, la horticultura y la jardinería comercial</v>
      </c>
      <c r="M7" s="21" t="n">
        <f aca="false">VLOOKUP(K7,clasif_filas!$A$2:$J$39,3,FALSE())</f>
        <v>1</v>
      </c>
      <c r="N7" s="21" t="str">
        <f aca="false">VLOOKUP(K7,clasif_filas!$A$2:$J$39,4,FALSE())</f>
        <v>Productos de la agricultura, la horticultura y la jardinería comercial</v>
      </c>
      <c r="O7" s="21" t="n">
        <f aca="false">VLOOKUP(K7,clasif_filas!$A$2:$J$39,5,FALSE())</f>
        <v>1</v>
      </c>
      <c r="P7" s="21" t="str">
        <f aca="false">VLOOKUP(K7,clasif_filas!$A$2:$J$39,6,FALSE())</f>
        <v>Biomasa que se cultiva para producir alimentos, forrajes, fibras y energía</v>
      </c>
      <c r="Q7" s="21" t="n">
        <f aca="false">VLOOKUP(K7,clasif_filas!$A$2:$J$39,7,FALSE())</f>
        <v>0</v>
      </c>
      <c r="R7" s="21" t="str">
        <f aca="false">VLOOKUP(K7,clasif_filas!$A$2:$J$39,8,FALSE())</f>
        <v>Productos de la agricultura, la silvicultura yla pesca</v>
      </c>
      <c r="S7" s="21" t="n">
        <f aca="false">VLOOKUP(K7,clasif_filas!$A$2:$J$39,9,FALSE())</f>
        <v>1</v>
      </c>
      <c r="T7" s="61" t="str">
        <f aca="false">VLOOKUP(K7,clasif_filas!$A$2:$J$39,10,FALSE())</f>
        <v>Bioeconomía</v>
      </c>
    </row>
    <row r="8" customFormat="false" ht="14.25" hidden="false" customHeight="false" outlineLevel="0" collapsed="false">
      <c r="A8" s="29" t="s">
        <v>15</v>
      </c>
      <c r="B8" s="58" t="s">
        <v>1835</v>
      </c>
      <c r="C8" s="58" t="str">
        <f aca="false">VLOOKUP(B8, AT_FILAS!$A$2:$C$8,2,FALSE())</f>
        <v>Producción</v>
      </c>
      <c r="D8" s="59" t="n">
        <f aca="false">VLOOKUP(B8, AT_FILAS!$A$2:$C$8,3,FALSE())</f>
        <v>1</v>
      </c>
      <c r="E8" s="60" t="s">
        <v>1879</v>
      </c>
      <c r="F8" s="60" t="s">
        <v>1880</v>
      </c>
      <c r="G8" s="1" t="s">
        <v>1871</v>
      </c>
      <c r="H8" s="1" t="n">
        <v>1</v>
      </c>
      <c r="I8" s="1" t="s">
        <v>1865</v>
      </c>
      <c r="J8" s="1" t="s">
        <v>1866</v>
      </c>
      <c r="K8" s="21" t="n">
        <v>1</v>
      </c>
      <c r="L8" s="21" t="str">
        <f aca="false">VLOOKUP(K8,clasif_filas!$A$2:$J$39,2,FALSE())</f>
        <v>Productos de la agricultura, la horticultura y la jardinería comercial</v>
      </c>
      <c r="M8" s="21" t="n">
        <f aca="false">VLOOKUP(K8,clasif_filas!$A$2:$J$39,3,FALSE())</f>
        <v>1</v>
      </c>
      <c r="N8" s="21" t="str">
        <f aca="false">VLOOKUP(K8,clasif_filas!$A$2:$J$39,4,FALSE())</f>
        <v>Productos de la agricultura, la horticultura y la jardinería comercial</v>
      </c>
      <c r="O8" s="21" t="n">
        <f aca="false">VLOOKUP(K8,clasif_filas!$A$2:$J$39,5,FALSE())</f>
        <v>1</v>
      </c>
      <c r="P8" s="21" t="str">
        <f aca="false">VLOOKUP(K8,clasif_filas!$A$2:$J$39,6,FALSE())</f>
        <v>Biomasa que se cultiva para producir alimentos, forrajes, fibras y energía</v>
      </c>
      <c r="Q8" s="21" t="n">
        <f aca="false">VLOOKUP(K8,clasif_filas!$A$2:$J$39,7,FALSE())</f>
        <v>0</v>
      </c>
      <c r="R8" s="21" t="str">
        <f aca="false">VLOOKUP(K8,clasif_filas!$A$2:$J$39,8,FALSE())</f>
        <v>Productos de la agricultura, la silvicultura yla pesca</v>
      </c>
      <c r="S8" s="21" t="n">
        <f aca="false">VLOOKUP(K8,clasif_filas!$A$2:$J$39,9,FALSE())</f>
        <v>1</v>
      </c>
      <c r="T8" s="61" t="str">
        <f aca="false">VLOOKUP(K8,clasif_filas!$A$2:$J$39,10,FALSE())</f>
        <v>Bioeconomía</v>
      </c>
    </row>
    <row r="9" customFormat="false" ht="14.25" hidden="false" customHeight="false" outlineLevel="0" collapsed="false">
      <c r="A9" s="29" t="s">
        <v>17</v>
      </c>
      <c r="B9" s="58" t="s">
        <v>1835</v>
      </c>
      <c r="C9" s="58" t="str">
        <f aca="false">VLOOKUP(B9, AT_FILAS!$A$2:$C$8,2,FALSE())</f>
        <v>Producción</v>
      </c>
      <c r="D9" s="59" t="n">
        <f aca="false">VLOOKUP(B9, AT_FILAS!$A$2:$C$8,3,FALSE())</f>
        <v>1</v>
      </c>
      <c r="E9" s="60" t="s">
        <v>1881</v>
      </c>
      <c r="F9" s="60" t="s">
        <v>1882</v>
      </c>
      <c r="G9" s="1" t="s">
        <v>1883</v>
      </c>
      <c r="H9" s="1" t="n">
        <v>1</v>
      </c>
      <c r="I9" s="1" t="s">
        <v>1865</v>
      </c>
      <c r="J9" s="1" t="s">
        <v>1866</v>
      </c>
      <c r="K9" s="21" t="n">
        <v>1</v>
      </c>
      <c r="L9" s="21" t="str">
        <f aca="false">VLOOKUP(K9,clasif_filas!$A$2:$J$39,2,FALSE())</f>
        <v>Productos de la agricultura, la horticultura y la jardinería comercial</v>
      </c>
      <c r="M9" s="21" t="n">
        <f aca="false">VLOOKUP(K9,clasif_filas!$A$2:$J$39,3,FALSE())</f>
        <v>1</v>
      </c>
      <c r="N9" s="21" t="str">
        <f aca="false">VLOOKUP(K9,clasif_filas!$A$2:$J$39,4,FALSE())</f>
        <v>Productos de la agricultura, la horticultura y la jardinería comercial</v>
      </c>
      <c r="O9" s="21" t="n">
        <f aca="false">VLOOKUP(K9,clasif_filas!$A$2:$J$39,5,FALSE())</f>
        <v>1</v>
      </c>
      <c r="P9" s="21" t="str">
        <f aca="false">VLOOKUP(K9,clasif_filas!$A$2:$J$39,6,FALSE())</f>
        <v>Biomasa que se cultiva para producir alimentos, forrajes, fibras y energía</v>
      </c>
      <c r="Q9" s="21" t="n">
        <f aca="false">VLOOKUP(K9,clasif_filas!$A$2:$J$39,7,FALSE())</f>
        <v>0</v>
      </c>
      <c r="R9" s="21" t="str">
        <f aca="false">VLOOKUP(K9,clasif_filas!$A$2:$J$39,8,FALSE())</f>
        <v>Productos de la agricultura, la silvicultura yla pesca</v>
      </c>
      <c r="S9" s="21" t="n">
        <f aca="false">VLOOKUP(K9,clasif_filas!$A$2:$J$39,9,FALSE())</f>
        <v>1</v>
      </c>
      <c r="T9" s="61" t="str">
        <f aca="false">VLOOKUP(K9,clasif_filas!$A$2:$J$39,10,FALSE())</f>
        <v>Bioeconomía</v>
      </c>
    </row>
    <row r="10" customFormat="false" ht="14.25" hidden="false" customHeight="false" outlineLevel="0" collapsed="false">
      <c r="A10" s="29" t="s">
        <v>19</v>
      </c>
      <c r="B10" s="58" t="s">
        <v>1835</v>
      </c>
      <c r="C10" s="58" t="str">
        <f aca="false">VLOOKUP(B10, AT_FILAS!$A$2:$C$8,2,FALSE())</f>
        <v>Producción</v>
      </c>
      <c r="D10" s="59" t="n">
        <f aca="false">VLOOKUP(B10, AT_FILAS!$A$2:$C$8,3,FALSE())</f>
        <v>1</v>
      </c>
      <c r="E10" s="60" t="s">
        <v>1884</v>
      </c>
      <c r="F10" s="60" t="s">
        <v>1885</v>
      </c>
      <c r="G10" s="1" t="s">
        <v>1883</v>
      </c>
      <c r="H10" s="1" t="n">
        <v>1</v>
      </c>
      <c r="I10" s="1" t="s">
        <v>1865</v>
      </c>
      <c r="J10" s="1" t="s">
        <v>1866</v>
      </c>
      <c r="K10" s="21" t="n">
        <v>1</v>
      </c>
      <c r="L10" s="21" t="str">
        <f aca="false">VLOOKUP(K10,clasif_filas!$A$2:$J$39,2,FALSE())</f>
        <v>Productos de la agricultura, la horticultura y la jardinería comercial</v>
      </c>
      <c r="M10" s="21" t="n">
        <f aca="false">VLOOKUP(K10,clasif_filas!$A$2:$J$39,3,FALSE())</f>
        <v>1</v>
      </c>
      <c r="N10" s="21" t="str">
        <f aca="false">VLOOKUP(K10,clasif_filas!$A$2:$J$39,4,FALSE())</f>
        <v>Productos de la agricultura, la horticultura y la jardinería comercial</v>
      </c>
      <c r="O10" s="21" t="n">
        <f aca="false">VLOOKUP(K10,clasif_filas!$A$2:$J$39,5,FALSE())</f>
        <v>1</v>
      </c>
      <c r="P10" s="21" t="str">
        <f aca="false">VLOOKUP(K10,clasif_filas!$A$2:$J$39,6,FALSE())</f>
        <v>Biomasa que se cultiva para producir alimentos, forrajes, fibras y energía</v>
      </c>
      <c r="Q10" s="21" t="n">
        <f aca="false">VLOOKUP(K10,clasif_filas!$A$2:$J$39,7,FALSE())</f>
        <v>0</v>
      </c>
      <c r="R10" s="21" t="str">
        <f aca="false">VLOOKUP(K10,clasif_filas!$A$2:$J$39,8,FALSE())</f>
        <v>Productos de la agricultura, la silvicultura yla pesca</v>
      </c>
      <c r="S10" s="21" t="n">
        <f aca="false">VLOOKUP(K10,clasif_filas!$A$2:$J$39,9,FALSE())</f>
        <v>1</v>
      </c>
      <c r="T10" s="61" t="str">
        <f aca="false">VLOOKUP(K10,clasif_filas!$A$2:$J$39,10,FALSE())</f>
        <v>Bioeconomía</v>
      </c>
    </row>
    <row r="11" customFormat="false" ht="14.25" hidden="false" customHeight="false" outlineLevel="0" collapsed="false">
      <c r="A11" s="29" t="s">
        <v>21</v>
      </c>
      <c r="B11" s="58" t="s">
        <v>1835</v>
      </c>
      <c r="C11" s="58" t="str">
        <f aca="false">VLOOKUP(B11, AT_FILAS!$A$2:$C$8,2,FALSE())</f>
        <v>Producción</v>
      </c>
      <c r="D11" s="59" t="n">
        <f aca="false">VLOOKUP(B11, AT_FILAS!$A$2:$C$8,3,FALSE())</f>
        <v>1</v>
      </c>
      <c r="E11" s="60" t="s">
        <v>1886</v>
      </c>
      <c r="F11" s="60" t="s">
        <v>1887</v>
      </c>
      <c r="G11" s="1" t="s">
        <v>1883</v>
      </c>
      <c r="H11" s="1" t="n">
        <v>1</v>
      </c>
      <c r="I11" s="1" t="s">
        <v>1865</v>
      </c>
      <c r="J11" s="1" t="s">
        <v>1866</v>
      </c>
      <c r="K11" s="21" t="n">
        <v>1</v>
      </c>
      <c r="L11" s="21" t="str">
        <f aca="false">VLOOKUP(K11,clasif_filas!$A$2:$J$39,2,FALSE())</f>
        <v>Productos de la agricultura, la horticultura y la jardinería comercial</v>
      </c>
      <c r="M11" s="21" t="n">
        <f aca="false">VLOOKUP(K11,clasif_filas!$A$2:$J$39,3,FALSE())</f>
        <v>1</v>
      </c>
      <c r="N11" s="21" t="str">
        <f aca="false">VLOOKUP(K11,clasif_filas!$A$2:$J$39,4,FALSE())</f>
        <v>Productos de la agricultura, la horticultura y la jardinería comercial</v>
      </c>
      <c r="O11" s="21" t="n">
        <f aca="false">VLOOKUP(K11,clasif_filas!$A$2:$J$39,5,FALSE())</f>
        <v>1</v>
      </c>
      <c r="P11" s="21" t="str">
        <f aca="false">VLOOKUP(K11,clasif_filas!$A$2:$J$39,6,FALSE())</f>
        <v>Biomasa que se cultiva para producir alimentos, forrajes, fibras y energía</v>
      </c>
      <c r="Q11" s="21" t="n">
        <f aca="false">VLOOKUP(K11,clasif_filas!$A$2:$J$39,7,FALSE())</f>
        <v>0</v>
      </c>
      <c r="R11" s="21" t="str">
        <f aca="false">VLOOKUP(K11,clasif_filas!$A$2:$J$39,8,FALSE())</f>
        <v>Productos de la agricultura, la silvicultura yla pesca</v>
      </c>
      <c r="S11" s="21" t="n">
        <f aca="false">VLOOKUP(K11,clasif_filas!$A$2:$J$39,9,FALSE())</f>
        <v>1</v>
      </c>
      <c r="T11" s="61" t="str">
        <f aca="false">VLOOKUP(K11,clasif_filas!$A$2:$J$39,10,FALSE())</f>
        <v>Bioeconomía</v>
      </c>
    </row>
    <row r="12" customFormat="false" ht="14.25" hidden="false" customHeight="false" outlineLevel="0" collapsed="false">
      <c r="A12" s="29" t="s">
        <v>23</v>
      </c>
      <c r="B12" s="58" t="s">
        <v>1835</v>
      </c>
      <c r="C12" s="58" t="str">
        <f aca="false">VLOOKUP(B12, AT_FILAS!$A$2:$C$8,2,FALSE())</f>
        <v>Producción</v>
      </c>
      <c r="D12" s="59" t="n">
        <f aca="false">VLOOKUP(B12, AT_FILAS!$A$2:$C$8,3,FALSE())</f>
        <v>1</v>
      </c>
      <c r="E12" s="60" t="s">
        <v>1888</v>
      </c>
      <c r="F12" s="60" t="s">
        <v>1889</v>
      </c>
      <c r="G12" s="1" t="s">
        <v>1871</v>
      </c>
      <c r="H12" s="1" t="n">
        <v>1</v>
      </c>
      <c r="I12" s="1" t="s">
        <v>1865</v>
      </c>
      <c r="J12" s="1" t="s">
        <v>1866</v>
      </c>
      <c r="K12" s="21" t="n">
        <v>1</v>
      </c>
      <c r="L12" s="21" t="str">
        <f aca="false">VLOOKUP(K12,clasif_filas!$A$2:$J$39,2,FALSE())</f>
        <v>Productos de la agricultura, la horticultura y la jardinería comercial</v>
      </c>
      <c r="M12" s="21" t="n">
        <f aca="false">VLOOKUP(K12,clasif_filas!$A$2:$J$39,3,FALSE())</f>
        <v>1</v>
      </c>
      <c r="N12" s="21" t="str">
        <f aca="false">VLOOKUP(K12,clasif_filas!$A$2:$J$39,4,FALSE())</f>
        <v>Productos de la agricultura, la horticultura y la jardinería comercial</v>
      </c>
      <c r="O12" s="21" t="n">
        <f aca="false">VLOOKUP(K12,clasif_filas!$A$2:$J$39,5,FALSE())</f>
        <v>1</v>
      </c>
      <c r="P12" s="21" t="str">
        <f aca="false">VLOOKUP(K12,clasif_filas!$A$2:$J$39,6,FALSE())</f>
        <v>Biomasa que se cultiva para producir alimentos, forrajes, fibras y energía</v>
      </c>
      <c r="Q12" s="21" t="n">
        <f aca="false">VLOOKUP(K12,clasif_filas!$A$2:$J$39,7,FALSE())</f>
        <v>0</v>
      </c>
      <c r="R12" s="21" t="str">
        <f aca="false">VLOOKUP(K12,clasif_filas!$A$2:$J$39,8,FALSE())</f>
        <v>Productos de la agricultura, la silvicultura yla pesca</v>
      </c>
      <c r="S12" s="21" t="n">
        <f aca="false">VLOOKUP(K12,clasif_filas!$A$2:$J$39,9,FALSE())</f>
        <v>1</v>
      </c>
      <c r="T12" s="61" t="str">
        <f aca="false">VLOOKUP(K12,clasif_filas!$A$2:$J$39,10,FALSE())</f>
        <v>Bioeconomía</v>
      </c>
    </row>
    <row r="13" customFormat="false" ht="14.25" hidden="false" customHeight="false" outlineLevel="0" collapsed="false">
      <c r="A13" s="29" t="s">
        <v>25</v>
      </c>
      <c r="B13" s="58" t="s">
        <v>1835</v>
      </c>
      <c r="C13" s="58" t="str">
        <f aca="false">VLOOKUP(B13, AT_FILAS!$A$2:$C$8,2,FALSE())</f>
        <v>Producción</v>
      </c>
      <c r="D13" s="59" t="n">
        <f aca="false">VLOOKUP(B13, AT_FILAS!$A$2:$C$8,3,FALSE())</f>
        <v>1</v>
      </c>
      <c r="E13" s="60" t="s">
        <v>1890</v>
      </c>
      <c r="F13" s="60" t="s">
        <v>1891</v>
      </c>
      <c r="G13" s="1" t="s">
        <v>1871</v>
      </c>
      <c r="H13" s="1" t="n">
        <v>1</v>
      </c>
      <c r="I13" s="1" t="s">
        <v>1865</v>
      </c>
      <c r="J13" s="1" t="s">
        <v>1866</v>
      </c>
      <c r="K13" s="21" t="n">
        <v>1</v>
      </c>
      <c r="L13" s="21" t="str">
        <f aca="false">VLOOKUP(K13,clasif_filas!$A$2:$J$39,2,FALSE())</f>
        <v>Productos de la agricultura, la horticultura y la jardinería comercial</v>
      </c>
      <c r="M13" s="21" t="n">
        <f aca="false">VLOOKUP(K13,clasif_filas!$A$2:$J$39,3,FALSE())</f>
        <v>1</v>
      </c>
      <c r="N13" s="21" t="str">
        <f aca="false">VLOOKUP(K13,clasif_filas!$A$2:$J$39,4,FALSE())</f>
        <v>Productos de la agricultura, la horticultura y la jardinería comercial</v>
      </c>
      <c r="O13" s="21" t="n">
        <f aca="false">VLOOKUP(K13,clasif_filas!$A$2:$J$39,5,FALSE())</f>
        <v>1</v>
      </c>
      <c r="P13" s="21" t="str">
        <f aca="false">VLOOKUP(K13,clasif_filas!$A$2:$J$39,6,FALSE())</f>
        <v>Biomasa que se cultiva para producir alimentos, forrajes, fibras y energía</v>
      </c>
      <c r="Q13" s="21" t="n">
        <f aca="false">VLOOKUP(K13,clasif_filas!$A$2:$J$39,7,FALSE())</f>
        <v>0</v>
      </c>
      <c r="R13" s="21" t="str">
        <f aca="false">VLOOKUP(K13,clasif_filas!$A$2:$J$39,8,FALSE())</f>
        <v>Productos de la agricultura, la silvicultura yla pesca</v>
      </c>
      <c r="S13" s="21" t="n">
        <f aca="false">VLOOKUP(K13,clasif_filas!$A$2:$J$39,9,FALSE())</f>
        <v>1</v>
      </c>
      <c r="T13" s="61" t="str">
        <f aca="false">VLOOKUP(K13,clasif_filas!$A$2:$J$39,10,FALSE())</f>
        <v>Bioeconomía</v>
      </c>
    </row>
    <row r="14" customFormat="false" ht="14.25" hidden="false" customHeight="false" outlineLevel="0" collapsed="false">
      <c r="A14" s="29" t="s">
        <v>27</v>
      </c>
      <c r="B14" s="58" t="s">
        <v>1835</v>
      </c>
      <c r="C14" s="58" t="str">
        <f aca="false">VLOOKUP(B14, AT_FILAS!$A$2:$C$8,2,FALSE())</f>
        <v>Producción</v>
      </c>
      <c r="D14" s="59" t="n">
        <f aca="false">VLOOKUP(B14, AT_FILAS!$A$2:$C$8,3,FALSE())</f>
        <v>1</v>
      </c>
      <c r="E14" s="60" t="s">
        <v>1892</v>
      </c>
      <c r="F14" s="60" t="s">
        <v>1893</v>
      </c>
      <c r="G14" s="1" t="s">
        <v>1871</v>
      </c>
      <c r="H14" s="1" t="n">
        <v>1</v>
      </c>
      <c r="I14" s="1" t="s">
        <v>1865</v>
      </c>
      <c r="J14" s="1" t="s">
        <v>1866</v>
      </c>
      <c r="K14" s="21" t="n">
        <v>1</v>
      </c>
      <c r="L14" s="21" t="str">
        <f aca="false">VLOOKUP(K14,clasif_filas!$A$2:$J$39,2,FALSE())</f>
        <v>Productos de la agricultura, la horticultura y la jardinería comercial</v>
      </c>
      <c r="M14" s="21" t="n">
        <f aca="false">VLOOKUP(K14,clasif_filas!$A$2:$J$39,3,FALSE())</f>
        <v>1</v>
      </c>
      <c r="N14" s="21" t="str">
        <f aca="false">VLOOKUP(K14,clasif_filas!$A$2:$J$39,4,FALSE())</f>
        <v>Productos de la agricultura, la horticultura y la jardinería comercial</v>
      </c>
      <c r="O14" s="21" t="n">
        <f aca="false">VLOOKUP(K14,clasif_filas!$A$2:$J$39,5,FALSE())</f>
        <v>1</v>
      </c>
      <c r="P14" s="21" t="str">
        <f aca="false">VLOOKUP(K14,clasif_filas!$A$2:$J$39,6,FALSE())</f>
        <v>Biomasa que se cultiva para producir alimentos, forrajes, fibras y energía</v>
      </c>
      <c r="Q14" s="21" t="n">
        <f aca="false">VLOOKUP(K14,clasif_filas!$A$2:$J$39,7,FALSE())</f>
        <v>0</v>
      </c>
      <c r="R14" s="21" t="str">
        <f aca="false">VLOOKUP(K14,clasif_filas!$A$2:$J$39,8,FALSE())</f>
        <v>Productos de la agricultura, la silvicultura yla pesca</v>
      </c>
      <c r="S14" s="21" t="n">
        <f aca="false">VLOOKUP(K14,clasif_filas!$A$2:$J$39,9,FALSE())</f>
        <v>1</v>
      </c>
      <c r="T14" s="61" t="str">
        <f aca="false">VLOOKUP(K14,clasif_filas!$A$2:$J$39,10,FALSE())</f>
        <v>Bioeconomía</v>
      </c>
    </row>
    <row r="15" customFormat="false" ht="14.25" hidden="false" customHeight="false" outlineLevel="0" collapsed="false">
      <c r="A15" s="29" t="s">
        <v>29</v>
      </c>
      <c r="B15" s="58" t="s">
        <v>1835</v>
      </c>
      <c r="C15" s="58" t="str">
        <f aca="false">VLOOKUP(B15, AT_FILAS!$A$2:$C$8,2,FALSE())</f>
        <v>Producción</v>
      </c>
      <c r="D15" s="59" t="n">
        <f aca="false">VLOOKUP(B15, AT_FILAS!$A$2:$C$8,3,FALSE())</f>
        <v>1</v>
      </c>
      <c r="E15" s="60" t="s">
        <v>1894</v>
      </c>
      <c r="F15" s="60" t="s">
        <v>1895</v>
      </c>
      <c r="G15" s="1" t="s">
        <v>1871</v>
      </c>
      <c r="H15" s="1" t="n">
        <v>1</v>
      </c>
      <c r="I15" s="1" t="s">
        <v>1865</v>
      </c>
      <c r="J15" s="1" t="s">
        <v>1866</v>
      </c>
      <c r="K15" s="21" t="n">
        <v>1</v>
      </c>
      <c r="L15" s="21" t="str">
        <f aca="false">VLOOKUP(K15,clasif_filas!$A$2:$J$39,2,FALSE())</f>
        <v>Productos de la agricultura, la horticultura y la jardinería comercial</v>
      </c>
      <c r="M15" s="21" t="n">
        <f aca="false">VLOOKUP(K15,clasif_filas!$A$2:$J$39,3,FALSE())</f>
        <v>1</v>
      </c>
      <c r="N15" s="21" t="str">
        <f aca="false">VLOOKUP(K15,clasif_filas!$A$2:$J$39,4,FALSE())</f>
        <v>Productos de la agricultura, la horticultura y la jardinería comercial</v>
      </c>
      <c r="O15" s="21" t="n">
        <f aca="false">VLOOKUP(K15,clasif_filas!$A$2:$J$39,5,FALSE())</f>
        <v>1</v>
      </c>
      <c r="P15" s="21" t="str">
        <f aca="false">VLOOKUP(K15,clasif_filas!$A$2:$J$39,6,FALSE())</f>
        <v>Biomasa que se cultiva para producir alimentos, forrajes, fibras y energía</v>
      </c>
      <c r="Q15" s="21" t="n">
        <f aca="false">VLOOKUP(K15,clasif_filas!$A$2:$J$39,7,FALSE())</f>
        <v>0</v>
      </c>
      <c r="R15" s="21" t="str">
        <f aca="false">VLOOKUP(K15,clasif_filas!$A$2:$J$39,8,FALSE())</f>
        <v>Productos de la agricultura, la silvicultura yla pesca</v>
      </c>
      <c r="S15" s="21" t="n">
        <f aca="false">VLOOKUP(K15,clasif_filas!$A$2:$J$39,9,FALSE())</f>
        <v>1</v>
      </c>
      <c r="T15" s="61" t="str">
        <f aca="false">VLOOKUP(K15,clasif_filas!$A$2:$J$39,10,FALSE())</f>
        <v>Bioeconomía</v>
      </c>
    </row>
    <row r="16" customFormat="false" ht="14.25" hidden="false" customHeight="false" outlineLevel="0" collapsed="false">
      <c r="A16" s="29" t="s">
        <v>31</v>
      </c>
      <c r="B16" s="58" t="s">
        <v>1835</v>
      </c>
      <c r="C16" s="58" t="str">
        <f aca="false">VLOOKUP(B16, AT_FILAS!$A$2:$C$8,2,FALSE())</f>
        <v>Producción</v>
      </c>
      <c r="D16" s="59" t="n">
        <f aca="false">VLOOKUP(B16, AT_FILAS!$A$2:$C$8,3,FALSE())</f>
        <v>1</v>
      </c>
      <c r="E16" s="60" t="s">
        <v>1896</v>
      </c>
      <c r="F16" s="60" t="s">
        <v>1897</v>
      </c>
      <c r="G16" s="1" t="s">
        <v>1871</v>
      </c>
      <c r="H16" s="1" t="n">
        <v>1</v>
      </c>
      <c r="I16" s="1" t="s">
        <v>1865</v>
      </c>
      <c r="J16" s="1" t="s">
        <v>1866</v>
      </c>
      <c r="K16" s="21" t="n">
        <v>1</v>
      </c>
      <c r="L16" s="21" t="str">
        <f aca="false">VLOOKUP(K16,clasif_filas!$A$2:$J$39,2,FALSE())</f>
        <v>Productos de la agricultura, la horticultura y la jardinería comercial</v>
      </c>
      <c r="M16" s="21" t="n">
        <f aca="false">VLOOKUP(K16,clasif_filas!$A$2:$J$39,3,FALSE())</f>
        <v>1</v>
      </c>
      <c r="N16" s="21" t="str">
        <f aca="false">VLOOKUP(K16,clasif_filas!$A$2:$J$39,4,FALSE())</f>
        <v>Productos de la agricultura, la horticultura y la jardinería comercial</v>
      </c>
      <c r="O16" s="21" t="n">
        <f aca="false">VLOOKUP(K16,clasif_filas!$A$2:$J$39,5,FALSE())</f>
        <v>1</v>
      </c>
      <c r="P16" s="21" t="str">
        <f aca="false">VLOOKUP(K16,clasif_filas!$A$2:$J$39,6,FALSE())</f>
        <v>Biomasa que se cultiva para producir alimentos, forrajes, fibras y energía</v>
      </c>
      <c r="Q16" s="21" t="n">
        <f aca="false">VLOOKUP(K16,clasif_filas!$A$2:$J$39,7,FALSE())</f>
        <v>0</v>
      </c>
      <c r="R16" s="21" t="str">
        <f aca="false">VLOOKUP(K16,clasif_filas!$A$2:$J$39,8,FALSE())</f>
        <v>Productos de la agricultura, la silvicultura yla pesca</v>
      </c>
      <c r="S16" s="21" t="n">
        <f aca="false">VLOOKUP(K16,clasif_filas!$A$2:$J$39,9,FALSE())</f>
        <v>1</v>
      </c>
      <c r="T16" s="61" t="str">
        <f aca="false">VLOOKUP(K16,clasif_filas!$A$2:$J$39,10,FALSE())</f>
        <v>Bioeconomía</v>
      </c>
    </row>
    <row r="17" customFormat="false" ht="14.25" hidden="false" customHeight="false" outlineLevel="0" collapsed="false">
      <c r="A17" s="29" t="s">
        <v>33</v>
      </c>
      <c r="B17" s="58" t="s">
        <v>1835</v>
      </c>
      <c r="C17" s="58" t="str">
        <f aca="false">VLOOKUP(B17, AT_FILAS!$A$2:$C$8,2,FALSE())</f>
        <v>Producción</v>
      </c>
      <c r="D17" s="59" t="n">
        <f aca="false">VLOOKUP(B17, AT_FILAS!$A$2:$C$8,3,FALSE())</f>
        <v>1</v>
      </c>
      <c r="E17" s="60" t="s">
        <v>1898</v>
      </c>
      <c r="F17" s="60" t="s">
        <v>1899</v>
      </c>
      <c r="G17" s="1" t="s">
        <v>1883</v>
      </c>
      <c r="H17" s="1" t="n">
        <v>1</v>
      </c>
      <c r="I17" s="1" t="s">
        <v>1865</v>
      </c>
      <c r="J17" s="1" t="s">
        <v>1866</v>
      </c>
      <c r="K17" s="21" t="n">
        <v>1</v>
      </c>
      <c r="L17" s="21" t="str">
        <f aca="false">VLOOKUP(K17,clasif_filas!$A$2:$J$39,2,FALSE())</f>
        <v>Productos de la agricultura, la horticultura y la jardinería comercial</v>
      </c>
      <c r="M17" s="21" t="n">
        <f aca="false">VLOOKUP(K17,clasif_filas!$A$2:$J$39,3,FALSE())</f>
        <v>1</v>
      </c>
      <c r="N17" s="21" t="str">
        <f aca="false">VLOOKUP(K17,clasif_filas!$A$2:$J$39,4,FALSE())</f>
        <v>Productos de la agricultura, la horticultura y la jardinería comercial</v>
      </c>
      <c r="O17" s="21" t="n">
        <f aca="false">VLOOKUP(K17,clasif_filas!$A$2:$J$39,5,FALSE())</f>
        <v>1</v>
      </c>
      <c r="P17" s="21" t="str">
        <f aca="false">VLOOKUP(K17,clasif_filas!$A$2:$J$39,6,FALSE())</f>
        <v>Biomasa que se cultiva para producir alimentos, forrajes, fibras y energía</v>
      </c>
      <c r="Q17" s="21" t="n">
        <f aca="false">VLOOKUP(K17,clasif_filas!$A$2:$J$39,7,FALSE())</f>
        <v>0</v>
      </c>
      <c r="R17" s="21" t="str">
        <f aca="false">VLOOKUP(K17,clasif_filas!$A$2:$J$39,8,FALSE())</f>
        <v>Productos de la agricultura, la silvicultura yla pesca</v>
      </c>
      <c r="S17" s="21" t="n">
        <f aca="false">VLOOKUP(K17,clasif_filas!$A$2:$J$39,9,FALSE())</f>
        <v>1</v>
      </c>
      <c r="T17" s="61" t="str">
        <f aca="false">VLOOKUP(K17,clasif_filas!$A$2:$J$39,10,FALSE())</f>
        <v>Bioeconomía</v>
      </c>
    </row>
    <row r="18" customFormat="false" ht="14.25" hidden="false" customHeight="false" outlineLevel="0" collapsed="false">
      <c r="A18" s="29" t="s">
        <v>35</v>
      </c>
      <c r="B18" s="58" t="s">
        <v>1835</v>
      </c>
      <c r="C18" s="58" t="str">
        <f aca="false">VLOOKUP(B18, AT_FILAS!$A$2:$C$8,2,FALSE())</f>
        <v>Producción</v>
      </c>
      <c r="D18" s="59" t="n">
        <f aca="false">VLOOKUP(B18, AT_FILAS!$A$2:$C$8,3,FALSE())</f>
        <v>1</v>
      </c>
      <c r="E18" s="60" t="s">
        <v>1900</v>
      </c>
      <c r="F18" s="60" t="s">
        <v>1901</v>
      </c>
      <c r="G18" s="1" t="s">
        <v>1883</v>
      </c>
      <c r="H18" s="1" t="n">
        <v>1</v>
      </c>
      <c r="I18" s="1" t="s">
        <v>1865</v>
      </c>
      <c r="J18" s="1" t="s">
        <v>1866</v>
      </c>
      <c r="K18" s="21" t="n">
        <v>1</v>
      </c>
      <c r="L18" s="21" t="str">
        <f aca="false">VLOOKUP(K18,clasif_filas!$A$2:$J$39,2,FALSE())</f>
        <v>Productos de la agricultura, la horticultura y la jardinería comercial</v>
      </c>
      <c r="M18" s="21" t="n">
        <f aca="false">VLOOKUP(K18,clasif_filas!$A$2:$J$39,3,FALSE())</f>
        <v>1</v>
      </c>
      <c r="N18" s="21" t="str">
        <f aca="false">VLOOKUP(K18,clasif_filas!$A$2:$J$39,4,FALSE())</f>
        <v>Productos de la agricultura, la horticultura y la jardinería comercial</v>
      </c>
      <c r="O18" s="21" t="n">
        <f aca="false">VLOOKUP(K18,clasif_filas!$A$2:$J$39,5,FALSE())</f>
        <v>1</v>
      </c>
      <c r="P18" s="21" t="str">
        <f aca="false">VLOOKUP(K18,clasif_filas!$A$2:$J$39,6,FALSE())</f>
        <v>Biomasa que se cultiva para producir alimentos, forrajes, fibras y energía</v>
      </c>
      <c r="Q18" s="21" t="n">
        <f aca="false">VLOOKUP(K18,clasif_filas!$A$2:$J$39,7,FALSE())</f>
        <v>0</v>
      </c>
      <c r="R18" s="21" t="str">
        <f aca="false">VLOOKUP(K18,clasif_filas!$A$2:$J$39,8,FALSE())</f>
        <v>Productos de la agricultura, la silvicultura yla pesca</v>
      </c>
      <c r="S18" s="21" t="n">
        <f aca="false">VLOOKUP(K18,clasif_filas!$A$2:$J$39,9,FALSE())</f>
        <v>1</v>
      </c>
      <c r="T18" s="61" t="str">
        <f aca="false">VLOOKUP(K18,clasif_filas!$A$2:$J$39,10,FALSE())</f>
        <v>Bioeconomía</v>
      </c>
    </row>
    <row r="19" customFormat="false" ht="14.25" hidden="false" customHeight="false" outlineLevel="0" collapsed="false">
      <c r="A19" s="29" t="s">
        <v>37</v>
      </c>
      <c r="B19" s="58" t="s">
        <v>1835</v>
      </c>
      <c r="C19" s="58" t="str">
        <f aca="false">VLOOKUP(B19, AT_FILAS!$A$2:$C$8,2,FALSE())</f>
        <v>Producción</v>
      </c>
      <c r="D19" s="59" t="n">
        <f aca="false">VLOOKUP(B19, AT_FILAS!$A$2:$C$8,3,FALSE())</f>
        <v>1</v>
      </c>
      <c r="E19" s="60" t="s">
        <v>1902</v>
      </c>
      <c r="F19" s="60" t="s">
        <v>1903</v>
      </c>
      <c r="G19" s="1" t="s">
        <v>1883</v>
      </c>
      <c r="H19" s="1" t="n">
        <v>1</v>
      </c>
      <c r="I19" s="1" t="s">
        <v>1865</v>
      </c>
      <c r="J19" s="1" t="s">
        <v>1866</v>
      </c>
      <c r="K19" s="17" t="n">
        <v>1</v>
      </c>
      <c r="L19" s="21" t="str">
        <f aca="false">VLOOKUP(K19,clasif_filas!$A$2:$J$39,2,FALSE())</f>
        <v>Productos de la agricultura, la horticultura y la jardinería comercial</v>
      </c>
      <c r="M19" s="21" t="n">
        <f aca="false">VLOOKUP(K19,clasif_filas!$A$2:$J$39,3,FALSE())</f>
        <v>1</v>
      </c>
      <c r="N19" s="21" t="str">
        <f aca="false">VLOOKUP(K19,clasif_filas!$A$2:$J$39,4,FALSE())</f>
        <v>Productos de la agricultura, la horticultura y la jardinería comercial</v>
      </c>
      <c r="O19" s="21" t="n">
        <f aca="false">VLOOKUP(K19,clasif_filas!$A$2:$J$39,5,FALSE())</f>
        <v>1</v>
      </c>
      <c r="P19" s="21" t="str">
        <f aca="false">VLOOKUP(K19,clasif_filas!$A$2:$J$39,6,FALSE())</f>
        <v>Biomasa que se cultiva para producir alimentos, forrajes, fibras y energía</v>
      </c>
      <c r="Q19" s="21" t="n">
        <f aca="false">VLOOKUP(K19,clasif_filas!$A$2:$J$39,7,FALSE())</f>
        <v>0</v>
      </c>
      <c r="R19" s="21" t="str">
        <f aca="false">VLOOKUP(K19,clasif_filas!$A$2:$J$39,8,FALSE())</f>
        <v>Productos de la agricultura, la silvicultura yla pesca</v>
      </c>
      <c r="S19" s="21" t="n">
        <f aca="false">VLOOKUP(K19,clasif_filas!$A$2:$J$39,9,FALSE())</f>
        <v>1</v>
      </c>
      <c r="T19" s="61" t="str">
        <f aca="false">VLOOKUP(K19,clasif_filas!$A$2:$J$39,10,FALSE())</f>
        <v>Bioeconomía</v>
      </c>
    </row>
    <row r="20" customFormat="false" ht="14.25" hidden="false" customHeight="false" outlineLevel="0" collapsed="false">
      <c r="A20" s="29" t="s">
        <v>39</v>
      </c>
      <c r="B20" s="58" t="s">
        <v>1835</v>
      </c>
      <c r="C20" s="58" t="str">
        <f aca="false">VLOOKUP(B20, AT_FILAS!$A$2:$C$8,2,FALSE())</f>
        <v>Producción</v>
      </c>
      <c r="D20" s="59" t="n">
        <f aca="false">VLOOKUP(B20, AT_FILAS!$A$2:$C$8,3,FALSE())</f>
        <v>1</v>
      </c>
      <c r="E20" s="60" t="s">
        <v>1904</v>
      </c>
      <c r="F20" s="60" t="s">
        <v>1905</v>
      </c>
      <c r="G20" s="1" t="s">
        <v>1874</v>
      </c>
      <c r="H20" s="1" t="n">
        <v>1</v>
      </c>
      <c r="I20" s="1" t="s">
        <v>1865</v>
      </c>
      <c r="J20" s="1" t="s">
        <v>1866</v>
      </c>
      <c r="K20" s="17" t="n">
        <v>1</v>
      </c>
      <c r="L20" s="21" t="str">
        <f aca="false">VLOOKUP(K20,clasif_filas!$A$2:$J$39,2,FALSE())</f>
        <v>Productos de la agricultura, la horticultura y la jardinería comercial</v>
      </c>
      <c r="M20" s="21" t="n">
        <f aca="false">VLOOKUP(K20,clasif_filas!$A$2:$J$39,3,FALSE())</f>
        <v>1</v>
      </c>
      <c r="N20" s="21" t="str">
        <f aca="false">VLOOKUP(K20,clasif_filas!$A$2:$J$39,4,FALSE())</f>
        <v>Productos de la agricultura, la horticultura y la jardinería comercial</v>
      </c>
      <c r="O20" s="21" t="n">
        <f aca="false">VLOOKUP(K20,clasif_filas!$A$2:$J$39,5,FALSE())</f>
        <v>1</v>
      </c>
      <c r="P20" s="21" t="str">
        <f aca="false">VLOOKUP(K20,clasif_filas!$A$2:$J$39,6,FALSE())</f>
        <v>Biomasa que se cultiva para producir alimentos, forrajes, fibras y energía</v>
      </c>
      <c r="Q20" s="21" t="n">
        <f aca="false">VLOOKUP(K20,clasif_filas!$A$2:$J$39,7,FALSE())</f>
        <v>0</v>
      </c>
      <c r="R20" s="21" t="str">
        <f aca="false">VLOOKUP(K20,clasif_filas!$A$2:$J$39,8,FALSE())</f>
        <v>Productos de la agricultura, la silvicultura yla pesca</v>
      </c>
      <c r="S20" s="21" t="n">
        <f aca="false">VLOOKUP(K20,clasif_filas!$A$2:$J$39,9,FALSE())</f>
        <v>1</v>
      </c>
      <c r="T20" s="61" t="str">
        <f aca="false">VLOOKUP(K20,clasif_filas!$A$2:$J$39,10,FALSE())</f>
        <v>Bioeconomía</v>
      </c>
    </row>
    <row r="21" customFormat="false" ht="14.25" hidden="false" customHeight="false" outlineLevel="0" collapsed="false">
      <c r="A21" s="29" t="s">
        <v>41</v>
      </c>
      <c r="B21" s="58" t="s">
        <v>1835</v>
      </c>
      <c r="C21" s="58" t="str">
        <f aca="false">VLOOKUP(B21, AT_FILAS!$A$2:$C$8,2,FALSE())</f>
        <v>Producción</v>
      </c>
      <c r="D21" s="59" t="n">
        <f aca="false">VLOOKUP(B21, AT_FILAS!$A$2:$C$8,3,FALSE())</f>
        <v>1</v>
      </c>
      <c r="E21" s="60" t="s">
        <v>1906</v>
      </c>
      <c r="F21" s="60" t="s">
        <v>1907</v>
      </c>
      <c r="G21" s="1" t="s">
        <v>1908</v>
      </c>
      <c r="H21" s="1" t="n">
        <v>1</v>
      </c>
      <c r="I21" s="1" t="s">
        <v>1865</v>
      </c>
      <c r="J21" s="1" t="s">
        <v>1866</v>
      </c>
      <c r="K21" s="1" t="n">
        <v>1</v>
      </c>
      <c r="L21" s="21" t="str">
        <f aca="false">VLOOKUP(K21,clasif_filas!$A$2:$J$39,2,FALSE())</f>
        <v>Productos de la agricultura, la horticultura y la jardinería comercial</v>
      </c>
      <c r="M21" s="21" t="n">
        <f aca="false">VLOOKUP(K21,clasif_filas!$A$2:$J$39,3,FALSE())</f>
        <v>1</v>
      </c>
      <c r="N21" s="21" t="str">
        <f aca="false">VLOOKUP(K21,clasif_filas!$A$2:$J$39,4,FALSE())</f>
        <v>Productos de la agricultura, la horticultura y la jardinería comercial</v>
      </c>
      <c r="O21" s="21" t="n">
        <f aca="false">VLOOKUP(K21,clasif_filas!$A$2:$J$39,5,FALSE())</f>
        <v>1</v>
      </c>
      <c r="P21" s="21" t="str">
        <f aca="false">VLOOKUP(K21,clasif_filas!$A$2:$J$39,6,FALSE())</f>
        <v>Biomasa que se cultiva para producir alimentos, forrajes, fibras y energía</v>
      </c>
      <c r="Q21" s="21" t="n">
        <f aca="false">VLOOKUP(K21,clasif_filas!$A$2:$J$39,7,FALSE())</f>
        <v>0</v>
      </c>
      <c r="R21" s="21" t="str">
        <f aca="false">VLOOKUP(K21,clasif_filas!$A$2:$J$39,8,FALSE())</f>
        <v>Productos de la agricultura, la silvicultura yla pesca</v>
      </c>
      <c r="S21" s="21" t="n">
        <f aca="false">VLOOKUP(K21,clasif_filas!$A$2:$J$39,9,FALSE())</f>
        <v>1</v>
      </c>
      <c r="T21" s="61" t="str">
        <f aca="false">VLOOKUP(K21,clasif_filas!$A$2:$J$39,10,FALSE())</f>
        <v>Bioeconomía</v>
      </c>
    </row>
    <row r="22" customFormat="false" ht="14.25" hidden="false" customHeight="false" outlineLevel="0" collapsed="false">
      <c r="A22" s="29" t="s">
        <v>43</v>
      </c>
      <c r="B22" s="58" t="s">
        <v>1835</v>
      </c>
      <c r="C22" s="58" t="str">
        <f aca="false">VLOOKUP(B22, AT_FILAS!$A$2:$C$8,2,FALSE())</f>
        <v>Producción</v>
      </c>
      <c r="D22" s="59" t="n">
        <f aca="false">VLOOKUP(B22, AT_FILAS!$A$2:$C$8,3,FALSE())</f>
        <v>1</v>
      </c>
      <c r="E22" s="60" t="s">
        <v>1909</v>
      </c>
      <c r="F22" s="60" t="s">
        <v>1910</v>
      </c>
      <c r="G22" s="1" t="s">
        <v>1908</v>
      </c>
      <c r="H22" s="1" t="n">
        <v>1</v>
      </c>
      <c r="I22" s="1" t="s">
        <v>1865</v>
      </c>
      <c r="J22" s="1" t="s">
        <v>1866</v>
      </c>
      <c r="K22" s="1" t="n">
        <v>1</v>
      </c>
      <c r="L22" s="21" t="str">
        <f aca="false">VLOOKUP(K22,clasif_filas!$A$2:$J$39,2,FALSE())</f>
        <v>Productos de la agricultura, la horticultura y la jardinería comercial</v>
      </c>
      <c r="M22" s="21" t="n">
        <f aca="false">VLOOKUP(K22,clasif_filas!$A$2:$J$39,3,FALSE())</f>
        <v>1</v>
      </c>
      <c r="N22" s="21" t="str">
        <f aca="false">VLOOKUP(K22,clasif_filas!$A$2:$J$39,4,FALSE())</f>
        <v>Productos de la agricultura, la horticultura y la jardinería comercial</v>
      </c>
      <c r="O22" s="21" t="n">
        <f aca="false">VLOOKUP(K22,clasif_filas!$A$2:$J$39,5,FALSE())</f>
        <v>1</v>
      </c>
      <c r="P22" s="21" t="str">
        <f aca="false">VLOOKUP(K22,clasif_filas!$A$2:$J$39,6,FALSE())</f>
        <v>Biomasa que se cultiva para producir alimentos, forrajes, fibras y energía</v>
      </c>
      <c r="Q22" s="21" t="n">
        <f aca="false">VLOOKUP(K22,clasif_filas!$A$2:$J$39,7,FALSE())</f>
        <v>0</v>
      </c>
      <c r="R22" s="21" t="str">
        <f aca="false">VLOOKUP(K22,clasif_filas!$A$2:$J$39,8,FALSE())</f>
        <v>Productos de la agricultura, la silvicultura yla pesca</v>
      </c>
      <c r="S22" s="21" t="n">
        <f aca="false">VLOOKUP(K22,clasif_filas!$A$2:$J$39,9,FALSE())</f>
        <v>1</v>
      </c>
      <c r="T22" s="61" t="str">
        <f aca="false">VLOOKUP(K22,clasif_filas!$A$2:$J$39,10,FALSE())</f>
        <v>Bioeconomía</v>
      </c>
    </row>
    <row r="23" customFormat="false" ht="14.25" hidden="false" customHeight="false" outlineLevel="0" collapsed="false">
      <c r="A23" s="29" t="s">
        <v>45</v>
      </c>
      <c r="B23" s="58" t="s">
        <v>1835</v>
      </c>
      <c r="C23" s="58" t="str">
        <f aca="false">VLOOKUP(B23, AT_FILAS!$A$2:$C$8,2,FALSE())</f>
        <v>Producción</v>
      </c>
      <c r="D23" s="59" t="n">
        <f aca="false">VLOOKUP(B23, AT_FILAS!$A$2:$C$8,3,FALSE())</f>
        <v>1</v>
      </c>
      <c r="E23" s="60" t="s">
        <v>1911</v>
      </c>
      <c r="F23" s="60" t="s">
        <v>1912</v>
      </c>
      <c r="G23" s="1" t="s">
        <v>1908</v>
      </c>
      <c r="H23" s="1" t="n">
        <v>1</v>
      </c>
      <c r="I23" s="1" t="s">
        <v>1865</v>
      </c>
      <c r="J23" s="1" t="s">
        <v>1866</v>
      </c>
      <c r="K23" s="17" t="n">
        <v>1</v>
      </c>
      <c r="L23" s="21" t="str">
        <f aca="false">VLOOKUP(K23,clasif_filas!$A$2:$J$39,2,FALSE())</f>
        <v>Productos de la agricultura, la horticultura y la jardinería comercial</v>
      </c>
      <c r="M23" s="21" t="n">
        <f aca="false">VLOOKUP(K23,clasif_filas!$A$2:$J$39,3,FALSE())</f>
        <v>1</v>
      </c>
      <c r="N23" s="21" t="str">
        <f aca="false">VLOOKUP(K23,clasif_filas!$A$2:$J$39,4,FALSE())</f>
        <v>Productos de la agricultura, la horticultura y la jardinería comercial</v>
      </c>
      <c r="O23" s="21" t="n">
        <f aca="false">VLOOKUP(K23,clasif_filas!$A$2:$J$39,5,FALSE())</f>
        <v>1</v>
      </c>
      <c r="P23" s="21" t="str">
        <f aca="false">VLOOKUP(K23,clasif_filas!$A$2:$J$39,6,FALSE())</f>
        <v>Biomasa que se cultiva para producir alimentos, forrajes, fibras y energía</v>
      </c>
      <c r="Q23" s="21" t="n">
        <f aca="false">VLOOKUP(K23,clasif_filas!$A$2:$J$39,7,FALSE())</f>
        <v>0</v>
      </c>
      <c r="R23" s="21" t="str">
        <f aca="false">VLOOKUP(K23,clasif_filas!$A$2:$J$39,8,FALSE())</f>
        <v>Productos de la agricultura, la silvicultura yla pesca</v>
      </c>
      <c r="S23" s="21" t="n">
        <f aca="false">VLOOKUP(K23,clasif_filas!$A$2:$J$39,9,FALSE())</f>
        <v>1</v>
      </c>
      <c r="T23" s="61" t="str">
        <f aca="false">VLOOKUP(K23,clasif_filas!$A$2:$J$39,10,FALSE())</f>
        <v>Bioeconomía</v>
      </c>
    </row>
    <row r="24" customFormat="false" ht="14.25" hidden="false" customHeight="false" outlineLevel="0" collapsed="false">
      <c r="A24" s="29" t="s">
        <v>47</v>
      </c>
      <c r="B24" s="58" t="s">
        <v>1835</v>
      </c>
      <c r="C24" s="58" t="str">
        <f aca="false">VLOOKUP(B24, AT_FILAS!$A$2:$C$8,2,FALSE())</f>
        <v>Producción</v>
      </c>
      <c r="D24" s="59" t="n">
        <f aca="false">VLOOKUP(B24, AT_FILAS!$A$2:$C$8,3,FALSE())</f>
        <v>1</v>
      </c>
      <c r="E24" s="60" t="s">
        <v>1913</v>
      </c>
      <c r="F24" s="60" t="s">
        <v>1914</v>
      </c>
      <c r="G24" s="1" t="s">
        <v>1908</v>
      </c>
      <c r="H24" s="1" t="n">
        <v>1</v>
      </c>
      <c r="I24" s="1" t="s">
        <v>1865</v>
      </c>
      <c r="J24" s="1" t="s">
        <v>1866</v>
      </c>
      <c r="K24" s="17" t="n">
        <v>1</v>
      </c>
      <c r="L24" s="21" t="str">
        <f aca="false">VLOOKUP(K24,clasif_filas!$A$2:$J$39,2,FALSE())</f>
        <v>Productos de la agricultura, la horticultura y la jardinería comercial</v>
      </c>
      <c r="M24" s="21" t="n">
        <f aca="false">VLOOKUP(K24,clasif_filas!$A$2:$J$39,3,FALSE())</f>
        <v>1</v>
      </c>
      <c r="N24" s="21" t="str">
        <f aca="false">VLOOKUP(K24,clasif_filas!$A$2:$J$39,4,FALSE())</f>
        <v>Productos de la agricultura, la horticultura y la jardinería comercial</v>
      </c>
      <c r="O24" s="21" t="n">
        <f aca="false">VLOOKUP(K24,clasif_filas!$A$2:$J$39,5,FALSE())</f>
        <v>1</v>
      </c>
      <c r="P24" s="21" t="str">
        <f aca="false">VLOOKUP(K24,clasif_filas!$A$2:$J$39,6,FALSE())</f>
        <v>Biomasa que se cultiva para producir alimentos, forrajes, fibras y energía</v>
      </c>
      <c r="Q24" s="21" t="n">
        <f aca="false">VLOOKUP(K24,clasif_filas!$A$2:$J$39,7,FALSE())</f>
        <v>0</v>
      </c>
      <c r="R24" s="21" t="str">
        <f aca="false">VLOOKUP(K24,clasif_filas!$A$2:$J$39,8,FALSE())</f>
        <v>Productos de la agricultura, la silvicultura yla pesca</v>
      </c>
      <c r="S24" s="21" t="n">
        <f aca="false">VLOOKUP(K24,clasif_filas!$A$2:$J$39,9,FALSE())</f>
        <v>1</v>
      </c>
      <c r="T24" s="61" t="str">
        <f aca="false">VLOOKUP(K24,clasif_filas!$A$2:$J$39,10,FALSE())</f>
        <v>Bioeconomía</v>
      </c>
    </row>
    <row r="25" customFormat="false" ht="14.25" hidden="false" customHeight="false" outlineLevel="0" collapsed="false">
      <c r="A25" s="29" t="s">
        <v>49</v>
      </c>
      <c r="B25" s="58" t="s">
        <v>1835</v>
      </c>
      <c r="C25" s="58" t="str">
        <f aca="false">VLOOKUP(B25, AT_FILAS!$A$2:$C$8,2,FALSE())</f>
        <v>Producción</v>
      </c>
      <c r="D25" s="59" t="n">
        <f aca="false">VLOOKUP(B25, AT_FILAS!$A$2:$C$8,3,FALSE())</f>
        <v>1</v>
      </c>
      <c r="E25" s="60" t="s">
        <v>1915</v>
      </c>
      <c r="F25" s="60" t="s">
        <v>1916</v>
      </c>
      <c r="G25" s="1" t="s">
        <v>1908</v>
      </c>
      <c r="H25" s="1" t="n">
        <v>1</v>
      </c>
      <c r="I25" s="1" t="s">
        <v>1865</v>
      </c>
      <c r="J25" s="1" t="s">
        <v>1866</v>
      </c>
      <c r="K25" s="17" t="n">
        <v>1</v>
      </c>
      <c r="L25" s="21" t="str">
        <f aca="false">VLOOKUP(K25,clasif_filas!$A$2:$J$39,2,FALSE())</f>
        <v>Productos de la agricultura, la horticultura y la jardinería comercial</v>
      </c>
      <c r="M25" s="21" t="n">
        <f aca="false">VLOOKUP(K25,clasif_filas!$A$2:$J$39,3,FALSE())</f>
        <v>1</v>
      </c>
      <c r="N25" s="21" t="str">
        <f aca="false">VLOOKUP(K25,clasif_filas!$A$2:$J$39,4,FALSE())</f>
        <v>Productos de la agricultura, la horticultura y la jardinería comercial</v>
      </c>
      <c r="O25" s="21" t="n">
        <f aca="false">VLOOKUP(K25,clasif_filas!$A$2:$J$39,5,FALSE())</f>
        <v>1</v>
      </c>
      <c r="P25" s="21" t="str">
        <f aca="false">VLOOKUP(K25,clasif_filas!$A$2:$J$39,6,FALSE())</f>
        <v>Biomasa que se cultiva para producir alimentos, forrajes, fibras y energía</v>
      </c>
      <c r="Q25" s="21" t="n">
        <f aca="false">VLOOKUP(K25,clasif_filas!$A$2:$J$39,7,FALSE())</f>
        <v>0</v>
      </c>
      <c r="R25" s="21" t="str">
        <f aca="false">VLOOKUP(K25,clasif_filas!$A$2:$J$39,8,FALSE())</f>
        <v>Productos de la agricultura, la silvicultura yla pesca</v>
      </c>
      <c r="S25" s="21" t="n">
        <f aca="false">VLOOKUP(K25,clasif_filas!$A$2:$J$39,9,FALSE())</f>
        <v>1</v>
      </c>
      <c r="T25" s="61" t="str">
        <f aca="false">VLOOKUP(K25,clasif_filas!$A$2:$J$39,10,FALSE())</f>
        <v>Bioeconomía</v>
      </c>
    </row>
    <row r="26" customFormat="false" ht="14.25" hidden="false" customHeight="false" outlineLevel="0" collapsed="false">
      <c r="A26" s="29" t="s">
        <v>51</v>
      </c>
      <c r="B26" s="58" t="s">
        <v>1835</v>
      </c>
      <c r="C26" s="58" t="str">
        <f aca="false">VLOOKUP(B26, AT_FILAS!$A$2:$C$8,2,FALSE())</f>
        <v>Producción</v>
      </c>
      <c r="D26" s="59" t="n">
        <f aca="false">VLOOKUP(B26, AT_FILAS!$A$2:$C$8,3,FALSE())</f>
        <v>1</v>
      </c>
      <c r="E26" s="60" t="s">
        <v>1917</v>
      </c>
      <c r="F26" s="60" t="s">
        <v>1918</v>
      </c>
      <c r="G26" s="1" t="s">
        <v>1908</v>
      </c>
      <c r="H26" s="1" t="n">
        <v>1</v>
      </c>
      <c r="I26" s="1" t="s">
        <v>1865</v>
      </c>
      <c r="J26" s="1" t="s">
        <v>1866</v>
      </c>
      <c r="K26" s="17" t="n">
        <v>1</v>
      </c>
      <c r="L26" s="21" t="str">
        <f aca="false">VLOOKUP(K26,clasif_filas!$A$2:$J$39,2,FALSE())</f>
        <v>Productos de la agricultura, la horticultura y la jardinería comercial</v>
      </c>
      <c r="M26" s="21" t="n">
        <f aca="false">VLOOKUP(K26,clasif_filas!$A$2:$J$39,3,FALSE())</f>
        <v>1</v>
      </c>
      <c r="N26" s="21" t="str">
        <f aca="false">VLOOKUP(K26,clasif_filas!$A$2:$J$39,4,FALSE())</f>
        <v>Productos de la agricultura, la horticultura y la jardinería comercial</v>
      </c>
      <c r="O26" s="21" t="n">
        <f aca="false">VLOOKUP(K26,clasif_filas!$A$2:$J$39,5,FALSE())</f>
        <v>1</v>
      </c>
      <c r="P26" s="21" t="str">
        <f aca="false">VLOOKUP(K26,clasif_filas!$A$2:$J$39,6,FALSE())</f>
        <v>Biomasa que se cultiva para producir alimentos, forrajes, fibras y energía</v>
      </c>
      <c r="Q26" s="21" t="n">
        <f aca="false">VLOOKUP(K26,clasif_filas!$A$2:$J$39,7,FALSE())</f>
        <v>0</v>
      </c>
      <c r="R26" s="21" t="str">
        <f aca="false">VLOOKUP(K26,clasif_filas!$A$2:$J$39,8,FALSE())</f>
        <v>Productos de la agricultura, la silvicultura yla pesca</v>
      </c>
      <c r="S26" s="21" t="n">
        <f aca="false">VLOOKUP(K26,clasif_filas!$A$2:$J$39,9,FALSE())</f>
        <v>1</v>
      </c>
      <c r="T26" s="61" t="str">
        <f aca="false">VLOOKUP(K26,clasif_filas!$A$2:$J$39,10,FALSE())</f>
        <v>Bioeconomía</v>
      </c>
    </row>
    <row r="27" customFormat="false" ht="14.25" hidden="false" customHeight="false" outlineLevel="0" collapsed="false">
      <c r="A27" s="29" t="s">
        <v>53</v>
      </c>
      <c r="B27" s="58" t="s">
        <v>1835</v>
      </c>
      <c r="C27" s="58" t="str">
        <f aca="false">VLOOKUP(B27, AT_FILAS!$A$2:$C$8,2,FALSE())</f>
        <v>Producción</v>
      </c>
      <c r="D27" s="59" t="n">
        <f aca="false">VLOOKUP(B27, AT_FILAS!$A$2:$C$8,3,FALSE())</f>
        <v>1</v>
      </c>
      <c r="E27" s="60" t="s">
        <v>1919</v>
      </c>
      <c r="F27" s="60" t="s">
        <v>1920</v>
      </c>
      <c r="G27" s="1" t="s">
        <v>1908</v>
      </c>
      <c r="H27" s="1" t="n">
        <v>1</v>
      </c>
      <c r="I27" s="1" t="s">
        <v>1865</v>
      </c>
      <c r="J27" s="1" t="s">
        <v>1866</v>
      </c>
      <c r="K27" s="17" t="n">
        <v>1</v>
      </c>
      <c r="L27" s="21" t="str">
        <f aca="false">VLOOKUP(K27,clasif_filas!$A$2:$J$39,2,FALSE())</f>
        <v>Productos de la agricultura, la horticultura y la jardinería comercial</v>
      </c>
      <c r="M27" s="21" t="n">
        <f aca="false">VLOOKUP(K27,clasif_filas!$A$2:$J$39,3,FALSE())</f>
        <v>1</v>
      </c>
      <c r="N27" s="21" t="str">
        <f aca="false">VLOOKUP(K27,clasif_filas!$A$2:$J$39,4,FALSE())</f>
        <v>Productos de la agricultura, la horticultura y la jardinería comercial</v>
      </c>
      <c r="O27" s="21" t="n">
        <f aca="false">VLOOKUP(K27,clasif_filas!$A$2:$J$39,5,FALSE())</f>
        <v>1</v>
      </c>
      <c r="P27" s="21" t="str">
        <f aca="false">VLOOKUP(K27,clasif_filas!$A$2:$J$39,6,FALSE())</f>
        <v>Biomasa que se cultiva para producir alimentos, forrajes, fibras y energía</v>
      </c>
      <c r="Q27" s="21" t="n">
        <f aca="false">VLOOKUP(K27,clasif_filas!$A$2:$J$39,7,FALSE())</f>
        <v>0</v>
      </c>
      <c r="R27" s="21" t="str">
        <f aca="false">VLOOKUP(K27,clasif_filas!$A$2:$J$39,8,FALSE())</f>
        <v>Productos de la agricultura, la silvicultura yla pesca</v>
      </c>
      <c r="S27" s="21" t="n">
        <f aca="false">VLOOKUP(K27,clasif_filas!$A$2:$J$39,9,FALSE())</f>
        <v>1</v>
      </c>
      <c r="T27" s="61" t="str">
        <f aca="false">VLOOKUP(K27,clasif_filas!$A$2:$J$39,10,FALSE())</f>
        <v>Bioeconomía</v>
      </c>
    </row>
    <row r="28" customFormat="false" ht="14.25" hidden="false" customHeight="false" outlineLevel="0" collapsed="false">
      <c r="A28" s="29" t="s">
        <v>55</v>
      </c>
      <c r="B28" s="58" t="s">
        <v>1835</v>
      </c>
      <c r="C28" s="58" t="str">
        <f aca="false">VLOOKUP(B28, AT_FILAS!$A$2:$C$8,2,FALSE())</f>
        <v>Producción</v>
      </c>
      <c r="D28" s="59" t="n">
        <f aca="false">VLOOKUP(B28, AT_FILAS!$A$2:$C$8,3,FALSE())</f>
        <v>1</v>
      </c>
      <c r="E28" s="60" t="s">
        <v>1921</v>
      </c>
      <c r="F28" s="60" t="s">
        <v>1922</v>
      </c>
      <c r="G28" s="1" t="s">
        <v>1908</v>
      </c>
      <c r="H28" s="1" t="n">
        <v>1</v>
      </c>
      <c r="I28" s="1" t="s">
        <v>1865</v>
      </c>
      <c r="J28" s="1" t="s">
        <v>1866</v>
      </c>
      <c r="K28" s="17" t="n">
        <v>1</v>
      </c>
      <c r="L28" s="21" t="str">
        <f aca="false">VLOOKUP(K28,clasif_filas!$A$2:$J$39,2,FALSE())</f>
        <v>Productos de la agricultura, la horticultura y la jardinería comercial</v>
      </c>
      <c r="M28" s="21" t="n">
        <f aca="false">VLOOKUP(K28,clasif_filas!$A$2:$J$39,3,FALSE())</f>
        <v>1</v>
      </c>
      <c r="N28" s="21" t="str">
        <f aca="false">VLOOKUP(K28,clasif_filas!$A$2:$J$39,4,FALSE())</f>
        <v>Productos de la agricultura, la horticultura y la jardinería comercial</v>
      </c>
      <c r="O28" s="21" t="n">
        <f aca="false">VLOOKUP(K28,clasif_filas!$A$2:$J$39,5,FALSE())</f>
        <v>1</v>
      </c>
      <c r="P28" s="21" t="str">
        <f aca="false">VLOOKUP(K28,clasif_filas!$A$2:$J$39,6,FALSE())</f>
        <v>Biomasa que se cultiva para producir alimentos, forrajes, fibras y energía</v>
      </c>
      <c r="Q28" s="21" t="n">
        <f aca="false">VLOOKUP(K28,clasif_filas!$A$2:$J$39,7,FALSE())</f>
        <v>0</v>
      </c>
      <c r="R28" s="21" t="str">
        <f aca="false">VLOOKUP(K28,clasif_filas!$A$2:$J$39,8,FALSE())</f>
        <v>Productos de la agricultura, la silvicultura yla pesca</v>
      </c>
      <c r="S28" s="21" t="n">
        <f aca="false">VLOOKUP(K28,clasif_filas!$A$2:$J$39,9,FALSE())</f>
        <v>1</v>
      </c>
      <c r="T28" s="61" t="str">
        <f aca="false">VLOOKUP(K28,clasif_filas!$A$2:$J$39,10,FALSE())</f>
        <v>Bioeconomía</v>
      </c>
    </row>
    <row r="29" customFormat="false" ht="14.25" hidden="false" customHeight="false" outlineLevel="0" collapsed="false">
      <c r="A29" s="29" t="s">
        <v>57</v>
      </c>
      <c r="B29" s="58" t="s">
        <v>1835</v>
      </c>
      <c r="C29" s="58" t="str">
        <f aca="false">VLOOKUP(B29, AT_FILAS!$A$2:$C$8,2,FALSE())</f>
        <v>Producción</v>
      </c>
      <c r="D29" s="59" t="n">
        <f aca="false">VLOOKUP(B29, AT_FILAS!$A$2:$C$8,3,FALSE())</f>
        <v>1</v>
      </c>
      <c r="E29" s="60" t="s">
        <v>1923</v>
      </c>
      <c r="F29" s="60" t="s">
        <v>1924</v>
      </c>
      <c r="G29" s="1" t="s">
        <v>1908</v>
      </c>
      <c r="H29" s="1" t="n">
        <v>1</v>
      </c>
      <c r="I29" s="1" t="s">
        <v>1865</v>
      </c>
      <c r="J29" s="1" t="s">
        <v>1866</v>
      </c>
      <c r="K29" s="17" t="n">
        <v>1</v>
      </c>
      <c r="L29" s="21" t="str">
        <f aca="false">VLOOKUP(K29,clasif_filas!$A$2:$J$39,2,FALSE())</f>
        <v>Productos de la agricultura, la horticultura y la jardinería comercial</v>
      </c>
      <c r="M29" s="21" t="n">
        <f aca="false">VLOOKUP(K29,clasif_filas!$A$2:$J$39,3,FALSE())</f>
        <v>1</v>
      </c>
      <c r="N29" s="21" t="str">
        <f aca="false">VLOOKUP(K29,clasif_filas!$A$2:$J$39,4,FALSE())</f>
        <v>Productos de la agricultura, la horticultura y la jardinería comercial</v>
      </c>
      <c r="O29" s="21" t="n">
        <f aca="false">VLOOKUP(K29,clasif_filas!$A$2:$J$39,5,FALSE())</f>
        <v>1</v>
      </c>
      <c r="P29" s="21" t="str">
        <f aca="false">VLOOKUP(K29,clasif_filas!$A$2:$J$39,6,FALSE())</f>
        <v>Biomasa que se cultiva para producir alimentos, forrajes, fibras y energía</v>
      </c>
      <c r="Q29" s="21" t="n">
        <f aca="false">VLOOKUP(K29,clasif_filas!$A$2:$J$39,7,FALSE())</f>
        <v>0</v>
      </c>
      <c r="R29" s="21" t="str">
        <f aca="false">VLOOKUP(K29,clasif_filas!$A$2:$J$39,8,FALSE())</f>
        <v>Productos de la agricultura, la silvicultura yla pesca</v>
      </c>
      <c r="S29" s="21" t="n">
        <f aca="false">VLOOKUP(K29,clasif_filas!$A$2:$J$39,9,FALSE())</f>
        <v>1</v>
      </c>
      <c r="T29" s="61" t="str">
        <f aca="false">VLOOKUP(K29,clasif_filas!$A$2:$J$39,10,FALSE())</f>
        <v>Bioeconomía</v>
      </c>
    </row>
    <row r="30" customFormat="false" ht="14.25" hidden="false" customHeight="false" outlineLevel="0" collapsed="false">
      <c r="A30" s="29" t="s">
        <v>59</v>
      </c>
      <c r="B30" s="58" t="s">
        <v>1835</v>
      </c>
      <c r="C30" s="58" t="str">
        <f aca="false">VLOOKUP(B30, AT_FILAS!$A$2:$C$8,2,FALSE())</f>
        <v>Producción</v>
      </c>
      <c r="D30" s="59" t="n">
        <f aca="false">VLOOKUP(B30, AT_FILAS!$A$2:$C$8,3,FALSE())</f>
        <v>1</v>
      </c>
      <c r="E30" s="60" t="s">
        <v>1925</v>
      </c>
      <c r="F30" s="60" t="s">
        <v>1926</v>
      </c>
      <c r="G30" s="1" t="s">
        <v>1908</v>
      </c>
      <c r="H30" s="1" t="n">
        <v>1</v>
      </c>
      <c r="I30" s="1" t="s">
        <v>1865</v>
      </c>
      <c r="J30" s="1" t="s">
        <v>1866</v>
      </c>
      <c r="K30" s="17" t="n">
        <v>1</v>
      </c>
      <c r="L30" s="21" t="str">
        <f aca="false">VLOOKUP(K30,clasif_filas!$A$2:$J$39,2,FALSE())</f>
        <v>Productos de la agricultura, la horticultura y la jardinería comercial</v>
      </c>
      <c r="M30" s="21" t="n">
        <f aca="false">VLOOKUP(K30,clasif_filas!$A$2:$J$39,3,FALSE())</f>
        <v>1</v>
      </c>
      <c r="N30" s="21" t="str">
        <f aca="false">VLOOKUP(K30,clasif_filas!$A$2:$J$39,4,FALSE())</f>
        <v>Productos de la agricultura, la horticultura y la jardinería comercial</v>
      </c>
      <c r="O30" s="21" t="n">
        <f aca="false">VLOOKUP(K30,clasif_filas!$A$2:$J$39,5,FALSE())</f>
        <v>1</v>
      </c>
      <c r="P30" s="21" t="str">
        <f aca="false">VLOOKUP(K30,clasif_filas!$A$2:$J$39,6,FALSE())</f>
        <v>Biomasa que se cultiva para producir alimentos, forrajes, fibras y energía</v>
      </c>
      <c r="Q30" s="21" t="n">
        <f aca="false">VLOOKUP(K30,clasif_filas!$A$2:$J$39,7,FALSE())</f>
        <v>0</v>
      </c>
      <c r="R30" s="21" t="str">
        <f aca="false">VLOOKUP(K30,clasif_filas!$A$2:$J$39,8,FALSE())</f>
        <v>Productos de la agricultura, la silvicultura yla pesca</v>
      </c>
      <c r="S30" s="21" t="n">
        <f aca="false">VLOOKUP(K30,clasif_filas!$A$2:$J$39,9,FALSE())</f>
        <v>1</v>
      </c>
      <c r="T30" s="61" t="str">
        <f aca="false">VLOOKUP(K30,clasif_filas!$A$2:$J$39,10,FALSE())</f>
        <v>Bioeconomía</v>
      </c>
    </row>
    <row r="31" customFormat="false" ht="14.25" hidden="false" customHeight="false" outlineLevel="0" collapsed="false">
      <c r="A31" s="29" t="s">
        <v>61</v>
      </c>
      <c r="B31" s="58" t="s">
        <v>1835</v>
      </c>
      <c r="C31" s="58" t="str">
        <f aca="false">VLOOKUP(B31, AT_FILAS!$A$2:$C$8,2,FALSE())</f>
        <v>Producción</v>
      </c>
      <c r="D31" s="59" t="n">
        <f aca="false">VLOOKUP(B31, AT_FILAS!$A$2:$C$8,3,FALSE())</f>
        <v>1</v>
      </c>
      <c r="E31" s="60" t="s">
        <v>1927</v>
      </c>
      <c r="F31" s="60" t="s">
        <v>1928</v>
      </c>
      <c r="G31" s="1" t="s">
        <v>1929</v>
      </c>
      <c r="H31" s="1" t="n">
        <v>1</v>
      </c>
      <c r="I31" s="1" t="s">
        <v>1865</v>
      </c>
      <c r="J31" s="1" t="s">
        <v>1866</v>
      </c>
      <c r="K31" s="17" t="n">
        <v>1</v>
      </c>
      <c r="L31" s="21" t="str">
        <f aca="false">VLOOKUP(K31,clasif_filas!$A$2:$J$39,2,FALSE())</f>
        <v>Productos de la agricultura, la horticultura y la jardinería comercial</v>
      </c>
      <c r="M31" s="21" t="n">
        <f aca="false">VLOOKUP(K31,clasif_filas!$A$2:$J$39,3,FALSE())</f>
        <v>1</v>
      </c>
      <c r="N31" s="21" t="str">
        <f aca="false">VLOOKUP(K31,clasif_filas!$A$2:$J$39,4,FALSE())</f>
        <v>Productos de la agricultura, la horticultura y la jardinería comercial</v>
      </c>
      <c r="O31" s="21" t="n">
        <f aca="false">VLOOKUP(K31,clasif_filas!$A$2:$J$39,5,FALSE())</f>
        <v>1</v>
      </c>
      <c r="P31" s="21" t="str">
        <f aca="false">VLOOKUP(K31,clasif_filas!$A$2:$J$39,6,FALSE())</f>
        <v>Biomasa que se cultiva para producir alimentos, forrajes, fibras y energía</v>
      </c>
      <c r="Q31" s="21" t="n">
        <f aca="false">VLOOKUP(K31,clasif_filas!$A$2:$J$39,7,FALSE())</f>
        <v>0</v>
      </c>
      <c r="R31" s="21" t="str">
        <f aca="false">VLOOKUP(K31,clasif_filas!$A$2:$J$39,8,FALSE())</f>
        <v>Productos de la agricultura, la silvicultura yla pesca</v>
      </c>
      <c r="S31" s="21" t="n">
        <f aca="false">VLOOKUP(K31,clasif_filas!$A$2:$J$39,9,FALSE())</f>
        <v>1</v>
      </c>
      <c r="T31" s="61" t="str">
        <f aca="false">VLOOKUP(K31,clasif_filas!$A$2:$J$39,10,FALSE())</f>
        <v>Bioeconomía</v>
      </c>
    </row>
    <row r="32" customFormat="false" ht="14.25" hidden="false" customHeight="false" outlineLevel="0" collapsed="false">
      <c r="A32" s="29" t="s">
        <v>63</v>
      </c>
      <c r="B32" s="58" t="s">
        <v>1835</v>
      </c>
      <c r="C32" s="58" t="str">
        <f aca="false">VLOOKUP(B32, AT_FILAS!$A$2:$C$8,2,FALSE())</f>
        <v>Producción</v>
      </c>
      <c r="D32" s="59" t="n">
        <f aca="false">VLOOKUP(B32, AT_FILAS!$A$2:$C$8,3,FALSE())</f>
        <v>1</v>
      </c>
      <c r="E32" s="60" t="s">
        <v>1930</v>
      </c>
      <c r="F32" s="60" t="s">
        <v>1931</v>
      </c>
      <c r="G32" s="1" t="s">
        <v>1908</v>
      </c>
      <c r="H32" s="1" t="n">
        <v>1</v>
      </c>
      <c r="I32" s="1" t="s">
        <v>1865</v>
      </c>
      <c r="J32" s="1" t="s">
        <v>1866</v>
      </c>
      <c r="K32" s="17" t="n">
        <v>1</v>
      </c>
      <c r="L32" s="21" t="str">
        <f aca="false">VLOOKUP(K32,clasif_filas!$A$2:$J$39,2,FALSE())</f>
        <v>Productos de la agricultura, la horticultura y la jardinería comercial</v>
      </c>
      <c r="M32" s="21" t="n">
        <f aca="false">VLOOKUP(K32,clasif_filas!$A$2:$J$39,3,FALSE())</f>
        <v>1</v>
      </c>
      <c r="N32" s="21" t="str">
        <f aca="false">VLOOKUP(K32,clasif_filas!$A$2:$J$39,4,FALSE())</f>
        <v>Productos de la agricultura, la horticultura y la jardinería comercial</v>
      </c>
      <c r="O32" s="21" t="n">
        <f aca="false">VLOOKUP(K32,clasif_filas!$A$2:$J$39,5,FALSE())</f>
        <v>1</v>
      </c>
      <c r="P32" s="21" t="str">
        <f aca="false">VLOOKUP(K32,clasif_filas!$A$2:$J$39,6,FALSE())</f>
        <v>Biomasa que se cultiva para producir alimentos, forrajes, fibras y energía</v>
      </c>
      <c r="Q32" s="21" t="n">
        <f aca="false">VLOOKUP(K32,clasif_filas!$A$2:$J$39,7,FALSE())</f>
        <v>0</v>
      </c>
      <c r="R32" s="21" t="str">
        <f aca="false">VLOOKUP(K32,clasif_filas!$A$2:$J$39,8,FALSE())</f>
        <v>Productos de la agricultura, la silvicultura yla pesca</v>
      </c>
      <c r="S32" s="21" t="n">
        <f aca="false">VLOOKUP(K32,clasif_filas!$A$2:$J$39,9,FALSE())</f>
        <v>1</v>
      </c>
      <c r="T32" s="61" t="str">
        <f aca="false">VLOOKUP(K32,clasif_filas!$A$2:$J$39,10,FALSE())</f>
        <v>Bioeconomía</v>
      </c>
    </row>
    <row r="33" customFormat="false" ht="25.55" hidden="false" customHeight="false" outlineLevel="0" collapsed="false">
      <c r="A33" s="29" t="s">
        <v>65</v>
      </c>
      <c r="B33" s="58" t="s">
        <v>1835</v>
      </c>
      <c r="C33" s="58" t="str">
        <f aca="false">VLOOKUP(B33, AT_FILAS!$A$2:$C$8,2,FALSE())</f>
        <v>Producción</v>
      </c>
      <c r="D33" s="59" t="n">
        <f aca="false">VLOOKUP(B33, AT_FILAS!$A$2:$C$8,3,FALSE())</f>
        <v>1</v>
      </c>
      <c r="E33" s="60" t="s">
        <v>1932</v>
      </c>
      <c r="F33" s="60" t="s">
        <v>1933</v>
      </c>
      <c r="G33" s="1" t="s">
        <v>1908</v>
      </c>
      <c r="H33" s="1" t="n">
        <v>1</v>
      </c>
      <c r="I33" s="1" t="s">
        <v>1865</v>
      </c>
      <c r="J33" s="1" t="s">
        <v>1866</v>
      </c>
      <c r="K33" s="17" t="n">
        <v>1</v>
      </c>
      <c r="L33" s="21" t="str">
        <f aca="false">VLOOKUP(K33,clasif_filas!$A$2:$J$39,2,FALSE())</f>
        <v>Productos de la agricultura, la horticultura y la jardinería comercial</v>
      </c>
      <c r="M33" s="21" t="n">
        <f aca="false">VLOOKUP(K33,clasif_filas!$A$2:$J$39,3,FALSE())</f>
        <v>1</v>
      </c>
      <c r="N33" s="21" t="str">
        <f aca="false">VLOOKUP(K33,clasif_filas!$A$2:$J$39,4,FALSE())</f>
        <v>Productos de la agricultura, la horticultura y la jardinería comercial</v>
      </c>
      <c r="O33" s="21" t="n">
        <f aca="false">VLOOKUP(K33,clasif_filas!$A$2:$J$39,5,FALSE())</f>
        <v>1</v>
      </c>
      <c r="P33" s="21" t="str">
        <f aca="false">VLOOKUP(K33,clasif_filas!$A$2:$J$39,6,FALSE())</f>
        <v>Biomasa que se cultiva para producir alimentos, forrajes, fibras y energía</v>
      </c>
      <c r="Q33" s="21" t="n">
        <f aca="false">VLOOKUP(K33,clasif_filas!$A$2:$J$39,7,FALSE())</f>
        <v>0</v>
      </c>
      <c r="R33" s="21" t="str">
        <f aca="false">VLOOKUP(K33,clasif_filas!$A$2:$J$39,8,FALSE())</f>
        <v>Productos de la agricultura, la silvicultura yla pesca</v>
      </c>
      <c r="S33" s="21" t="n">
        <f aca="false">VLOOKUP(K33,clasif_filas!$A$2:$J$39,9,FALSE())</f>
        <v>1</v>
      </c>
      <c r="T33" s="61" t="str">
        <f aca="false">VLOOKUP(K33,clasif_filas!$A$2:$J$39,10,FALSE())</f>
        <v>Bioeconomía</v>
      </c>
    </row>
    <row r="34" customFormat="false" ht="25.55" hidden="false" customHeight="false" outlineLevel="0" collapsed="false">
      <c r="A34" s="29" t="s">
        <v>67</v>
      </c>
      <c r="B34" s="58" t="s">
        <v>1835</v>
      </c>
      <c r="C34" s="58" t="str">
        <f aca="false">VLOOKUP(B34, AT_FILAS!$A$2:$C$8,2,FALSE())</f>
        <v>Producción</v>
      </c>
      <c r="D34" s="59" t="n">
        <f aca="false">VLOOKUP(B34, AT_FILAS!$A$2:$C$8,3,FALSE())</f>
        <v>1</v>
      </c>
      <c r="E34" s="60" t="s">
        <v>1934</v>
      </c>
      <c r="F34" s="60" t="s">
        <v>1935</v>
      </c>
      <c r="G34" s="1" t="s">
        <v>1936</v>
      </c>
      <c r="H34" s="1" t="n">
        <v>3</v>
      </c>
      <c r="I34" s="1" t="s">
        <v>1937</v>
      </c>
      <c r="J34" s="1" t="s">
        <v>1936</v>
      </c>
      <c r="K34" s="17" t="n">
        <v>86</v>
      </c>
      <c r="L34" s="21" t="str">
        <f aca="false">VLOOKUP(K34,clasif_filas!$A$2:$J$39,2,FALSE())</f>
        <v>Servicios de apoyo a la agricultura,la caza, la silvicutura, la pesca, la minería y los servicios públicos</v>
      </c>
      <c r="M34" s="21" t="n">
        <f aca="false">VLOOKUP(K34,clasif_filas!$A$2:$J$39,3,FALSE())</f>
        <v>86</v>
      </c>
      <c r="N34" s="21" t="str">
        <f aca="false">VLOOKUP(K34,clasif_filas!$A$2:$J$39,4,FALSE())</f>
        <v>Servicios de apoyo a la agricultura,la caza, la silvicutura, la pesca, la minería y los servicios públicos</v>
      </c>
      <c r="O34" s="21" t="n">
        <f aca="false">VLOOKUP(K34,clasif_filas!$A$2:$J$39,5,FALSE())</f>
        <v>6</v>
      </c>
      <c r="P34" s="21" t="str">
        <f aca="false">VLOOKUP(K34,clasif_filas!$A$2:$J$39,6,FALSE())</f>
        <v>Conocimiento, procesos y servicios relacionados</v>
      </c>
      <c r="Q34" s="21" t="n">
        <f aca="false">VLOOKUP(K34,clasif_filas!$A$2:$J$39,7,FALSE())</f>
        <v>8</v>
      </c>
      <c r="R34" s="21" t="str">
        <f aca="false">VLOOKUP(K34,clasif_filas!$A$2:$J$39,8,FALSE())</f>
        <v>Servicios prestados a las empresas y servicios de producción</v>
      </c>
      <c r="S34" s="21" t="n">
        <f aca="false">VLOOKUP(K34,clasif_filas!$A$2:$J$39,9,FALSE())</f>
        <v>1</v>
      </c>
      <c r="T34" s="61" t="s">
        <v>1938</v>
      </c>
    </row>
    <row r="35" customFormat="false" ht="14.25" hidden="false" customHeight="false" outlineLevel="0" collapsed="false">
      <c r="A35" s="29" t="s">
        <v>69</v>
      </c>
      <c r="B35" s="58" t="s">
        <v>1835</v>
      </c>
      <c r="C35" s="58" t="str">
        <f aca="false">VLOOKUP(B35, AT_FILAS!$A$2:$C$8,2,FALSE())</f>
        <v>Producción</v>
      </c>
      <c r="D35" s="59" t="n">
        <f aca="false">VLOOKUP(B35, AT_FILAS!$A$2:$C$8,3,FALSE())</f>
        <v>1</v>
      </c>
      <c r="E35" s="60" t="s">
        <v>1939</v>
      </c>
      <c r="F35" s="60" t="s">
        <v>1940</v>
      </c>
      <c r="G35" s="1" t="s">
        <v>1941</v>
      </c>
      <c r="H35" s="1" t="n">
        <v>1</v>
      </c>
      <c r="I35" s="1" t="s">
        <v>1865</v>
      </c>
      <c r="J35" s="1" t="s">
        <v>1941</v>
      </c>
      <c r="K35" s="17" t="n">
        <v>3</v>
      </c>
      <c r="L35" s="21" t="str">
        <f aca="false">VLOOKUP(K35,clasif_filas!$A$2:$J$39,2,FALSE())</f>
        <v>Productos forestales y de la tala</v>
      </c>
      <c r="M35" s="21" t="n">
        <f aca="false">VLOOKUP(K35,clasif_filas!$A$2:$J$39,3,FALSE())</f>
        <v>3</v>
      </c>
      <c r="N35" s="21" t="str">
        <f aca="false">VLOOKUP(K35,clasif_filas!$A$2:$J$39,4,FALSE())</f>
        <v>Productos forestales y de la tala</v>
      </c>
      <c r="O35" s="21" t="n">
        <f aca="false">VLOOKUP(K35,clasif_filas!$A$2:$J$39,5,FALSE())</f>
        <v>3</v>
      </c>
      <c r="P35" s="21" t="str">
        <f aca="false">VLOOKUP(K35,clasif_filas!$A$2:$J$39,6,FALSE())</f>
        <v>Biomasa forestal, sobre todo la que se cultiva para su aprovechamiento en las industrias forestal y del papel, y aquella extraída legalmente de ecosistemas naturales</v>
      </c>
      <c r="Q35" s="21" t="n">
        <f aca="false">VLOOKUP(K35,clasif_filas!$A$2:$J$39,7,FALSE())</f>
        <v>0</v>
      </c>
      <c r="R35" s="21" t="str">
        <f aca="false">VLOOKUP(K35,clasif_filas!$A$2:$J$39,8,FALSE())</f>
        <v>Productos de la agricultura, la silvicultura yla pesca</v>
      </c>
      <c r="S35" s="21" t="n">
        <f aca="false">VLOOKUP(K35,clasif_filas!$A$2:$J$39,9,FALSE())</f>
        <v>1</v>
      </c>
      <c r="T35" s="61" t="str">
        <f aca="false">VLOOKUP(K35,clasif_filas!$A$2:$J$39,10,FALSE())</f>
        <v>Bioeconomía</v>
      </c>
    </row>
    <row r="36" customFormat="false" ht="14.25" hidden="false" customHeight="false" outlineLevel="0" collapsed="false">
      <c r="A36" s="29" t="s">
        <v>71</v>
      </c>
      <c r="B36" s="58" t="s">
        <v>1835</v>
      </c>
      <c r="C36" s="58" t="str">
        <f aca="false">VLOOKUP(B36, AT_FILAS!$A$2:$C$8,2,FALSE())</f>
        <v>Producción</v>
      </c>
      <c r="D36" s="59" t="n">
        <f aca="false">VLOOKUP(B36, AT_FILAS!$A$2:$C$8,3,FALSE())</f>
        <v>1</v>
      </c>
      <c r="E36" s="60" t="s">
        <v>1942</v>
      </c>
      <c r="F36" s="60" t="s">
        <v>1943</v>
      </c>
      <c r="G36" s="1" t="s">
        <v>1941</v>
      </c>
      <c r="H36" s="1" t="n">
        <v>1</v>
      </c>
      <c r="I36" s="1" t="s">
        <v>1865</v>
      </c>
      <c r="J36" s="1" t="s">
        <v>1941</v>
      </c>
      <c r="K36" s="17" t="n">
        <v>3</v>
      </c>
      <c r="L36" s="21" t="str">
        <f aca="false">VLOOKUP(K36,clasif_filas!$A$2:$J$39,2,FALSE())</f>
        <v>Productos forestales y de la tala</v>
      </c>
      <c r="M36" s="21" t="n">
        <f aca="false">VLOOKUP(K36,clasif_filas!$A$2:$J$39,3,FALSE())</f>
        <v>3</v>
      </c>
      <c r="N36" s="21" t="str">
        <f aca="false">VLOOKUP(K36,clasif_filas!$A$2:$J$39,4,FALSE())</f>
        <v>Productos forestales y de la tala</v>
      </c>
      <c r="O36" s="21" t="n">
        <f aca="false">VLOOKUP(K36,clasif_filas!$A$2:$J$39,5,FALSE())</f>
        <v>3</v>
      </c>
      <c r="P36" s="21" t="str">
        <f aca="false">VLOOKUP(K36,clasif_filas!$A$2:$J$39,6,FALSE())</f>
        <v>Biomasa forestal, sobre todo la que se cultiva para su aprovechamiento en las industrias forestal y del papel, y aquella extraída legalmente de ecosistemas naturales</v>
      </c>
      <c r="Q36" s="21" t="n">
        <f aca="false">VLOOKUP(K36,clasif_filas!$A$2:$J$39,7,FALSE())</f>
        <v>0</v>
      </c>
      <c r="R36" s="21" t="str">
        <f aca="false">VLOOKUP(K36,clasif_filas!$A$2:$J$39,8,FALSE())</f>
        <v>Productos de la agricultura, la silvicultura yla pesca</v>
      </c>
      <c r="S36" s="21" t="n">
        <f aca="false">VLOOKUP(K36,clasif_filas!$A$2:$J$39,9,FALSE())</f>
        <v>1</v>
      </c>
      <c r="T36" s="61" t="str">
        <f aca="false">VLOOKUP(K36,clasif_filas!$A$2:$J$39,10,FALSE())</f>
        <v>Bioeconomía</v>
      </c>
    </row>
    <row r="37" customFormat="false" ht="14.25" hidden="false" customHeight="false" outlineLevel="0" collapsed="false">
      <c r="A37" s="29" t="s">
        <v>73</v>
      </c>
      <c r="B37" s="58" t="s">
        <v>1835</v>
      </c>
      <c r="C37" s="58" t="str">
        <f aca="false">VLOOKUP(B37, AT_FILAS!$A$2:$C$8,2,FALSE())</f>
        <v>Producción</v>
      </c>
      <c r="D37" s="59" t="n">
        <f aca="false">VLOOKUP(B37, AT_FILAS!$A$2:$C$8,3,FALSE())</f>
        <v>1</v>
      </c>
      <c r="E37" s="60" t="s">
        <v>1944</v>
      </c>
      <c r="F37" s="60" t="s">
        <v>1945</v>
      </c>
      <c r="G37" s="1" t="s">
        <v>1908</v>
      </c>
      <c r="H37" s="1" t="n">
        <v>1</v>
      </c>
      <c r="I37" s="1" t="s">
        <v>1865</v>
      </c>
      <c r="J37" s="1" t="s">
        <v>1866</v>
      </c>
      <c r="K37" s="17" t="n">
        <v>4</v>
      </c>
      <c r="L37" s="21" t="str">
        <f aca="false">VLOOKUP(K37,clasif_filas!$A$2:$J$39,2,FALSE())</f>
        <v>Pescado y otros productos de la pesca</v>
      </c>
      <c r="M37" s="21" t="n">
        <f aca="false">VLOOKUP(K37,clasif_filas!$A$2:$J$39,3,FALSE())</f>
        <v>4</v>
      </c>
      <c r="N37" s="21" t="str">
        <f aca="false">VLOOKUP(K37,clasif_filas!$A$2:$J$39,4,FALSE())</f>
        <v>Pescado y otros productos de la pesca</v>
      </c>
      <c r="O37" s="21" t="n">
        <f aca="false">VLOOKUP(K37,clasif_filas!$A$2:$J$39,5,FALSE())</f>
        <v>2</v>
      </c>
      <c r="P37" s="21" t="str">
        <f aca="false">VLOOKUP(K37,clasif_filas!$A$2:$J$39,6,FALSE())</f>
        <v>Biomasa de los recursos marinos y la producida mediante la acuicultura</v>
      </c>
      <c r="Q37" s="21" t="n">
        <f aca="false">VLOOKUP(K37,clasif_filas!$A$2:$J$39,7,FALSE())</f>
        <v>0</v>
      </c>
      <c r="R37" s="21" t="str">
        <f aca="false">VLOOKUP(K37,clasif_filas!$A$2:$J$39,8,FALSE())</f>
        <v>Productos de la agricultura, la silvicultura yla pesca</v>
      </c>
      <c r="S37" s="21" t="n">
        <f aca="false">VLOOKUP(K37,clasif_filas!$A$2:$J$39,9,FALSE())</f>
        <v>1</v>
      </c>
      <c r="T37" s="61" t="str">
        <f aca="false">VLOOKUP(K37,clasif_filas!$A$2:$J$39,10,FALSE())</f>
        <v>Bioeconomía</v>
      </c>
    </row>
    <row r="38" customFormat="false" ht="25.55" hidden="false" customHeight="false" outlineLevel="0" collapsed="false">
      <c r="A38" s="29" t="s">
        <v>75</v>
      </c>
      <c r="B38" s="58" t="s">
        <v>1835</v>
      </c>
      <c r="C38" s="58" t="str">
        <f aca="false">VLOOKUP(B38, AT_FILAS!$A$2:$C$8,2,FALSE())</f>
        <v>Producción</v>
      </c>
      <c r="D38" s="59" t="n">
        <f aca="false">VLOOKUP(B38, AT_FILAS!$A$2:$C$8,3,FALSE())</f>
        <v>1</v>
      </c>
      <c r="E38" s="60" t="s">
        <v>1946</v>
      </c>
      <c r="F38" s="60" t="s">
        <v>1947</v>
      </c>
      <c r="G38" s="1" t="s">
        <v>1908</v>
      </c>
      <c r="H38" s="1" t="n">
        <v>1</v>
      </c>
      <c r="I38" s="1" t="s">
        <v>1865</v>
      </c>
      <c r="J38" s="1" t="s">
        <v>1866</v>
      </c>
      <c r="K38" s="17" t="n">
        <v>4</v>
      </c>
      <c r="L38" s="21" t="str">
        <f aca="false">VLOOKUP(K38,clasif_filas!$A$2:$J$39,2,FALSE())</f>
        <v>Pescado y otros productos de la pesca</v>
      </c>
      <c r="M38" s="21" t="n">
        <f aca="false">VLOOKUP(K38,clasif_filas!$A$2:$J$39,3,FALSE())</f>
        <v>4</v>
      </c>
      <c r="N38" s="21" t="str">
        <f aca="false">VLOOKUP(K38,clasif_filas!$A$2:$J$39,4,FALSE())</f>
        <v>Pescado y otros productos de la pesca</v>
      </c>
      <c r="O38" s="21" t="n">
        <f aca="false">VLOOKUP(K38,clasif_filas!$A$2:$J$39,5,FALSE())</f>
        <v>2</v>
      </c>
      <c r="P38" s="21" t="str">
        <f aca="false">VLOOKUP(K38,clasif_filas!$A$2:$J$39,6,FALSE())</f>
        <v>Biomasa de los recursos marinos y la producida mediante la acuicultura</v>
      </c>
      <c r="Q38" s="21" t="n">
        <f aca="false">VLOOKUP(K38,clasif_filas!$A$2:$J$39,7,FALSE())</f>
        <v>0</v>
      </c>
      <c r="R38" s="21" t="str">
        <f aca="false">VLOOKUP(K38,clasif_filas!$A$2:$J$39,8,FALSE())</f>
        <v>Productos de la agricultura, la silvicultura yla pesca</v>
      </c>
      <c r="S38" s="21" t="n">
        <f aca="false">VLOOKUP(K38,clasif_filas!$A$2:$J$39,9,FALSE())</f>
        <v>1</v>
      </c>
      <c r="T38" s="61" t="str">
        <f aca="false">VLOOKUP(K38,clasif_filas!$A$2:$J$39,10,FALSE())</f>
        <v>Bioeconomía</v>
      </c>
    </row>
    <row r="39" customFormat="false" ht="14.25" hidden="false" customHeight="false" outlineLevel="0" collapsed="false">
      <c r="A39" s="29" t="s">
        <v>77</v>
      </c>
      <c r="B39" s="58" t="s">
        <v>1835</v>
      </c>
      <c r="C39" s="58" t="str">
        <f aca="false">VLOOKUP(B39, AT_FILAS!$A$2:$C$8,2,FALSE())</f>
        <v>Producción</v>
      </c>
      <c r="D39" s="59" t="n">
        <f aca="false">VLOOKUP(B39, AT_FILAS!$A$2:$C$8,3,FALSE())</f>
        <v>1</v>
      </c>
      <c r="E39" s="60" t="s">
        <v>1948</v>
      </c>
      <c r="F39" s="60" t="s">
        <v>1949</v>
      </c>
      <c r="G39" s="1" t="s">
        <v>1908</v>
      </c>
      <c r="H39" s="1" t="n">
        <v>1</v>
      </c>
      <c r="I39" s="1" t="s">
        <v>1865</v>
      </c>
      <c r="J39" s="1" t="s">
        <v>1866</v>
      </c>
      <c r="K39" s="17" t="n">
        <v>4</v>
      </c>
      <c r="L39" s="21" t="str">
        <f aca="false">VLOOKUP(K39,clasif_filas!$A$2:$J$39,2,FALSE())</f>
        <v>Pescado y otros productos de la pesca</v>
      </c>
      <c r="M39" s="21" t="n">
        <f aca="false">VLOOKUP(K39,clasif_filas!$A$2:$J$39,3,FALSE())</f>
        <v>4</v>
      </c>
      <c r="N39" s="21" t="str">
        <f aca="false">VLOOKUP(K39,clasif_filas!$A$2:$J$39,4,FALSE())</f>
        <v>Pescado y otros productos de la pesca</v>
      </c>
      <c r="O39" s="21" t="n">
        <f aca="false">VLOOKUP(K39,clasif_filas!$A$2:$J$39,5,FALSE())</f>
        <v>2</v>
      </c>
      <c r="P39" s="21" t="str">
        <f aca="false">VLOOKUP(K39,clasif_filas!$A$2:$J$39,6,FALSE())</f>
        <v>Biomasa de los recursos marinos y la producida mediante la acuicultura</v>
      </c>
      <c r="Q39" s="21" t="n">
        <f aca="false">VLOOKUP(K39,clasif_filas!$A$2:$J$39,7,FALSE())</f>
        <v>0</v>
      </c>
      <c r="R39" s="21" t="str">
        <f aca="false">VLOOKUP(K39,clasif_filas!$A$2:$J$39,8,FALSE())</f>
        <v>Productos de la agricultura, la silvicultura yla pesca</v>
      </c>
      <c r="S39" s="21" t="n">
        <f aca="false">VLOOKUP(K39,clasif_filas!$A$2:$J$39,9,FALSE())</f>
        <v>1</v>
      </c>
      <c r="T39" s="61" t="str">
        <f aca="false">VLOOKUP(K39,clasif_filas!$A$2:$J$39,10,FALSE())</f>
        <v>Bioeconomía</v>
      </c>
    </row>
    <row r="40" customFormat="false" ht="14.25" hidden="false" customHeight="false" outlineLevel="0" collapsed="false">
      <c r="A40" s="29" t="s">
        <v>79</v>
      </c>
      <c r="B40" s="58" t="s">
        <v>1835</v>
      </c>
      <c r="C40" s="58" t="str">
        <f aca="false">VLOOKUP(B40, AT_FILAS!$A$2:$C$8,2,FALSE())</f>
        <v>Producción</v>
      </c>
      <c r="D40" s="59" t="n">
        <f aca="false">VLOOKUP(B40, AT_FILAS!$A$2:$C$8,3,FALSE())</f>
        <v>1</v>
      </c>
      <c r="E40" s="60" t="s">
        <v>1950</v>
      </c>
      <c r="F40" s="60" t="s">
        <v>1951</v>
      </c>
      <c r="G40" s="1" t="s">
        <v>1602</v>
      </c>
      <c r="H40" s="1" t="n">
        <v>4</v>
      </c>
      <c r="I40" s="1" t="s">
        <v>1602</v>
      </c>
      <c r="J40" s="1" t="s">
        <v>1602</v>
      </c>
      <c r="K40" s="17" t="n">
        <v>11</v>
      </c>
      <c r="L40" s="21" t="str">
        <f aca="false">VLOOKUP(K40,clasif_filas!$A$2:$J$39,2,FALSE())</f>
        <v>Minerales, combustibles y derivados</v>
      </c>
      <c r="M40" s="21" t="n">
        <f aca="false">VLOOKUP(K40,clasif_filas!$A$2:$J$39,3,FALSE())</f>
        <v>11</v>
      </c>
      <c r="N40" s="21" t="str">
        <f aca="false">VLOOKUP(K40,clasif_filas!$A$2:$J$39,4,FALSE())</f>
        <v>Minerales, combustibles y derivados</v>
      </c>
      <c r="O40" s="21" t="n">
        <f aca="false">VLOOKUP(K40,clasif_filas!$A$2:$J$39,5,FALSE())</f>
        <v>99</v>
      </c>
      <c r="P40" s="21" t="str">
        <f aca="false">VLOOKUP(K40,clasif_filas!$A$2:$J$39,6,FALSE())</f>
        <v>No Bioeconomía</v>
      </c>
      <c r="Q40" s="21" t="n">
        <f aca="false">VLOOKUP(K40,clasif_filas!$A$2:$J$39,7,FALSE())</f>
        <v>1</v>
      </c>
      <c r="R40" s="21" t="str">
        <f aca="false">VLOOKUP(K40,clasif_filas!$A$2:$J$39,8,FALSE())</f>
        <v>Minerales; electricidad, gas y agua</v>
      </c>
      <c r="S40" s="21" t="n">
        <f aca="false">VLOOKUP(K40,clasif_filas!$A$2:$J$39,9,FALSE())</f>
        <v>3</v>
      </c>
      <c r="T40" s="61" t="str">
        <f aca="false">VLOOKUP(K40,clasif_filas!$A$2:$J$39,10,FALSE())</f>
        <v>No bioeconomía</v>
      </c>
    </row>
    <row r="41" customFormat="false" ht="14.25" hidden="false" customHeight="false" outlineLevel="0" collapsed="false">
      <c r="A41" s="29" t="s">
        <v>81</v>
      </c>
      <c r="B41" s="58" t="s">
        <v>1835</v>
      </c>
      <c r="C41" s="58" t="str">
        <f aca="false">VLOOKUP(B41, AT_FILAS!$A$2:$C$8,2,FALSE())</f>
        <v>Producción</v>
      </c>
      <c r="D41" s="59" t="n">
        <f aca="false">VLOOKUP(B41, AT_FILAS!$A$2:$C$8,3,FALSE())</f>
        <v>1</v>
      </c>
      <c r="E41" s="60" t="s">
        <v>1952</v>
      </c>
      <c r="F41" s="60" t="s">
        <v>1953</v>
      </c>
      <c r="G41" s="1" t="s">
        <v>1602</v>
      </c>
      <c r="H41" s="1" t="n">
        <v>4</v>
      </c>
      <c r="I41" s="1" t="s">
        <v>1602</v>
      </c>
      <c r="J41" s="1" t="s">
        <v>1602</v>
      </c>
      <c r="K41" s="17" t="n">
        <v>11</v>
      </c>
      <c r="L41" s="21" t="str">
        <f aca="false">VLOOKUP(K41,clasif_filas!$A$2:$J$39,2,FALSE())</f>
        <v>Minerales, combustibles y derivados</v>
      </c>
      <c r="M41" s="21" t="n">
        <f aca="false">VLOOKUP(K41,clasif_filas!$A$2:$J$39,3,FALSE())</f>
        <v>11</v>
      </c>
      <c r="N41" s="21" t="str">
        <f aca="false">VLOOKUP(K41,clasif_filas!$A$2:$J$39,4,FALSE())</f>
        <v>Minerales, combustibles y derivados</v>
      </c>
      <c r="O41" s="21" t="n">
        <f aca="false">VLOOKUP(K41,clasif_filas!$A$2:$J$39,5,FALSE())</f>
        <v>99</v>
      </c>
      <c r="P41" s="21" t="str">
        <f aca="false">VLOOKUP(K41,clasif_filas!$A$2:$J$39,6,FALSE())</f>
        <v>No Bioeconomía</v>
      </c>
      <c r="Q41" s="21" t="n">
        <f aca="false">VLOOKUP(K41,clasif_filas!$A$2:$J$39,7,FALSE())</f>
        <v>1</v>
      </c>
      <c r="R41" s="21" t="str">
        <f aca="false">VLOOKUP(K41,clasif_filas!$A$2:$J$39,8,FALSE())</f>
        <v>Minerales; electricidad, gas y agua</v>
      </c>
      <c r="S41" s="21" t="n">
        <f aca="false">VLOOKUP(K41,clasif_filas!$A$2:$J$39,9,FALSE())</f>
        <v>3</v>
      </c>
      <c r="T41" s="61" t="str">
        <f aca="false">VLOOKUP(K41,clasif_filas!$A$2:$J$39,10,FALSE())</f>
        <v>No bioeconomía</v>
      </c>
    </row>
    <row r="42" customFormat="false" ht="14.25" hidden="false" customHeight="false" outlineLevel="0" collapsed="false">
      <c r="A42" s="29" t="s">
        <v>83</v>
      </c>
      <c r="B42" s="58" t="s">
        <v>1835</v>
      </c>
      <c r="C42" s="58" t="str">
        <f aca="false">VLOOKUP(B42, AT_FILAS!$A$2:$C$8,2,FALSE())</f>
        <v>Producción</v>
      </c>
      <c r="D42" s="59" t="n">
        <f aca="false">VLOOKUP(B42, AT_FILAS!$A$2:$C$8,3,FALSE())</f>
        <v>1</v>
      </c>
      <c r="E42" s="60" t="s">
        <v>1954</v>
      </c>
      <c r="F42" s="60" t="s">
        <v>1955</v>
      </c>
      <c r="G42" s="1" t="s">
        <v>1602</v>
      </c>
      <c r="H42" s="1" t="n">
        <v>4</v>
      </c>
      <c r="I42" s="1" t="s">
        <v>1602</v>
      </c>
      <c r="J42" s="1" t="s">
        <v>1602</v>
      </c>
      <c r="K42" s="17" t="n">
        <v>11</v>
      </c>
      <c r="L42" s="21" t="str">
        <f aca="false">VLOOKUP(K42,clasif_filas!$A$2:$J$39,2,FALSE())</f>
        <v>Minerales, combustibles y derivados</v>
      </c>
      <c r="M42" s="21" t="n">
        <f aca="false">VLOOKUP(K42,clasif_filas!$A$2:$J$39,3,FALSE())</f>
        <v>11</v>
      </c>
      <c r="N42" s="21" t="str">
        <f aca="false">VLOOKUP(K42,clasif_filas!$A$2:$J$39,4,FALSE())</f>
        <v>Minerales, combustibles y derivados</v>
      </c>
      <c r="O42" s="21" t="n">
        <f aca="false">VLOOKUP(K42,clasif_filas!$A$2:$J$39,5,FALSE())</f>
        <v>99</v>
      </c>
      <c r="P42" s="21" t="str">
        <f aca="false">VLOOKUP(K42,clasif_filas!$A$2:$J$39,6,FALSE())</f>
        <v>No Bioeconomía</v>
      </c>
      <c r="Q42" s="21" t="n">
        <f aca="false">VLOOKUP(K42,clasif_filas!$A$2:$J$39,7,FALSE())</f>
        <v>1</v>
      </c>
      <c r="R42" s="21" t="str">
        <f aca="false">VLOOKUP(K42,clasif_filas!$A$2:$J$39,8,FALSE())</f>
        <v>Minerales; electricidad, gas y agua</v>
      </c>
      <c r="S42" s="21" t="n">
        <f aca="false">VLOOKUP(K42,clasif_filas!$A$2:$J$39,9,FALSE())</f>
        <v>3</v>
      </c>
      <c r="T42" s="61" t="str">
        <f aca="false">VLOOKUP(K42,clasif_filas!$A$2:$J$39,10,FALSE())</f>
        <v>No bioeconomía</v>
      </c>
    </row>
    <row r="43" customFormat="false" ht="14.25" hidden="false" customHeight="false" outlineLevel="0" collapsed="false">
      <c r="A43" s="29" t="s">
        <v>85</v>
      </c>
      <c r="B43" s="58" t="s">
        <v>1835</v>
      </c>
      <c r="C43" s="58" t="str">
        <f aca="false">VLOOKUP(B43, AT_FILAS!$A$2:$C$8,2,FALSE())</f>
        <v>Producción</v>
      </c>
      <c r="D43" s="59" t="n">
        <f aca="false">VLOOKUP(B43, AT_FILAS!$A$2:$C$8,3,FALSE())</f>
        <v>1</v>
      </c>
      <c r="E43" s="60" t="s">
        <v>1956</v>
      </c>
      <c r="F43" s="60" t="s">
        <v>1957</v>
      </c>
      <c r="G43" s="1" t="s">
        <v>1602</v>
      </c>
      <c r="H43" s="1" t="n">
        <v>4</v>
      </c>
      <c r="I43" s="1" t="s">
        <v>1602</v>
      </c>
      <c r="J43" s="1" t="s">
        <v>1602</v>
      </c>
      <c r="K43" s="21" t="n">
        <v>37</v>
      </c>
      <c r="L43" s="21" t="str">
        <f aca="false">VLOOKUP(K43,clasif_filas!$A$2:$J$39,2,FALSE())</f>
        <v>Vidrios y productos de vidrio y otros productos no metálicos n.c.p.</v>
      </c>
      <c r="M43" s="21" t="n">
        <f aca="false">VLOOKUP(K43,clasif_filas!$A$2:$J$39,3,FALSE())</f>
        <v>37</v>
      </c>
      <c r="N43" s="21" t="str">
        <f aca="false">VLOOKUP(K43,clasif_filas!$A$2:$J$39,4,FALSE())</f>
        <v>Vidrios y productos de vidrio y otros productos no metálicos n.c.p.</v>
      </c>
      <c r="O43" s="21" t="n">
        <f aca="false">VLOOKUP(K43,clasif_filas!$A$2:$J$39,5,FALSE())</f>
        <v>99</v>
      </c>
      <c r="P43" s="21" t="str">
        <f aca="false">VLOOKUP(K43,clasif_filas!$A$2:$J$39,6,FALSE())</f>
        <v>No Bioeconomía</v>
      </c>
      <c r="Q43" s="21" t="n">
        <f aca="false">VLOOKUP(K43,clasif_filas!$A$2:$J$39,7,FALSE())</f>
        <v>3</v>
      </c>
      <c r="R43" s="21" t="str">
        <f aca="false">VLOOKUP(K43,clasif_filas!$A$2:$J$39,8,FALSE())</f>
        <v>Otros bienes transportables, excepto productos metálicos, maquinaria y equipo</v>
      </c>
      <c r="S43" s="21" t="n">
        <f aca="false">VLOOKUP(K43,clasif_filas!$A$2:$J$39,9,FALSE())</f>
        <v>3</v>
      </c>
      <c r="T43" s="61" t="str">
        <f aca="false">VLOOKUP(K43,clasif_filas!$A$2:$J$39,10,FALSE())</f>
        <v>No bioeconomía</v>
      </c>
    </row>
    <row r="44" customFormat="false" ht="25.55" hidden="false" customHeight="false" outlineLevel="0" collapsed="false">
      <c r="A44" s="29" t="s">
        <v>87</v>
      </c>
      <c r="B44" s="58" t="s">
        <v>1835</v>
      </c>
      <c r="C44" s="58" t="str">
        <f aca="false">VLOOKUP(B44, AT_FILAS!$A$2:$C$8,2,FALSE())</f>
        <v>Producción</v>
      </c>
      <c r="D44" s="59" t="n">
        <f aca="false">VLOOKUP(B44, AT_FILAS!$A$2:$C$8,3,FALSE())</f>
        <v>1</v>
      </c>
      <c r="E44" s="60" t="s">
        <v>1958</v>
      </c>
      <c r="F44" s="60" t="s">
        <v>1959</v>
      </c>
      <c r="G44" s="1" t="s">
        <v>1602</v>
      </c>
      <c r="H44" s="1" t="n">
        <v>4</v>
      </c>
      <c r="I44" s="1" t="s">
        <v>1602</v>
      </c>
      <c r="J44" s="1" t="s">
        <v>1602</v>
      </c>
      <c r="K44" s="17" t="n">
        <v>37</v>
      </c>
      <c r="L44" s="21" t="str">
        <f aca="false">VLOOKUP(K44,clasif_filas!$A$2:$J$39,2,FALSE())</f>
        <v>Vidrios y productos de vidrio y otros productos no metálicos n.c.p.</v>
      </c>
      <c r="M44" s="21" t="n">
        <f aca="false">VLOOKUP(K44,clasif_filas!$A$2:$J$39,3,FALSE())</f>
        <v>37</v>
      </c>
      <c r="N44" s="21" t="str">
        <f aca="false">VLOOKUP(K44,clasif_filas!$A$2:$J$39,4,FALSE())</f>
        <v>Vidrios y productos de vidrio y otros productos no metálicos n.c.p.</v>
      </c>
      <c r="O44" s="21" t="n">
        <f aca="false">VLOOKUP(K44,clasif_filas!$A$2:$J$39,5,FALSE())</f>
        <v>99</v>
      </c>
      <c r="P44" s="21" t="str">
        <f aca="false">VLOOKUP(K44,clasif_filas!$A$2:$J$39,6,FALSE())</f>
        <v>No Bioeconomía</v>
      </c>
      <c r="Q44" s="21" t="n">
        <f aca="false">VLOOKUP(K44,clasif_filas!$A$2:$J$39,7,FALSE())</f>
        <v>3</v>
      </c>
      <c r="R44" s="21" t="str">
        <f aca="false">VLOOKUP(K44,clasif_filas!$A$2:$J$39,8,FALSE())</f>
        <v>Otros bienes transportables, excepto productos metálicos, maquinaria y equipo</v>
      </c>
      <c r="S44" s="21" t="n">
        <f aca="false">VLOOKUP(K44,clasif_filas!$A$2:$J$39,9,FALSE())</f>
        <v>3</v>
      </c>
      <c r="T44" s="61" t="str">
        <f aca="false">VLOOKUP(K44,clasif_filas!$A$2:$J$39,10,FALSE())</f>
        <v>No bioeconomía</v>
      </c>
    </row>
    <row r="45" customFormat="false" ht="25.55" hidden="false" customHeight="false" outlineLevel="0" collapsed="false">
      <c r="A45" s="29" t="s">
        <v>89</v>
      </c>
      <c r="B45" s="58" t="s">
        <v>1835</v>
      </c>
      <c r="C45" s="58" t="str">
        <f aca="false">VLOOKUP(B45, AT_FILAS!$A$2:$C$8,2,FALSE())</f>
        <v>Producción</v>
      </c>
      <c r="D45" s="59" t="n">
        <f aca="false">VLOOKUP(B45, AT_FILAS!$A$2:$C$8,3,FALSE())</f>
        <v>1</v>
      </c>
      <c r="E45" s="60" t="s">
        <v>1960</v>
      </c>
      <c r="F45" s="60" t="s">
        <v>1961</v>
      </c>
      <c r="G45" s="1" t="s">
        <v>1962</v>
      </c>
      <c r="H45" s="1" t="n">
        <v>2</v>
      </c>
      <c r="I45" s="1" t="s">
        <v>1963</v>
      </c>
      <c r="J45" s="1" t="s">
        <v>1964</v>
      </c>
      <c r="K45" s="21" t="n">
        <v>21</v>
      </c>
      <c r="L45" s="21" t="str">
        <f aca="false">VLOOKUP(K45,clasif_filas!$A$2:$J$39,2,FALSE())</f>
        <v>Carne, pescado, frutas, vegetales, aceites y grasas</v>
      </c>
      <c r="M45" s="21" t="n">
        <f aca="false">VLOOKUP(K45,clasif_filas!$A$2:$J$39,3,FALSE())</f>
        <v>21</v>
      </c>
      <c r="N45" s="21" t="str">
        <f aca="false">VLOOKUP(K45,clasif_filas!$A$2:$J$39,4,FALSE())</f>
        <v>Carne, pescado, frutas, vegetales, aceites y grasas</v>
      </c>
      <c r="O45" s="21" t="n">
        <f aca="false">VLOOKUP(K45,clasif_filas!$A$2:$J$39,5,FALSE())</f>
        <v>6</v>
      </c>
      <c r="P45" s="21" t="str">
        <f aca="false">VLOOKUP(K45,clasif_filas!$A$2:$J$39,6,FALSE())</f>
        <v>Conocimiento, procesos y servicios relacionados</v>
      </c>
      <c r="Q45" s="21" t="n">
        <f aca="false">VLOOKUP(K45,clasif_filas!$A$2:$J$39,7,FALSE())</f>
        <v>2</v>
      </c>
      <c r="R45" s="21" t="str">
        <f aca="false">VLOOKUP(K45,clasif_filas!$A$2:$J$39,8,FALSE())</f>
        <v>Productos alimenticios, bebidas y tabaco; textiles, prendas de vestir y productos de cuero</v>
      </c>
      <c r="S45" s="21" t="n">
        <f aca="false">VLOOKUP(K45,clasif_filas!$A$2:$J$39,9,FALSE())</f>
        <v>1</v>
      </c>
      <c r="T45" s="61" t="str">
        <f aca="false">VLOOKUP(K45,clasif_filas!$A$2:$J$39,10,FALSE())</f>
        <v>Bioeconomía</v>
      </c>
    </row>
    <row r="46" customFormat="false" ht="25.55" hidden="false" customHeight="false" outlineLevel="0" collapsed="false">
      <c r="A46" s="29" t="s">
        <v>91</v>
      </c>
      <c r="B46" s="58" t="s">
        <v>1835</v>
      </c>
      <c r="C46" s="58" t="str">
        <f aca="false">VLOOKUP(B46, AT_FILAS!$A$2:$C$8,2,FALSE())</f>
        <v>Producción</v>
      </c>
      <c r="D46" s="59" t="n">
        <f aca="false">VLOOKUP(B46, AT_FILAS!$A$2:$C$8,3,FALSE())</f>
        <v>1</v>
      </c>
      <c r="E46" s="60" t="s">
        <v>1965</v>
      </c>
      <c r="F46" s="60" t="s">
        <v>1966</v>
      </c>
      <c r="G46" s="1" t="s">
        <v>1962</v>
      </c>
      <c r="H46" s="1" t="n">
        <v>2</v>
      </c>
      <c r="I46" s="1" t="s">
        <v>1963</v>
      </c>
      <c r="J46" s="1" t="s">
        <v>1964</v>
      </c>
      <c r="K46" s="21" t="n">
        <v>21</v>
      </c>
      <c r="L46" s="21" t="str">
        <f aca="false">VLOOKUP(K46,clasif_filas!$A$2:$J$39,2,FALSE())</f>
        <v>Carne, pescado, frutas, vegetales, aceites y grasas</v>
      </c>
      <c r="M46" s="21" t="n">
        <f aca="false">VLOOKUP(K46,clasif_filas!$A$2:$J$39,3,FALSE())</f>
        <v>21</v>
      </c>
      <c r="N46" s="21" t="str">
        <f aca="false">VLOOKUP(K46,clasif_filas!$A$2:$J$39,4,FALSE())</f>
        <v>Carne, pescado, frutas, vegetales, aceites y grasas</v>
      </c>
      <c r="O46" s="21" t="n">
        <f aca="false">VLOOKUP(K46,clasif_filas!$A$2:$J$39,5,FALSE())</f>
        <v>6</v>
      </c>
      <c r="P46" s="21" t="str">
        <f aca="false">VLOOKUP(K46,clasif_filas!$A$2:$J$39,6,FALSE())</f>
        <v>Conocimiento, procesos y servicios relacionados</v>
      </c>
      <c r="Q46" s="21" t="n">
        <f aca="false">VLOOKUP(K46,clasif_filas!$A$2:$J$39,7,FALSE())</f>
        <v>2</v>
      </c>
      <c r="R46" s="21" t="str">
        <f aca="false">VLOOKUP(K46,clasif_filas!$A$2:$J$39,8,FALSE())</f>
        <v>Productos alimenticios, bebidas y tabaco; textiles, prendas de vestir y productos de cuero</v>
      </c>
      <c r="S46" s="21" t="n">
        <f aca="false">VLOOKUP(K46,clasif_filas!$A$2:$J$39,9,FALSE())</f>
        <v>1</v>
      </c>
      <c r="T46" s="61" t="str">
        <f aca="false">VLOOKUP(K46,clasif_filas!$A$2:$J$39,10,FALSE())</f>
        <v>Bioeconomía</v>
      </c>
    </row>
    <row r="47" customFormat="false" ht="25.55" hidden="false" customHeight="false" outlineLevel="0" collapsed="false">
      <c r="A47" s="29" t="s">
        <v>93</v>
      </c>
      <c r="B47" s="58" t="s">
        <v>1835</v>
      </c>
      <c r="C47" s="58" t="str">
        <f aca="false">VLOOKUP(B47, AT_FILAS!$A$2:$C$8,2,FALSE())</f>
        <v>Producción</v>
      </c>
      <c r="D47" s="59" t="n">
        <f aca="false">VLOOKUP(B47, AT_FILAS!$A$2:$C$8,3,FALSE())</f>
        <v>1</v>
      </c>
      <c r="E47" s="60" t="s">
        <v>1967</v>
      </c>
      <c r="F47" s="60" t="s">
        <v>1968</v>
      </c>
      <c r="G47" s="1" t="s">
        <v>1962</v>
      </c>
      <c r="H47" s="1" t="n">
        <v>2</v>
      </c>
      <c r="I47" s="1" t="s">
        <v>1963</v>
      </c>
      <c r="J47" s="1" t="s">
        <v>1964</v>
      </c>
      <c r="K47" s="21" t="n">
        <v>21</v>
      </c>
      <c r="L47" s="21" t="str">
        <f aca="false">VLOOKUP(K47,clasif_filas!$A$2:$J$39,2,FALSE())</f>
        <v>Carne, pescado, frutas, vegetales, aceites y grasas</v>
      </c>
      <c r="M47" s="21" t="n">
        <f aca="false">VLOOKUP(K47,clasif_filas!$A$2:$J$39,3,FALSE())</f>
        <v>21</v>
      </c>
      <c r="N47" s="21" t="str">
        <f aca="false">VLOOKUP(K47,clasif_filas!$A$2:$J$39,4,FALSE())</f>
        <v>Carne, pescado, frutas, vegetales, aceites y grasas</v>
      </c>
      <c r="O47" s="21" t="n">
        <f aca="false">VLOOKUP(K47,clasif_filas!$A$2:$J$39,5,FALSE())</f>
        <v>6</v>
      </c>
      <c r="P47" s="21" t="str">
        <f aca="false">VLOOKUP(K47,clasif_filas!$A$2:$J$39,6,FALSE())</f>
        <v>Conocimiento, procesos y servicios relacionados</v>
      </c>
      <c r="Q47" s="21" t="n">
        <f aca="false">VLOOKUP(K47,clasif_filas!$A$2:$J$39,7,FALSE())</f>
        <v>2</v>
      </c>
      <c r="R47" s="21" t="str">
        <f aca="false">VLOOKUP(K47,clasif_filas!$A$2:$J$39,8,FALSE())</f>
        <v>Productos alimenticios, bebidas y tabaco; textiles, prendas de vestir y productos de cuero</v>
      </c>
      <c r="S47" s="21" t="n">
        <f aca="false">VLOOKUP(K47,clasif_filas!$A$2:$J$39,9,FALSE())</f>
        <v>1</v>
      </c>
      <c r="T47" s="61" t="str">
        <f aca="false">VLOOKUP(K47,clasif_filas!$A$2:$J$39,10,FALSE())</f>
        <v>Bioeconomía</v>
      </c>
    </row>
    <row r="48" customFormat="false" ht="37.55" hidden="false" customHeight="false" outlineLevel="0" collapsed="false">
      <c r="A48" s="29" t="s">
        <v>95</v>
      </c>
      <c r="B48" s="58" t="s">
        <v>1835</v>
      </c>
      <c r="C48" s="58" t="str">
        <f aca="false">VLOOKUP(B48, AT_FILAS!$A$2:$C$8,2,FALSE())</f>
        <v>Producción</v>
      </c>
      <c r="D48" s="59" t="n">
        <f aca="false">VLOOKUP(B48, AT_FILAS!$A$2:$C$8,3,FALSE())</f>
        <v>1</v>
      </c>
      <c r="E48" s="60" t="s">
        <v>1969</v>
      </c>
      <c r="F48" s="60" t="s">
        <v>1970</v>
      </c>
      <c r="G48" s="1" t="s">
        <v>1962</v>
      </c>
      <c r="H48" s="1" t="n">
        <v>2</v>
      </c>
      <c r="I48" s="1" t="s">
        <v>1963</v>
      </c>
      <c r="J48" s="1" t="s">
        <v>1964</v>
      </c>
      <c r="K48" s="21" t="n">
        <v>21</v>
      </c>
      <c r="L48" s="21" t="str">
        <f aca="false">VLOOKUP(K48,clasif_filas!$A$2:$J$39,2,FALSE())</f>
        <v>Carne, pescado, frutas, vegetales, aceites y grasas</v>
      </c>
      <c r="M48" s="21" t="n">
        <f aca="false">VLOOKUP(K48,clasif_filas!$A$2:$J$39,3,FALSE())</f>
        <v>21</v>
      </c>
      <c r="N48" s="21" t="str">
        <f aca="false">VLOOKUP(K48,clasif_filas!$A$2:$J$39,4,FALSE())</f>
        <v>Carne, pescado, frutas, vegetales, aceites y grasas</v>
      </c>
      <c r="O48" s="21" t="n">
        <f aca="false">VLOOKUP(K48,clasif_filas!$A$2:$J$39,5,FALSE())</f>
        <v>6</v>
      </c>
      <c r="P48" s="21" t="str">
        <f aca="false">VLOOKUP(K48,clasif_filas!$A$2:$J$39,6,FALSE())</f>
        <v>Conocimiento, procesos y servicios relacionados</v>
      </c>
      <c r="Q48" s="21" t="n">
        <f aca="false">VLOOKUP(K48,clasif_filas!$A$2:$J$39,7,FALSE())</f>
        <v>2</v>
      </c>
      <c r="R48" s="21" t="str">
        <f aca="false">VLOOKUP(K48,clasif_filas!$A$2:$J$39,8,FALSE())</f>
        <v>Productos alimenticios, bebidas y tabaco; textiles, prendas de vestir y productos de cuero</v>
      </c>
      <c r="S48" s="21" t="n">
        <f aca="false">VLOOKUP(K48,clasif_filas!$A$2:$J$39,9,FALSE())</f>
        <v>1</v>
      </c>
      <c r="T48" s="61" t="str">
        <f aca="false">VLOOKUP(K48,clasif_filas!$A$2:$J$39,10,FALSE())</f>
        <v>Bioeconomía</v>
      </c>
    </row>
    <row r="49" customFormat="false" ht="37.55" hidden="false" customHeight="false" outlineLevel="0" collapsed="false">
      <c r="A49" s="29" t="s">
        <v>97</v>
      </c>
      <c r="B49" s="58" t="s">
        <v>1835</v>
      </c>
      <c r="C49" s="58" t="str">
        <f aca="false">VLOOKUP(B49, AT_FILAS!$A$2:$C$8,2,FALSE())</f>
        <v>Producción</v>
      </c>
      <c r="D49" s="59" t="n">
        <f aca="false">VLOOKUP(B49, AT_FILAS!$A$2:$C$8,3,FALSE())</f>
        <v>1</v>
      </c>
      <c r="E49" s="60" t="s">
        <v>1971</v>
      </c>
      <c r="F49" s="60" t="s">
        <v>1972</v>
      </c>
      <c r="G49" s="1" t="s">
        <v>1973</v>
      </c>
      <c r="H49" s="1" t="n">
        <v>2</v>
      </c>
      <c r="I49" s="1" t="s">
        <v>1963</v>
      </c>
      <c r="J49" s="1" t="s">
        <v>1964</v>
      </c>
      <c r="K49" s="21" t="n">
        <v>21</v>
      </c>
      <c r="L49" s="21" t="str">
        <f aca="false">VLOOKUP(K49,clasif_filas!$A$2:$J$39,2,FALSE())</f>
        <v>Carne, pescado, frutas, vegetales, aceites y grasas</v>
      </c>
      <c r="M49" s="21" t="n">
        <f aca="false">VLOOKUP(K49,clasif_filas!$A$2:$J$39,3,FALSE())</f>
        <v>21</v>
      </c>
      <c r="N49" s="21" t="str">
        <f aca="false">VLOOKUP(K49,clasif_filas!$A$2:$J$39,4,FALSE())</f>
        <v>Carne, pescado, frutas, vegetales, aceites y grasas</v>
      </c>
      <c r="O49" s="21" t="n">
        <f aca="false">VLOOKUP(K49,clasif_filas!$A$2:$J$39,5,FALSE())</f>
        <v>6</v>
      </c>
      <c r="P49" s="21" t="str">
        <f aca="false">VLOOKUP(K49,clasif_filas!$A$2:$J$39,6,FALSE())</f>
        <v>Conocimiento, procesos y servicios relacionados</v>
      </c>
      <c r="Q49" s="21" t="n">
        <f aca="false">VLOOKUP(K49,clasif_filas!$A$2:$J$39,7,FALSE())</f>
        <v>2</v>
      </c>
      <c r="R49" s="21" t="str">
        <f aca="false">VLOOKUP(K49,clasif_filas!$A$2:$J$39,8,FALSE())</f>
        <v>Productos alimenticios, bebidas y tabaco; textiles, prendas de vestir y productos de cuero</v>
      </c>
      <c r="S49" s="21" t="n">
        <f aca="false">VLOOKUP(K49,clasif_filas!$A$2:$J$39,9,FALSE())</f>
        <v>1</v>
      </c>
      <c r="T49" s="61" t="str">
        <f aca="false">VLOOKUP(K49,clasif_filas!$A$2:$J$39,10,FALSE())</f>
        <v>Bioeconomía</v>
      </c>
    </row>
    <row r="50" customFormat="false" ht="25.55" hidden="false" customHeight="false" outlineLevel="0" collapsed="false">
      <c r="A50" s="29" t="s">
        <v>99</v>
      </c>
      <c r="B50" s="58" t="s">
        <v>1835</v>
      </c>
      <c r="C50" s="58" t="str">
        <f aca="false">VLOOKUP(B50, AT_FILAS!$A$2:$C$8,2,FALSE())</f>
        <v>Producción</v>
      </c>
      <c r="D50" s="59" t="n">
        <f aca="false">VLOOKUP(B50, AT_FILAS!$A$2:$C$8,3,FALSE())</f>
        <v>1</v>
      </c>
      <c r="E50" s="60" t="s">
        <v>1974</v>
      </c>
      <c r="F50" s="60" t="s">
        <v>1975</v>
      </c>
      <c r="G50" s="1" t="s">
        <v>1976</v>
      </c>
      <c r="H50" s="1" t="n">
        <v>2</v>
      </c>
      <c r="I50" s="1" t="s">
        <v>1963</v>
      </c>
      <c r="J50" s="1" t="s">
        <v>1964</v>
      </c>
      <c r="K50" s="21" t="n">
        <v>21</v>
      </c>
      <c r="L50" s="21" t="str">
        <f aca="false">VLOOKUP(K50,clasif_filas!$A$2:$J$39,2,FALSE())</f>
        <v>Carne, pescado, frutas, vegetales, aceites y grasas</v>
      </c>
      <c r="M50" s="21" t="n">
        <f aca="false">VLOOKUP(K50,clasif_filas!$A$2:$J$39,3,FALSE())</f>
        <v>21</v>
      </c>
      <c r="N50" s="21" t="str">
        <f aca="false">VLOOKUP(K50,clasif_filas!$A$2:$J$39,4,FALSE())</f>
        <v>Carne, pescado, frutas, vegetales, aceites y grasas</v>
      </c>
      <c r="O50" s="21" t="n">
        <f aca="false">VLOOKUP(K50,clasif_filas!$A$2:$J$39,5,FALSE())</f>
        <v>6</v>
      </c>
      <c r="P50" s="21" t="str">
        <f aca="false">VLOOKUP(K50,clasif_filas!$A$2:$J$39,6,FALSE())</f>
        <v>Conocimiento, procesos y servicios relacionados</v>
      </c>
      <c r="Q50" s="21" t="n">
        <f aca="false">VLOOKUP(K50,clasif_filas!$A$2:$J$39,7,FALSE())</f>
        <v>2</v>
      </c>
      <c r="R50" s="21" t="str">
        <f aca="false">VLOOKUP(K50,clasif_filas!$A$2:$J$39,8,FALSE())</f>
        <v>Productos alimenticios, bebidas y tabaco; textiles, prendas de vestir y productos de cuero</v>
      </c>
      <c r="S50" s="21" t="n">
        <f aca="false">VLOOKUP(K50,clasif_filas!$A$2:$J$39,9,FALSE())</f>
        <v>1</v>
      </c>
      <c r="T50" s="61" t="str">
        <f aca="false">VLOOKUP(K50,clasif_filas!$A$2:$J$39,10,FALSE())</f>
        <v>Bioeconomía</v>
      </c>
    </row>
    <row r="51" customFormat="false" ht="25.55" hidden="false" customHeight="false" outlineLevel="0" collapsed="false">
      <c r="A51" s="29" t="s">
        <v>101</v>
      </c>
      <c r="B51" s="58" t="s">
        <v>1835</v>
      </c>
      <c r="C51" s="58" t="str">
        <f aca="false">VLOOKUP(B51, AT_FILAS!$A$2:$C$8,2,FALSE())</f>
        <v>Producción</v>
      </c>
      <c r="D51" s="59" t="n">
        <f aca="false">VLOOKUP(B51, AT_FILAS!$A$2:$C$8,3,FALSE())</f>
        <v>1</v>
      </c>
      <c r="E51" s="60" t="s">
        <v>1977</v>
      </c>
      <c r="F51" s="60" t="s">
        <v>1978</v>
      </c>
      <c r="G51" s="1" t="s">
        <v>1976</v>
      </c>
      <c r="H51" s="1" t="n">
        <v>2</v>
      </c>
      <c r="I51" s="1" t="s">
        <v>1963</v>
      </c>
      <c r="J51" s="1" t="s">
        <v>1964</v>
      </c>
      <c r="K51" s="21" t="n">
        <v>21</v>
      </c>
      <c r="L51" s="21" t="str">
        <f aca="false">VLOOKUP(K51,clasif_filas!$A$2:$J$39,2,FALSE())</f>
        <v>Carne, pescado, frutas, vegetales, aceites y grasas</v>
      </c>
      <c r="M51" s="21" t="n">
        <f aca="false">VLOOKUP(K51,clasif_filas!$A$2:$J$39,3,FALSE())</f>
        <v>21</v>
      </c>
      <c r="N51" s="21" t="str">
        <f aca="false">VLOOKUP(K51,clasif_filas!$A$2:$J$39,4,FALSE())</f>
        <v>Carne, pescado, frutas, vegetales, aceites y grasas</v>
      </c>
      <c r="O51" s="21" t="n">
        <f aca="false">VLOOKUP(K51,clasif_filas!$A$2:$J$39,5,FALSE())</f>
        <v>6</v>
      </c>
      <c r="P51" s="21" t="str">
        <f aca="false">VLOOKUP(K51,clasif_filas!$A$2:$J$39,6,FALSE())</f>
        <v>Conocimiento, procesos y servicios relacionados</v>
      </c>
      <c r="Q51" s="21" t="n">
        <f aca="false">VLOOKUP(K51,clasif_filas!$A$2:$J$39,7,FALSE())</f>
        <v>2</v>
      </c>
      <c r="R51" s="21" t="str">
        <f aca="false">VLOOKUP(K51,clasif_filas!$A$2:$J$39,8,FALSE())</f>
        <v>Productos alimenticios, bebidas y tabaco; textiles, prendas de vestir y productos de cuero</v>
      </c>
      <c r="S51" s="21" t="n">
        <f aca="false">VLOOKUP(K51,clasif_filas!$A$2:$J$39,9,FALSE())</f>
        <v>1</v>
      </c>
      <c r="T51" s="61" t="str">
        <f aca="false">VLOOKUP(K51,clasif_filas!$A$2:$J$39,10,FALSE())</f>
        <v>Bioeconomía</v>
      </c>
    </row>
    <row r="52" customFormat="false" ht="25.55" hidden="false" customHeight="false" outlineLevel="0" collapsed="false">
      <c r="A52" s="29" t="s">
        <v>103</v>
      </c>
      <c r="B52" s="58" t="s">
        <v>1835</v>
      </c>
      <c r="C52" s="58" t="str">
        <f aca="false">VLOOKUP(B52, AT_FILAS!$A$2:$C$8,2,FALSE())</f>
        <v>Producción</v>
      </c>
      <c r="D52" s="59" t="n">
        <f aca="false">VLOOKUP(B52, AT_FILAS!$A$2:$C$8,3,FALSE())</f>
        <v>1</v>
      </c>
      <c r="E52" s="60" t="s">
        <v>1979</v>
      </c>
      <c r="F52" s="60" t="s">
        <v>1980</v>
      </c>
      <c r="G52" s="1" t="s">
        <v>1981</v>
      </c>
      <c r="H52" s="1" t="n">
        <v>2</v>
      </c>
      <c r="I52" s="1" t="s">
        <v>1963</v>
      </c>
      <c r="J52" s="1" t="s">
        <v>1964</v>
      </c>
      <c r="K52" s="21" t="n">
        <v>21</v>
      </c>
      <c r="L52" s="21" t="str">
        <f aca="false">VLOOKUP(K52,clasif_filas!$A$2:$J$39,2,FALSE())</f>
        <v>Carne, pescado, frutas, vegetales, aceites y grasas</v>
      </c>
      <c r="M52" s="21" t="n">
        <f aca="false">VLOOKUP(K52,clasif_filas!$A$2:$J$39,3,FALSE())</f>
        <v>21</v>
      </c>
      <c r="N52" s="21" t="str">
        <f aca="false">VLOOKUP(K52,clasif_filas!$A$2:$J$39,4,FALSE())</f>
        <v>Carne, pescado, frutas, vegetales, aceites y grasas</v>
      </c>
      <c r="O52" s="21" t="n">
        <f aca="false">VLOOKUP(K52,clasif_filas!$A$2:$J$39,5,FALSE())</f>
        <v>6</v>
      </c>
      <c r="P52" s="21" t="str">
        <f aca="false">VLOOKUP(K52,clasif_filas!$A$2:$J$39,6,FALSE())</f>
        <v>Conocimiento, procesos y servicios relacionados</v>
      </c>
      <c r="Q52" s="21" t="n">
        <f aca="false">VLOOKUP(K52,clasif_filas!$A$2:$J$39,7,FALSE())</f>
        <v>2</v>
      </c>
      <c r="R52" s="21" t="str">
        <f aca="false">VLOOKUP(K52,clasif_filas!$A$2:$J$39,8,FALSE())</f>
        <v>Productos alimenticios, bebidas y tabaco; textiles, prendas de vestir y productos de cuero</v>
      </c>
      <c r="S52" s="21" t="n">
        <f aca="false">VLOOKUP(K52,clasif_filas!$A$2:$J$39,9,FALSE())</f>
        <v>1</v>
      </c>
      <c r="T52" s="61" t="str">
        <f aca="false">VLOOKUP(K52,clasif_filas!$A$2:$J$39,10,FALSE())</f>
        <v>Bioeconomía</v>
      </c>
    </row>
    <row r="53" customFormat="false" ht="14.25" hidden="false" customHeight="false" outlineLevel="0" collapsed="false">
      <c r="A53" s="29" t="s">
        <v>105</v>
      </c>
      <c r="B53" s="58" t="s">
        <v>1835</v>
      </c>
      <c r="C53" s="58" t="s">
        <v>1617</v>
      </c>
      <c r="D53" s="59" t="n">
        <f aca="false">VLOOKUP(B53, AT_FILAS!$A$2:$C$8,3,FALSE())</f>
        <v>1</v>
      </c>
      <c r="E53" s="60" t="s">
        <v>1982</v>
      </c>
      <c r="F53" s="60" t="s">
        <v>1983</v>
      </c>
      <c r="G53" s="1" t="s">
        <v>1984</v>
      </c>
      <c r="H53" s="1" t="n">
        <v>2</v>
      </c>
      <c r="I53" s="1" t="s">
        <v>1963</v>
      </c>
      <c r="J53" s="1" t="s">
        <v>1964</v>
      </c>
      <c r="K53" s="21" t="n">
        <v>22</v>
      </c>
      <c r="L53" s="21" t="str">
        <f aca="false">VLOOKUP(K53,clasif_filas!$A$2:$J$39,2,FALSE())</f>
        <v>Productos lácteos y productos de huevo</v>
      </c>
      <c r="M53" s="21" t="n">
        <f aca="false">VLOOKUP(K53,clasif_filas!$A$2:$J$39,3,FALSE())</f>
        <v>22</v>
      </c>
      <c r="N53" s="21" t="str">
        <f aca="false">VLOOKUP(K53,clasif_filas!$A$2:$J$39,4,FALSE())</f>
        <v>Productos lácteos y productos de huevo</v>
      </c>
      <c r="O53" s="21" t="n">
        <f aca="false">VLOOKUP(K53,clasif_filas!$A$2:$J$39,5,FALSE())</f>
        <v>6</v>
      </c>
      <c r="P53" s="21" t="str">
        <f aca="false">VLOOKUP(K53,clasif_filas!$A$2:$J$39,6,FALSE())</f>
        <v>Conocimiento, procesos y servicios relacionados</v>
      </c>
      <c r="Q53" s="21" t="n">
        <f aca="false">VLOOKUP(K53,clasif_filas!$A$2:$J$39,7,FALSE())</f>
        <v>2</v>
      </c>
      <c r="R53" s="21" t="str">
        <f aca="false">VLOOKUP(K53,clasif_filas!$A$2:$J$39,8,FALSE())</f>
        <v>Productos alimenticios, bebidas y tabaco; textiles, prendas de vestir y productos de cuero</v>
      </c>
      <c r="S53" s="21" t="n">
        <f aca="false">VLOOKUP(K53,clasif_filas!$A$2:$J$39,9,FALSE())</f>
        <v>1</v>
      </c>
      <c r="T53" s="61" t="str">
        <f aca="false">VLOOKUP(K53,clasif_filas!$A$2:$J$39,10,FALSE())</f>
        <v>Bioeconomía</v>
      </c>
    </row>
    <row r="54" customFormat="false" ht="14.25" hidden="false" customHeight="false" outlineLevel="0" collapsed="false">
      <c r="A54" s="29" t="s">
        <v>107</v>
      </c>
      <c r="B54" s="58" t="s">
        <v>1835</v>
      </c>
      <c r="C54" s="58" t="s">
        <v>1617</v>
      </c>
      <c r="D54" s="59" t="n">
        <f aca="false">VLOOKUP(B54, AT_FILAS!$A$2:$C$8,3,FALSE())</f>
        <v>1</v>
      </c>
      <c r="E54" s="60" t="s">
        <v>1985</v>
      </c>
      <c r="F54" s="60" t="s">
        <v>1986</v>
      </c>
      <c r="G54" s="1" t="s">
        <v>1984</v>
      </c>
      <c r="H54" s="1" t="n">
        <v>2</v>
      </c>
      <c r="I54" s="1" t="s">
        <v>1963</v>
      </c>
      <c r="J54" s="1" t="s">
        <v>1964</v>
      </c>
      <c r="K54" s="21" t="n">
        <v>22</v>
      </c>
      <c r="L54" s="21" t="str">
        <f aca="false">VLOOKUP(K54,clasif_filas!$A$2:$J$39,2,FALSE())</f>
        <v>Productos lácteos y productos de huevo</v>
      </c>
      <c r="M54" s="21" t="n">
        <f aca="false">VLOOKUP(K54,clasif_filas!$A$2:$J$39,3,FALSE())</f>
        <v>22</v>
      </c>
      <c r="N54" s="21" t="str">
        <f aca="false">VLOOKUP(K54,clasif_filas!$A$2:$J$39,4,FALSE())</f>
        <v>Productos lácteos y productos de huevo</v>
      </c>
      <c r="O54" s="21" t="n">
        <f aca="false">VLOOKUP(K54,clasif_filas!$A$2:$J$39,5,FALSE())</f>
        <v>6</v>
      </c>
      <c r="P54" s="21" t="str">
        <f aca="false">VLOOKUP(K54,clasif_filas!$A$2:$J$39,6,FALSE())</f>
        <v>Conocimiento, procesos y servicios relacionados</v>
      </c>
      <c r="Q54" s="21" t="n">
        <f aca="false">VLOOKUP(K54,clasif_filas!$A$2:$J$39,7,FALSE())</f>
        <v>2</v>
      </c>
      <c r="R54" s="21" t="str">
        <f aca="false">VLOOKUP(K54,clasif_filas!$A$2:$J$39,8,FALSE())</f>
        <v>Productos alimenticios, bebidas y tabaco; textiles, prendas de vestir y productos de cuero</v>
      </c>
      <c r="S54" s="21" t="n">
        <f aca="false">VLOOKUP(K54,clasif_filas!$A$2:$J$39,9,FALSE())</f>
        <v>1</v>
      </c>
      <c r="T54" s="61" t="str">
        <f aca="false">VLOOKUP(K54,clasif_filas!$A$2:$J$39,10,FALSE())</f>
        <v>Bioeconomía</v>
      </c>
    </row>
    <row r="55" customFormat="false" ht="14.25" hidden="false" customHeight="false" outlineLevel="0" collapsed="false">
      <c r="A55" s="29" t="s">
        <v>109</v>
      </c>
      <c r="B55" s="58" t="s">
        <v>1835</v>
      </c>
      <c r="C55" s="58" t="s">
        <v>1617</v>
      </c>
      <c r="D55" s="59" t="n">
        <f aca="false">VLOOKUP(B55, AT_FILAS!$A$2:$C$8,3,FALSE())</f>
        <v>1</v>
      </c>
      <c r="E55" s="60" t="s">
        <v>1987</v>
      </c>
      <c r="F55" s="60" t="s">
        <v>1988</v>
      </c>
      <c r="G55" s="1" t="s">
        <v>1984</v>
      </c>
      <c r="H55" s="1" t="n">
        <v>2</v>
      </c>
      <c r="I55" s="1" t="s">
        <v>1963</v>
      </c>
      <c r="J55" s="1" t="s">
        <v>1964</v>
      </c>
      <c r="K55" s="21" t="n">
        <v>22</v>
      </c>
      <c r="L55" s="21" t="str">
        <f aca="false">VLOOKUP(K55,clasif_filas!$A$2:$J$39,2,FALSE())</f>
        <v>Productos lácteos y productos de huevo</v>
      </c>
      <c r="M55" s="21" t="n">
        <f aca="false">VLOOKUP(K55,clasif_filas!$A$2:$J$39,3,FALSE())</f>
        <v>22</v>
      </c>
      <c r="N55" s="21" t="str">
        <f aca="false">VLOOKUP(K55,clasif_filas!$A$2:$J$39,4,FALSE())</f>
        <v>Productos lácteos y productos de huevo</v>
      </c>
      <c r="O55" s="21" t="n">
        <f aca="false">VLOOKUP(K55,clasif_filas!$A$2:$J$39,5,FALSE())</f>
        <v>6</v>
      </c>
      <c r="P55" s="21" t="str">
        <f aca="false">VLOOKUP(K55,clasif_filas!$A$2:$J$39,6,FALSE())</f>
        <v>Conocimiento, procesos y servicios relacionados</v>
      </c>
      <c r="Q55" s="21" t="n">
        <f aca="false">VLOOKUP(K55,clasif_filas!$A$2:$J$39,7,FALSE())</f>
        <v>2</v>
      </c>
      <c r="R55" s="21" t="str">
        <f aca="false">VLOOKUP(K55,clasif_filas!$A$2:$J$39,8,FALSE())</f>
        <v>Productos alimenticios, bebidas y tabaco; textiles, prendas de vestir y productos de cuero</v>
      </c>
      <c r="S55" s="21" t="n">
        <f aca="false">VLOOKUP(K55,clasif_filas!$A$2:$J$39,9,FALSE())</f>
        <v>1</v>
      </c>
      <c r="T55" s="61" t="str">
        <f aca="false">VLOOKUP(K55,clasif_filas!$A$2:$J$39,10,FALSE())</f>
        <v>Bioeconomía</v>
      </c>
    </row>
    <row r="56" customFormat="false" ht="14.25" hidden="false" customHeight="false" outlineLevel="0" collapsed="false">
      <c r="A56" s="29" t="s">
        <v>111</v>
      </c>
      <c r="B56" s="58" t="s">
        <v>1835</v>
      </c>
      <c r="C56" s="58" t="s">
        <v>1617</v>
      </c>
      <c r="D56" s="59" t="n">
        <v>1</v>
      </c>
      <c r="E56" s="60" t="s">
        <v>1989</v>
      </c>
      <c r="F56" s="60" t="s">
        <v>1990</v>
      </c>
      <c r="G56" s="1" t="s">
        <v>1991</v>
      </c>
      <c r="H56" s="1" t="n">
        <v>2</v>
      </c>
      <c r="I56" s="1" t="s">
        <v>1963</v>
      </c>
      <c r="J56" s="1" t="s">
        <v>1964</v>
      </c>
      <c r="K56" s="21" t="n">
        <v>23</v>
      </c>
      <c r="L56" s="21" t="str">
        <f aca="false">VLOOKUP(K56,clasif_filas!$A$2:$J$39,2,FALSE())</f>
        <v>Productos de molienda, productos con almidón o maicena; otros productos de alimenticios</v>
      </c>
      <c r="M56" s="21" t="n">
        <f aca="false">VLOOKUP(K56,clasif_filas!$A$2:$J$39,3,FALSE())</f>
        <v>23</v>
      </c>
      <c r="N56" s="21" t="str">
        <f aca="false">VLOOKUP(K56,clasif_filas!$A$2:$J$39,4,FALSE())</f>
        <v>Productos de molienda, productos con almidón o maicena; otros productos de alimenticios</v>
      </c>
      <c r="O56" s="21" t="n">
        <f aca="false">VLOOKUP(K56,clasif_filas!$A$2:$J$39,5,FALSE())</f>
        <v>6</v>
      </c>
      <c r="P56" s="21" t="str">
        <f aca="false">VLOOKUP(K56,clasif_filas!$A$2:$J$39,6,FALSE())</f>
        <v>Conocimiento, procesos y servicios relacionados</v>
      </c>
      <c r="Q56" s="21" t="n">
        <f aca="false">VLOOKUP(K56,clasif_filas!$A$2:$J$39,7,FALSE())</f>
        <v>2</v>
      </c>
      <c r="R56" s="21" t="str">
        <f aca="false">VLOOKUP(K56,clasif_filas!$A$2:$J$39,8,FALSE())</f>
        <v>Productos alimenticios, bebidas y tabaco; textiles, prendas de vestir y productos de cuero</v>
      </c>
      <c r="S56" s="21" t="n">
        <f aca="false">VLOOKUP(K56,clasif_filas!$A$2:$J$39,9,FALSE())</f>
        <v>1</v>
      </c>
      <c r="T56" s="61" t="str">
        <f aca="false">VLOOKUP(K56,clasif_filas!$A$2:$J$39,10,FALSE())</f>
        <v>Bioeconomía</v>
      </c>
    </row>
    <row r="57" customFormat="false" ht="14.25" hidden="false" customHeight="false" outlineLevel="0" collapsed="false">
      <c r="A57" s="29" t="s">
        <v>113</v>
      </c>
      <c r="B57" s="58" t="s">
        <v>1835</v>
      </c>
      <c r="C57" s="58" t="s">
        <v>1617</v>
      </c>
      <c r="D57" s="59" t="n">
        <v>1</v>
      </c>
      <c r="E57" s="60" t="s">
        <v>1992</v>
      </c>
      <c r="F57" s="60" t="s">
        <v>1993</v>
      </c>
      <c r="G57" s="1" t="s">
        <v>1991</v>
      </c>
      <c r="H57" s="1" t="n">
        <v>2</v>
      </c>
      <c r="I57" s="1" t="s">
        <v>1963</v>
      </c>
      <c r="J57" s="1" t="s">
        <v>1964</v>
      </c>
      <c r="K57" s="21" t="n">
        <v>23</v>
      </c>
      <c r="L57" s="21" t="str">
        <f aca="false">VLOOKUP(K57,clasif_filas!$A$2:$J$39,2,FALSE())</f>
        <v>Productos de molienda, productos con almidón o maicena; otros productos de alimenticios</v>
      </c>
      <c r="M57" s="21" t="n">
        <f aca="false">VLOOKUP(K57,clasif_filas!$A$2:$J$39,3,FALSE())</f>
        <v>23</v>
      </c>
      <c r="N57" s="21" t="str">
        <f aca="false">VLOOKUP(K57,clasif_filas!$A$2:$J$39,4,FALSE())</f>
        <v>Productos de molienda, productos con almidón o maicena; otros productos de alimenticios</v>
      </c>
      <c r="O57" s="21" t="n">
        <f aca="false">VLOOKUP(K57,clasif_filas!$A$2:$J$39,5,FALSE())</f>
        <v>6</v>
      </c>
      <c r="P57" s="21" t="str">
        <f aca="false">VLOOKUP(K57,clasif_filas!$A$2:$J$39,6,FALSE())</f>
        <v>Conocimiento, procesos y servicios relacionados</v>
      </c>
      <c r="Q57" s="21" t="n">
        <f aca="false">VLOOKUP(K57,clasif_filas!$A$2:$J$39,7,FALSE())</f>
        <v>2</v>
      </c>
      <c r="R57" s="21" t="str">
        <f aca="false">VLOOKUP(K57,clasif_filas!$A$2:$J$39,8,FALSE())</f>
        <v>Productos alimenticios, bebidas y tabaco; textiles, prendas de vestir y productos de cuero</v>
      </c>
      <c r="S57" s="21" t="n">
        <f aca="false">VLOOKUP(K57,clasif_filas!$A$2:$J$39,9,FALSE())</f>
        <v>1</v>
      </c>
      <c r="T57" s="61" t="str">
        <f aca="false">VLOOKUP(K57,clasif_filas!$A$2:$J$39,10,FALSE())</f>
        <v>Bioeconomía</v>
      </c>
    </row>
    <row r="58" customFormat="false" ht="37.55" hidden="false" customHeight="false" outlineLevel="0" collapsed="false">
      <c r="A58" s="29" t="s">
        <v>115</v>
      </c>
      <c r="B58" s="58" t="s">
        <v>1835</v>
      </c>
      <c r="C58" s="58" t="s">
        <v>1617</v>
      </c>
      <c r="D58" s="59" t="n">
        <v>1</v>
      </c>
      <c r="E58" s="60" t="s">
        <v>1994</v>
      </c>
      <c r="F58" s="60" t="s">
        <v>1995</v>
      </c>
      <c r="G58" s="1" t="s">
        <v>1991</v>
      </c>
      <c r="H58" s="1" t="n">
        <v>2</v>
      </c>
      <c r="I58" s="1" t="s">
        <v>1963</v>
      </c>
      <c r="J58" s="1" t="s">
        <v>1964</v>
      </c>
      <c r="K58" s="21" t="n">
        <v>23</v>
      </c>
      <c r="L58" s="21" t="str">
        <f aca="false">VLOOKUP(K58,clasif_filas!$A$2:$J$39,2,FALSE())</f>
        <v>Productos de molienda, productos con almidón o maicena; otros productos de alimenticios</v>
      </c>
      <c r="M58" s="21" t="n">
        <f aca="false">VLOOKUP(K58,clasif_filas!$A$2:$J$39,3,FALSE())</f>
        <v>23</v>
      </c>
      <c r="N58" s="21" t="str">
        <f aca="false">VLOOKUP(K58,clasif_filas!$A$2:$J$39,4,FALSE())</f>
        <v>Productos de molienda, productos con almidón o maicena; otros productos de alimenticios</v>
      </c>
      <c r="O58" s="21" t="n">
        <f aca="false">VLOOKUP(K58,clasif_filas!$A$2:$J$39,5,FALSE())</f>
        <v>6</v>
      </c>
      <c r="P58" s="21" t="str">
        <f aca="false">VLOOKUP(K58,clasif_filas!$A$2:$J$39,6,FALSE())</f>
        <v>Conocimiento, procesos y servicios relacionados</v>
      </c>
      <c r="Q58" s="21" t="n">
        <f aca="false">VLOOKUP(K58,clasif_filas!$A$2:$J$39,7,FALSE())</f>
        <v>2</v>
      </c>
      <c r="R58" s="21" t="str">
        <f aca="false">VLOOKUP(K58,clasif_filas!$A$2:$J$39,8,FALSE())</f>
        <v>Productos alimenticios, bebidas y tabaco; textiles, prendas de vestir y productos de cuero</v>
      </c>
      <c r="S58" s="21" t="n">
        <f aca="false">VLOOKUP(K58,clasif_filas!$A$2:$J$39,9,FALSE())</f>
        <v>1</v>
      </c>
      <c r="T58" s="61" t="str">
        <f aca="false">VLOOKUP(K58,clasif_filas!$A$2:$J$39,10,FALSE())</f>
        <v>Bioeconomía</v>
      </c>
    </row>
    <row r="59" customFormat="false" ht="14.25" hidden="false" customHeight="false" outlineLevel="0" collapsed="false">
      <c r="A59" s="29" t="s">
        <v>117</v>
      </c>
      <c r="B59" s="58" t="s">
        <v>1835</v>
      </c>
      <c r="C59" s="58" t="s">
        <v>1617</v>
      </c>
      <c r="D59" s="59" t="n">
        <v>1</v>
      </c>
      <c r="E59" s="60" t="s">
        <v>1996</v>
      </c>
      <c r="F59" s="60" t="s">
        <v>1997</v>
      </c>
      <c r="G59" s="1" t="s">
        <v>1991</v>
      </c>
      <c r="H59" s="1" t="n">
        <v>2</v>
      </c>
      <c r="I59" s="1" t="s">
        <v>1963</v>
      </c>
      <c r="J59" s="1" t="s">
        <v>1964</v>
      </c>
      <c r="K59" s="21" t="n">
        <v>23</v>
      </c>
      <c r="L59" s="21" t="str">
        <f aca="false">VLOOKUP(K59,clasif_filas!$A$2:$J$39,2,FALSE())</f>
        <v>Productos de molienda, productos con almidón o maicena; otros productos de alimenticios</v>
      </c>
      <c r="M59" s="21" t="n">
        <f aca="false">VLOOKUP(K59,clasif_filas!$A$2:$J$39,3,FALSE())</f>
        <v>23</v>
      </c>
      <c r="N59" s="21" t="str">
        <f aca="false">VLOOKUP(K59,clasif_filas!$A$2:$J$39,4,FALSE())</f>
        <v>Productos de molienda, productos con almidón o maicena; otros productos de alimenticios</v>
      </c>
      <c r="O59" s="21" t="n">
        <f aca="false">VLOOKUP(K59,clasif_filas!$A$2:$J$39,5,FALSE())</f>
        <v>6</v>
      </c>
      <c r="P59" s="21" t="str">
        <f aca="false">VLOOKUP(K59,clasif_filas!$A$2:$J$39,6,FALSE())</f>
        <v>Conocimiento, procesos y servicios relacionados</v>
      </c>
      <c r="Q59" s="21" t="n">
        <f aca="false">VLOOKUP(K59,clasif_filas!$A$2:$J$39,7,FALSE())</f>
        <v>2</v>
      </c>
      <c r="R59" s="21" t="str">
        <f aca="false">VLOOKUP(K59,clasif_filas!$A$2:$J$39,8,FALSE())</f>
        <v>Productos alimenticios, bebidas y tabaco; textiles, prendas de vestir y productos de cuero</v>
      </c>
      <c r="S59" s="21" t="n">
        <f aca="false">VLOOKUP(K59,clasif_filas!$A$2:$J$39,9,FALSE())</f>
        <v>1</v>
      </c>
      <c r="T59" s="61" t="str">
        <f aca="false">VLOOKUP(K59,clasif_filas!$A$2:$J$39,10,FALSE())</f>
        <v>Bioeconomía</v>
      </c>
    </row>
    <row r="60" customFormat="false" ht="14.25" hidden="false" customHeight="false" outlineLevel="0" collapsed="false">
      <c r="A60" s="29" t="s">
        <v>119</v>
      </c>
      <c r="B60" s="58" t="s">
        <v>1835</v>
      </c>
      <c r="C60" s="58" t="s">
        <v>1617</v>
      </c>
      <c r="D60" s="59" t="n">
        <v>1</v>
      </c>
      <c r="E60" s="60" t="s">
        <v>1998</v>
      </c>
      <c r="F60" s="60" t="s">
        <v>1999</v>
      </c>
      <c r="G60" s="1" t="s">
        <v>2000</v>
      </c>
      <c r="H60" s="1" t="n">
        <v>2</v>
      </c>
      <c r="I60" s="1" t="s">
        <v>1963</v>
      </c>
      <c r="J60" s="1" t="s">
        <v>1964</v>
      </c>
      <c r="K60" s="21" t="n">
        <v>23</v>
      </c>
      <c r="L60" s="21" t="str">
        <f aca="false">VLOOKUP(K60,clasif_filas!$A$2:$J$39,2,FALSE())</f>
        <v>Productos de molienda, productos con almidón o maicena; otros productos de alimenticios</v>
      </c>
      <c r="M60" s="21" t="n">
        <f aca="false">VLOOKUP(K60,clasif_filas!$A$2:$J$39,3,FALSE())</f>
        <v>23</v>
      </c>
      <c r="N60" s="21" t="str">
        <f aca="false">VLOOKUP(K60,clasif_filas!$A$2:$J$39,4,FALSE())</f>
        <v>Productos de molienda, productos con almidón o maicena; otros productos de alimenticios</v>
      </c>
      <c r="O60" s="21" t="n">
        <f aca="false">VLOOKUP(K60,clasif_filas!$A$2:$J$39,5,FALSE())</f>
        <v>6</v>
      </c>
      <c r="P60" s="21" t="str">
        <f aca="false">VLOOKUP(K60,clasif_filas!$A$2:$J$39,6,FALSE())</f>
        <v>Conocimiento, procesos y servicios relacionados</v>
      </c>
      <c r="Q60" s="21" t="n">
        <f aca="false">VLOOKUP(K60,clasif_filas!$A$2:$J$39,7,FALSE())</f>
        <v>2</v>
      </c>
      <c r="R60" s="21" t="str">
        <f aca="false">VLOOKUP(K60,clasif_filas!$A$2:$J$39,8,FALSE())</f>
        <v>Productos alimenticios, bebidas y tabaco; textiles, prendas de vestir y productos de cuero</v>
      </c>
      <c r="S60" s="21" t="n">
        <f aca="false">VLOOKUP(K60,clasif_filas!$A$2:$J$39,9,FALSE())</f>
        <v>1</v>
      </c>
      <c r="T60" s="61" t="str">
        <f aca="false">VLOOKUP(K60,clasif_filas!$A$2:$J$39,10,FALSE())</f>
        <v>Bioeconomía</v>
      </c>
    </row>
    <row r="61" customFormat="false" ht="25.55" hidden="false" customHeight="false" outlineLevel="0" collapsed="false">
      <c r="A61" s="29" t="s">
        <v>121</v>
      </c>
      <c r="B61" s="58" t="s">
        <v>1835</v>
      </c>
      <c r="C61" s="58" t="s">
        <v>1617</v>
      </c>
      <c r="D61" s="59" t="n">
        <v>1</v>
      </c>
      <c r="E61" s="60" t="s">
        <v>2001</v>
      </c>
      <c r="F61" s="60" t="s">
        <v>2002</v>
      </c>
      <c r="G61" s="1" t="s">
        <v>1976</v>
      </c>
      <c r="H61" s="1" t="n">
        <v>2</v>
      </c>
      <c r="I61" s="1" t="s">
        <v>1963</v>
      </c>
      <c r="J61" s="1" t="s">
        <v>1964</v>
      </c>
      <c r="K61" s="21" t="n">
        <v>23</v>
      </c>
      <c r="L61" s="21" t="str">
        <f aca="false">VLOOKUP(K61,clasif_filas!$A$2:$J$39,2,FALSE())</f>
        <v>Productos de molienda, productos con almidón o maicena; otros productos de alimenticios</v>
      </c>
      <c r="M61" s="21" t="n">
        <f aca="false">VLOOKUP(K61,clasif_filas!$A$2:$J$39,3,FALSE())</f>
        <v>23</v>
      </c>
      <c r="N61" s="21" t="str">
        <f aca="false">VLOOKUP(K61,clasif_filas!$A$2:$J$39,4,FALSE())</f>
        <v>Productos de molienda, productos con almidón o maicena; otros productos de alimenticios</v>
      </c>
      <c r="O61" s="21" t="n">
        <f aca="false">VLOOKUP(K61,clasif_filas!$A$2:$J$39,5,FALSE())</f>
        <v>6</v>
      </c>
      <c r="P61" s="21" t="str">
        <f aca="false">VLOOKUP(K61,clasif_filas!$A$2:$J$39,6,FALSE())</f>
        <v>Conocimiento, procesos y servicios relacionados</v>
      </c>
      <c r="Q61" s="21" t="n">
        <f aca="false">VLOOKUP(K61,clasif_filas!$A$2:$J$39,7,FALSE())</f>
        <v>2</v>
      </c>
      <c r="R61" s="21" t="str">
        <f aca="false">VLOOKUP(K61,clasif_filas!$A$2:$J$39,8,FALSE())</f>
        <v>Productos alimenticios, bebidas y tabaco; textiles, prendas de vestir y productos de cuero</v>
      </c>
      <c r="S61" s="21" t="n">
        <f aca="false">VLOOKUP(K61,clasif_filas!$A$2:$J$39,9,FALSE())</f>
        <v>1</v>
      </c>
      <c r="T61" s="61" t="str">
        <f aca="false">VLOOKUP(K61,clasif_filas!$A$2:$J$39,10,FALSE())</f>
        <v>Bioeconomía</v>
      </c>
    </row>
    <row r="62" customFormat="false" ht="25.55" hidden="false" customHeight="false" outlineLevel="0" collapsed="false">
      <c r="A62" s="29" t="s">
        <v>123</v>
      </c>
      <c r="B62" s="58" t="s">
        <v>1835</v>
      </c>
      <c r="C62" s="58" t="s">
        <v>1617</v>
      </c>
      <c r="D62" s="59" t="n">
        <v>1</v>
      </c>
      <c r="E62" s="60" t="s">
        <v>2003</v>
      </c>
      <c r="F62" s="60" t="s">
        <v>2004</v>
      </c>
      <c r="G62" s="1" t="s">
        <v>1991</v>
      </c>
      <c r="H62" s="1" t="n">
        <v>2</v>
      </c>
      <c r="I62" s="1" t="s">
        <v>1963</v>
      </c>
      <c r="J62" s="1" t="s">
        <v>1964</v>
      </c>
      <c r="K62" s="21" t="n">
        <v>23</v>
      </c>
      <c r="L62" s="21" t="str">
        <f aca="false">VLOOKUP(K62,clasif_filas!$A$2:$J$39,2,FALSE())</f>
        <v>Productos de molienda, productos con almidón o maicena; otros productos de alimenticios</v>
      </c>
      <c r="M62" s="21" t="n">
        <f aca="false">VLOOKUP(K62,clasif_filas!$A$2:$J$39,3,FALSE())</f>
        <v>23</v>
      </c>
      <c r="N62" s="21" t="str">
        <f aca="false">VLOOKUP(K62,clasif_filas!$A$2:$J$39,4,FALSE())</f>
        <v>Productos de molienda, productos con almidón o maicena; otros productos de alimenticios</v>
      </c>
      <c r="O62" s="21" t="n">
        <f aca="false">VLOOKUP(K62,clasif_filas!$A$2:$J$39,5,FALSE())</f>
        <v>6</v>
      </c>
      <c r="P62" s="21" t="str">
        <f aca="false">VLOOKUP(K62,clasif_filas!$A$2:$J$39,6,FALSE())</f>
        <v>Conocimiento, procesos y servicios relacionados</v>
      </c>
      <c r="Q62" s="21" t="n">
        <f aca="false">VLOOKUP(K62,clasif_filas!$A$2:$J$39,7,FALSE())</f>
        <v>2</v>
      </c>
      <c r="R62" s="21" t="str">
        <f aca="false">VLOOKUP(K62,clasif_filas!$A$2:$J$39,8,FALSE())</f>
        <v>Productos alimenticios, bebidas y tabaco; textiles, prendas de vestir y productos de cuero</v>
      </c>
      <c r="S62" s="21" t="n">
        <f aca="false">VLOOKUP(K62,clasif_filas!$A$2:$J$39,9,FALSE())</f>
        <v>1</v>
      </c>
      <c r="T62" s="61" t="str">
        <f aca="false">VLOOKUP(K62,clasif_filas!$A$2:$J$39,10,FALSE())</f>
        <v>Bioeconomía</v>
      </c>
    </row>
    <row r="63" customFormat="false" ht="14.25" hidden="false" customHeight="false" outlineLevel="0" collapsed="false">
      <c r="A63" s="29" t="s">
        <v>125</v>
      </c>
      <c r="B63" s="58" t="s">
        <v>1835</v>
      </c>
      <c r="C63" s="58" t="s">
        <v>1617</v>
      </c>
      <c r="D63" s="59" t="n">
        <v>1</v>
      </c>
      <c r="E63" s="60" t="s">
        <v>2005</v>
      </c>
      <c r="F63" s="60" t="s">
        <v>2006</v>
      </c>
      <c r="G63" s="1" t="s">
        <v>1976</v>
      </c>
      <c r="H63" s="1" t="n">
        <v>2</v>
      </c>
      <c r="I63" s="1" t="s">
        <v>1963</v>
      </c>
      <c r="J63" s="1" t="s">
        <v>1964</v>
      </c>
      <c r="K63" s="21" t="n">
        <v>23</v>
      </c>
      <c r="L63" s="21" t="str">
        <f aca="false">VLOOKUP(K63,clasif_filas!$A$2:$J$39,2,FALSE())</f>
        <v>Productos de molienda, productos con almidón o maicena; otros productos de alimenticios</v>
      </c>
      <c r="M63" s="21" t="n">
        <f aca="false">VLOOKUP(K63,clasif_filas!$A$2:$J$39,3,FALSE())</f>
        <v>23</v>
      </c>
      <c r="N63" s="21" t="str">
        <f aca="false">VLOOKUP(K63,clasif_filas!$A$2:$J$39,4,FALSE())</f>
        <v>Productos de molienda, productos con almidón o maicena; otros productos de alimenticios</v>
      </c>
      <c r="O63" s="21" t="n">
        <f aca="false">VLOOKUP(K63,clasif_filas!$A$2:$J$39,5,FALSE())</f>
        <v>6</v>
      </c>
      <c r="P63" s="21" t="str">
        <f aca="false">VLOOKUP(K63,clasif_filas!$A$2:$J$39,6,FALSE())</f>
        <v>Conocimiento, procesos y servicios relacionados</v>
      </c>
      <c r="Q63" s="21" t="n">
        <f aca="false">VLOOKUP(K63,clasif_filas!$A$2:$J$39,7,FALSE())</f>
        <v>2</v>
      </c>
      <c r="R63" s="21" t="str">
        <f aca="false">VLOOKUP(K63,clasif_filas!$A$2:$J$39,8,FALSE())</f>
        <v>Productos alimenticios, bebidas y tabaco; textiles, prendas de vestir y productos de cuero</v>
      </c>
      <c r="S63" s="21" t="n">
        <f aca="false">VLOOKUP(K63,clasif_filas!$A$2:$J$39,9,FALSE())</f>
        <v>1</v>
      </c>
      <c r="T63" s="61" t="str">
        <f aca="false">VLOOKUP(K63,clasif_filas!$A$2:$J$39,10,FALSE())</f>
        <v>Bioeconomía</v>
      </c>
    </row>
    <row r="64" customFormat="false" ht="25.55" hidden="false" customHeight="false" outlineLevel="0" collapsed="false">
      <c r="A64" s="29" t="s">
        <v>127</v>
      </c>
      <c r="B64" s="58" t="s">
        <v>1835</v>
      </c>
      <c r="C64" s="58" t="s">
        <v>1617</v>
      </c>
      <c r="D64" s="59" t="n">
        <v>1</v>
      </c>
      <c r="E64" s="60" t="s">
        <v>2007</v>
      </c>
      <c r="F64" s="60" t="s">
        <v>2008</v>
      </c>
      <c r="G64" s="1" t="s">
        <v>2009</v>
      </c>
      <c r="H64" s="1" t="n">
        <v>2</v>
      </c>
      <c r="I64" s="1" t="s">
        <v>1963</v>
      </c>
      <c r="J64" s="1" t="s">
        <v>2009</v>
      </c>
      <c r="K64" s="21" t="n">
        <v>21</v>
      </c>
      <c r="L64" s="21" t="str">
        <f aca="false">VLOOKUP(K64,clasif_filas!$A$2:$J$39,2,FALSE())</f>
        <v>Carne, pescado, frutas, vegetales, aceites y grasas</v>
      </c>
      <c r="M64" s="21" t="n">
        <f aca="false">VLOOKUP(K64,clasif_filas!$A$2:$J$39,3,FALSE())</f>
        <v>21</v>
      </c>
      <c r="N64" s="21" t="str">
        <f aca="false">VLOOKUP(K64,clasif_filas!$A$2:$J$39,4,FALSE())</f>
        <v>Carne, pescado, frutas, vegetales, aceites y grasas</v>
      </c>
      <c r="O64" s="21" t="n">
        <f aca="false">VLOOKUP(K64,clasif_filas!$A$2:$J$39,5,FALSE())</f>
        <v>6</v>
      </c>
      <c r="P64" s="21" t="str">
        <f aca="false">VLOOKUP(K64,clasif_filas!$A$2:$J$39,6,FALSE())</f>
        <v>Conocimiento, procesos y servicios relacionados</v>
      </c>
      <c r="Q64" s="21" t="n">
        <f aca="false">VLOOKUP(K64,clasif_filas!$A$2:$J$39,7,FALSE())</f>
        <v>2</v>
      </c>
      <c r="R64" s="21" t="str">
        <f aca="false">VLOOKUP(K64,clasif_filas!$A$2:$J$39,8,FALSE())</f>
        <v>Productos alimenticios, bebidas y tabaco; textiles, prendas de vestir y productos de cuero</v>
      </c>
      <c r="S64" s="21" t="n">
        <f aca="false">VLOOKUP(K64,clasif_filas!$A$2:$J$39,9,FALSE())</f>
        <v>1</v>
      </c>
      <c r="T64" s="61" t="str">
        <f aca="false">VLOOKUP(K64,clasif_filas!$A$2:$J$39,10,FALSE())</f>
        <v>Bioeconomía</v>
      </c>
    </row>
    <row r="65" customFormat="false" ht="25.55" hidden="false" customHeight="false" outlineLevel="0" collapsed="false">
      <c r="A65" s="29" t="s">
        <v>129</v>
      </c>
      <c r="B65" s="58" t="s">
        <v>1835</v>
      </c>
      <c r="C65" s="58" t="s">
        <v>1617</v>
      </c>
      <c r="D65" s="59" t="n">
        <v>1</v>
      </c>
      <c r="E65" s="60" t="s">
        <v>2010</v>
      </c>
      <c r="F65" s="60" t="s">
        <v>2011</v>
      </c>
      <c r="G65" s="1" t="s">
        <v>2012</v>
      </c>
      <c r="H65" s="1" t="n">
        <v>2</v>
      </c>
      <c r="I65" s="1" t="s">
        <v>1963</v>
      </c>
      <c r="J65" s="1" t="s">
        <v>1964</v>
      </c>
      <c r="K65" s="21" t="n">
        <v>24</v>
      </c>
      <c r="L65" s="21" t="str">
        <f aca="false">VLOOKUP(K65,clasif_filas!$A$2:$J$39,2,FALSE())</f>
        <v>Bebidas</v>
      </c>
      <c r="M65" s="21" t="n">
        <f aca="false">VLOOKUP(K65,clasif_filas!$A$2:$J$39,3,FALSE())</f>
        <v>24</v>
      </c>
      <c r="N65" s="21" t="str">
        <f aca="false">VLOOKUP(K65,clasif_filas!$A$2:$J$39,4,FALSE())</f>
        <v>Bebidas</v>
      </c>
      <c r="O65" s="21" t="n">
        <f aca="false">VLOOKUP(K65,clasif_filas!$A$2:$J$39,5,FALSE())</f>
        <v>6</v>
      </c>
      <c r="P65" s="21" t="str">
        <f aca="false">VLOOKUP(K65,clasif_filas!$A$2:$J$39,6,FALSE())</f>
        <v>Conocimiento, procesos y servicios relacionados</v>
      </c>
      <c r="Q65" s="21" t="n">
        <f aca="false">VLOOKUP(K65,clasif_filas!$A$2:$J$39,7,FALSE())</f>
        <v>2</v>
      </c>
      <c r="R65" s="21" t="str">
        <f aca="false">VLOOKUP(K65,clasif_filas!$A$2:$J$39,8,FALSE())</f>
        <v>Productos alimenticios, bebidas y tabaco; textiles, prendas de vestir y productos de cuero</v>
      </c>
      <c r="S65" s="21" t="n">
        <f aca="false">VLOOKUP(K65,clasif_filas!$A$2:$J$39,9,FALSE())</f>
        <v>1</v>
      </c>
      <c r="T65" s="61" t="str">
        <f aca="false">VLOOKUP(K65,clasif_filas!$A$2:$J$39,10,FALSE())</f>
        <v>Bioeconomía</v>
      </c>
    </row>
    <row r="66" customFormat="false" ht="14.25" hidden="false" customHeight="false" outlineLevel="0" collapsed="false">
      <c r="A66" s="29" t="s">
        <v>131</v>
      </c>
      <c r="B66" s="58" t="s">
        <v>1835</v>
      </c>
      <c r="C66" s="58" t="s">
        <v>1617</v>
      </c>
      <c r="D66" s="59" t="n">
        <v>1</v>
      </c>
      <c r="E66" s="60" t="s">
        <v>2013</v>
      </c>
      <c r="F66" s="60" t="s">
        <v>2014</v>
      </c>
      <c r="G66" s="1" t="s">
        <v>2012</v>
      </c>
      <c r="H66" s="1" t="n">
        <v>2</v>
      </c>
      <c r="I66" s="1" t="s">
        <v>1963</v>
      </c>
      <c r="J66" s="1" t="s">
        <v>1964</v>
      </c>
      <c r="K66" s="21" t="n">
        <v>24</v>
      </c>
      <c r="L66" s="21" t="str">
        <f aca="false">VLOOKUP(K66,clasif_filas!$A$2:$J$39,2,FALSE())</f>
        <v>Bebidas</v>
      </c>
      <c r="M66" s="21" t="n">
        <f aca="false">VLOOKUP(K66,clasif_filas!$A$2:$J$39,3,FALSE())</f>
        <v>24</v>
      </c>
      <c r="N66" s="21" t="str">
        <f aca="false">VLOOKUP(K66,clasif_filas!$A$2:$J$39,4,FALSE())</f>
        <v>Bebidas</v>
      </c>
      <c r="O66" s="21" t="n">
        <f aca="false">VLOOKUP(K66,clasif_filas!$A$2:$J$39,5,FALSE())</f>
        <v>6</v>
      </c>
      <c r="P66" s="21" t="str">
        <f aca="false">VLOOKUP(K66,clasif_filas!$A$2:$J$39,6,FALSE())</f>
        <v>Conocimiento, procesos y servicios relacionados</v>
      </c>
      <c r="Q66" s="21" t="n">
        <f aca="false">VLOOKUP(K66,clasif_filas!$A$2:$J$39,7,FALSE())</f>
        <v>2</v>
      </c>
      <c r="R66" s="21" t="str">
        <f aca="false">VLOOKUP(K66,clasif_filas!$A$2:$J$39,8,FALSE())</f>
        <v>Productos alimenticios, bebidas y tabaco; textiles, prendas de vestir y productos de cuero</v>
      </c>
      <c r="S66" s="21" t="n">
        <f aca="false">VLOOKUP(K66,clasif_filas!$A$2:$J$39,9,FALSE())</f>
        <v>1</v>
      </c>
      <c r="T66" s="61" t="str">
        <f aca="false">VLOOKUP(K66,clasif_filas!$A$2:$J$39,10,FALSE())</f>
        <v>Bioeconomía</v>
      </c>
    </row>
    <row r="67" customFormat="false" ht="14.25" hidden="false" customHeight="false" outlineLevel="0" collapsed="false">
      <c r="A67" s="29" t="s">
        <v>133</v>
      </c>
      <c r="B67" s="58" t="s">
        <v>1835</v>
      </c>
      <c r="C67" s="58" t="s">
        <v>1617</v>
      </c>
      <c r="D67" s="59" t="n">
        <v>1</v>
      </c>
      <c r="E67" s="60" t="s">
        <v>2015</v>
      </c>
      <c r="F67" s="60" t="s">
        <v>2016</v>
      </c>
      <c r="G67" s="1" t="s">
        <v>2012</v>
      </c>
      <c r="H67" s="1" t="n">
        <v>2</v>
      </c>
      <c r="I67" s="1" t="s">
        <v>1963</v>
      </c>
      <c r="J67" s="1" t="s">
        <v>1964</v>
      </c>
      <c r="K67" s="21" t="n">
        <v>24</v>
      </c>
      <c r="L67" s="21" t="str">
        <f aca="false">VLOOKUP(K67,clasif_filas!$A$2:$J$39,2,FALSE())</f>
        <v>Bebidas</v>
      </c>
      <c r="M67" s="21" t="n">
        <f aca="false">VLOOKUP(K67,clasif_filas!$A$2:$J$39,3,FALSE())</f>
        <v>24</v>
      </c>
      <c r="N67" s="21" t="str">
        <f aca="false">VLOOKUP(K67,clasif_filas!$A$2:$J$39,4,FALSE())</f>
        <v>Bebidas</v>
      </c>
      <c r="O67" s="21" t="n">
        <f aca="false">VLOOKUP(K67,clasif_filas!$A$2:$J$39,5,FALSE())</f>
        <v>6</v>
      </c>
      <c r="P67" s="21" t="str">
        <f aca="false">VLOOKUP(K67,clasif_filas!$A$2:$J$39,6,FALSE())</f>
        <v>Conocimiento, procesos y servicios relacionados</v>
      </c>
      <c r="Q67" s="21" t="n">
        <f aca="false">VLOOKUP(K67,clasif_filas!$A$2:$J$39,7,FALSE())</f>
        <v>2</v>
      </c>
      <c r="R67" s="21" t="str">
        <f aca="false">VLOOKUP(K67,clasif_filas!$A$2:$J$39,8,FALSE())</f>
        <v>Productos alimenticios, bebidas y tabaco; textiles, prendas de vestir y productos de cuero</v>
      </c>
      <c r="S67" s="21" t="n">
        <f aca="false">VLOOKUP(K67,clasif_filas!$A$2:$J$39,9,FALSE())</f>
        <v>1</v>
      </c>
      <c r="T67" s="61" t="str">
        <f aca="false">VLOOKUP(K67,clasif_filas!$A$2:$J$39,10,FALSE())</f>
        <v>Bioeconomía</v>
      </c>
    </row>
    <row r="68" customFormat="false" ht="25.55" hidden="false" customHeight="false" outlineLevel="0" collapsed="false">
      <c r="A68" s="29" t="s">
        <v>135</v>
      </c>
      <c r="B68" s="58" t="s">
        <v>1835</v>
      </c>
      <c r="C68" s="58" t="s">
        <v>1617</v>
      </c>
      <c r="D68" s="59" t="n">
        <v>1</v>
      </c>
      <c r="E68" s="60" t="s">
        <v>2017</v>
      </c>
      <c r="F68" s="60" t="s">
        <v>2018</v>
      </c>
      <c r="G68" s="1" t="s">
        <v>2012</v>
      </c>
      <c r="H68" s="1" t="n">
        <v>2</v>
      </c>
      <c r="I68" s="1" t="s">
        <v>1963</v>
      </c>
      <c r="J68" s="1" t="s">
        <v>1964</v>
      </c>
      <c r="K68" s="21" t="n">
        <v>24</v>
      </c>
      <c r="L68" s="21" t="str">
        <f aca="false">VLOOKUP(K68,clasif_filas!$A$2:$J$39,2,FALSE())</f>
        <v>Bebidas</v>
      </c>
      <c r="M68" s="21" t="n">
        <f aca="false">VLOOKUP(K68,clasif_filas!$A$2:$J$39,3,FALSE())</f>
        <v>24</v>
      </c>
      <c r="N68" s="21" t="str">
        <f aca="false">VLOOKUP(K68,clasif_filas!$A$2:$J$39,4,FALSE())</f>
        <v>Bebidas</v>
      </c>
      <c r="O68" s="21" t="n">
        <f aca="false">VLOOKUP(K68,clasif_filas!$A$2:$J$39,5,FALSE())</f>
        <v>6</v>
      </c>
      <c r="P68" s="21" t="str">
        <f aca="false">VLOOKUP(K68,clasif_filas!$A$2:$J$39,6,FALSE())</f>
        <v>Conocimiento, procesos y servicios relacionados</v>
      </c>
      <c r="Q68" s="21" t="n">
        <f aca="false">VLOOKUP(K68,clasif_filas!$A$2:$J$39,7,FALSE())</f>
        <v>2</v>
      </c>
      <c r="R68" s="21" t="str">
        <f aca="false">VLOOKUP(K68,clasif_filas!$A$2:$J$39,8,FALSE())</f>
        <v>Productos alimenticios, bebidas y tabaco; textiles, prendas de vestir y productos de cuero</v>
      </c>
      <c r="S68" s="21" t="n">
        <f aca="false">VLOOKUP(K68,clasif_filas!$A$2:$J$39,9,FALSE())</f>
        <v>1</v>
      </c>
      <c r="T68" s="61" t="str">
        <f aca="false">VLOOKUP(K68,clasif_filas!$A$2:$J$39,10,FALSE())</f>
        <v>Bioeconomía</v>
      </c>
    </row>
    <row r="69" customFormat="false" ht="14.25" hidden="false" customHeight="false" outlineLevel="0" collapsed="false">
      <c r="A69" s="29" t="s">
        <v>137</v>
      </c>
      <c r="B69" s="58" t="s">
        <v>1835</v>
      </c>
      <c r="C69" s="58" t="s">
        <v>1617</v>
      </c>
      <c r="D69" s="59" t="n">
        <v>1</v>
      </c>
      <c r="E69" s="60" t="s">
        <v>2019</v>
      </c>
      <c r="F69" s="60" t="s">
        <v>2020</v>
      </c>
      <c r="G69" s="1" t="s">
        <v>2021</v>
      </c>
      <c r="H69" s="1" t="n">
        <v>2</v>
      </c>
      <c r="I69" s="1" t="s">
        <v>1963</v>
      </c>
      <c r="J69" s="1" t="s">
        <v>1964</v>
      </c>
      <c r="K69" s="21" t="n">
        <v>25</v>
      </c>
      <c r="L69" s="21" t="str">
        <f aca="false">VLOOKUP(K69,clasif_filas!$A$2:$J$39,2,FALSE())</f>
        <v>Productos del tabaco</v>
      </c>
      <c r="M69" s="21" t="n">
        <f aca="false">VLOOKUP(K69,clasif_filas!$A$2:$J$39,3,FALSE())</f>
        <v>25</v>
      </c>
      <c r="N69" s="21" t="str">
        <f aca="false">VLOOKUP(K69,clasif_filas!$A$2:$J$39,4,FALSE())</f>
        <v>Productos del tabaco</v>
      </c>
      <c r="O69" s="21" t="n">
        <f aca="false">VLOOKUP(K69,clasif_filas!$A$2:$J$39,5,FALSE())</f>
        <v>6</v>
      </c>
      <c r="P69" s="21" t="str">
        <f aca="false">VLOOKUP(K69,clasif_filas!$A$2:$J$39,6,FALSE())</f>
        <v>Conocimiento, procesos y servicios relacionados</v>
      </c>
      <c r="Q69" s="21" t="n">
        <f aca="false">VLOOKUP(K69,clasif_filas!$A$2:$J$39,7,FALSE())</f>
        <v>2</v>
      </c>
      <c r="R69" s="21" t="str">
        <f aca="false">VLOOKUP(K69,clasif_filas!$A$2:$J$39,8,FALSE())</f>
        <v>Productos alimenticios, bebidas y tabaco; textiles, prendas de vestir y productos de cuero</v>
      </c>
      <c r="S69" s="21" t="n">
        <f aca="false">VLOOKUP(K69,clasif_filas!$A$2:$J$39,9,FALSE())</f>
        <v>1</v>
      </c>
      <c r="T69" s="61" t="str">
        <f aca="false">VLOOKUP(K69,clasif_filas!$A$2:$J$39,10,FALSE())</f>
        <v>Bioeconomía</v>
      </c>
    </row>
    <row r="70" customFormat="false" ht="25.55" hidden="false" customHeight="false" outlineLevel="0" collapsed="false">
      <c r="A70" s="29" t="s">
        <v>139</v>
      </c>
      <c r="B70" s="58" t="s">
        <v>1835</v>
      </c>
      <c r="C70" s="58" t="s">
        <v>1617</v>
      </c>
      <c r="D70" s="59" t="n">
        <v>1</v>
      </c>
      <c r="E70" s="60" t="s">
        <v>2022</v>
      </c>
      <c r="F70" s="60" t="s">
        <v>2023</v>
      </c>
      <c r="G70" s="1" t="s">
        <v>2024</v>
      </c>
      <c r="H70" s="1" t="n">
        <v>2</v>
      </c>
      <c r="I70" s="1" t="s">
        <v>1963</v>
      </c>
      <c r="J70" s="1" t="s">
        <v>2024</v>
      </c>
      <c r="K70" s="21" t="n">
        <v>26</v>
      </c>
      <c r="L70" s="21" t="str">
        <f aca="false">VLOOKUP(K70,clasif_filas!$A$2:$J$39,2,FALSE())</f>
        <v>Hilados e hilos; tejidos y telas afelpadas</v>
      </c>
      <c r="M70" s="21" t="n">
        <f aca="false">VLOOKUP(K70,clasif_filas!$A$2:$J$39,3,FALSE())</f>
        <v>26</v>
      </c>
      <c r="N70" s="21" t="str">
        <f aca="false">VLOOKUP(K70,clasif_filas!$A$2:$J$39,4,FALSE())</f>
        <v>Hilados e hilos; tejidos y telas afelpadas</v>
      </c>
      <c r="O70" s="21" t="n">
        <f aca="false">VLOOKUP(K70,clasif_filas!$A$2:$J$39,5,FALSE())</f>
        <v>6</v>
      </c>
      <c r="P70" s="21" t="str">
        <f aca="false">VLOOKUP(K70,clasif_filas!$A$2:$J$39,6,FALSE())</f>
        <v>Conocimiento, procesos y servicios relacionados</v>
      </c>
      <c r="Q70" s="21" t="n">
        <f aca="false">VLOOKUP(K70,clasif_filas!$A$2:$J$39,7,FALSE())</f>
        <v>2</v>
      </c>
      <c r="R70" s="21" t="str">
        <f aca="false">VLOOKUP(K70,clasif_filas!$A$2:$J$39,8,FALSE())</f>
        <v>Productos alimenticios, bebidas y tabaco; textiles, prendas de vestir y productos de cuero</v>
      </c>
      <c r="S70" s="21" t="n">
        <f aca="false">VLOOKUP(K70,clasif_filas!$A$2:$J$39,9,FALSE())</f>
        <v>2</v>
      </c>
      <c r="T70" s="61" t="str">
        <f aca="false">VLOOKUP(K70,clasif_filas!$A$2:$J$39,10,FALSE())</f>
        <v>Bioeconomía extendida</v>
      </c>
    </row>
    <row r="71" customFormat="false" ht="25.55" hidden="false" customHeight="false" outlineLevel="0" collapsed="false">
      <c r="A71" s="29" t="s">
        <v>141</v>
      </c>
      <c r="B71" s="58" t="s">
        <v>1835</v>
      </c>
      <c r="C71" s="58" t="s">
        <v>1617</v>
      </c>
      <c r="D71" s="59" t="n">
        <v>1</v>
      </c>
      <c r="E71" s="60" t="s">
        <v>2025</v>
      </c>
      <c r="F71" s="60" t="s">
        <v>2026</v>
      </c>
      <c r="G71" s="1" t="s">
        <v>2024</v>
      </c>
      <c r="H71" s="1" t="n">
        <v>2</v>
      </c>
      <c r="I71" s="1" t="s">
        <v>1963</v>
      </c>
      <c r="J71" s="1" t="s">
        <v>2024</v>
      </c>
      <c r="K71" s="21" t="n">
        <v>26</v>
      </c>
      <c r="L71" s="21" t="str">
        <f aca="false">VLOOKUP(K71,clasif_filas!$A$2:$J$39,2,FALSE())</f>
        <v>Hilados e hilos; tejidos y telas afelpadas</v>
      </c>
      <c r="M71" s="21" t="n">
        <f aca="false">VLOOKUP(K71,clasif_filas!$A$2:$J$39,3,FALSE())</f>
        <v>26</v>
      </c>
      <c r="N71" s="21" t="str">
        <f aca="false">VLOOKUP(K71,clasif_filas!$A$2:$J$39,4,FALSE())</f>
        <v>Hilados e hilos; tejidos y telas afelpadas</v>
      </c>
      <c r="O71" s="21" t="n">
        <f aca="false">VLOOKUP(K71,clasif_filas!$A$2:$J$39,5,FALSE())</f>
        <v>6</v>
      </c>
      <c r="P71" s="21" t="str">
        <f aca="false">VLOOKUP(K71,clasif_filas!$A$2:$J$39,6,FALSE())</f>
        <v>Conocimiento, procesos y servicios relacionados</v>
      </c>
      <c r="Q71" s="21" t="n">
        <f aca="false">VLOOKUP(K71,clasif_filas!$A$2:$J$39,7,FALSE())</f>
        <v>2</v>
      </c>
      <c r="R71" s="21" t="str">
        <f aca="false">VLOOKUP(K71,clasif_filas!$A$2:$J$39,8,FALSE())</f>
        <v>Productos alimenticios, bebidas y tabaco; textiles, prendas de vestir y productos de cuero</v>
      </c>
      <c r="S71" s="21" t="n">
        <f aca="false">VLOOKUP(K71,clasif_filas!$A$2:$J$39,9,FALSE())</f>
        <v>2</v>
      </c>
      <c r="T71" s="61" t="str">
        <f aca="false">VLOOKUP(K71,clasif_filas!$A$2:$J$39,10,FALSE())</f>
        <v>Bioeconomía extendida</v>
      </c>
    </row>
    <row r="72" customFormat="false" ht="25.55" hidden="false" customHeight="false" outlineLevel="0" collapsed="false">
      <c r="A72" s="29" t="s">
        <v>143</v>
      </c>
      <c r="B72" s="58" t="s">
        <v>1835</v>
      </c>
      <c r="C72" s="58" t="s">
        <v>1617</v>
      </c>
      <c r="D72" s="59" t="n">
        <v>1</v>
      </c>
      <c r="E72" s="60" t="s">
        <v>2027</v>
      </c>
      <c r="F72" s="60" t="s">
        <v>2028</v>
      </c>
      <c r="G72" s="1" t="s">
        <v>2024</v>
      </c>
      <c r="H72" s="1" t="n">
        <v>2</v>
      </c>
      <c r="I72" s="1" t="s">
        <v>1963</v>
      </c>
      <c r="J72" s="1" t="s">
        <v>2024</v>
      </c>
      <c r="K72" s="21" t="n">
        <v>29</v>
      </c>
      <c r="L72" s="21" t="str">
        <f aca="false">VLOOKUP(K72,clasif_filas!$A$2:$J$39,2,FALSE())</f>
        <v>Cuero y productos de cuero; calzado</v>
      </c>
      <c r="M72" s="21" t="n">
        <f aca="false">VLOOKUP(K72,clasif_filas!$A$2:$J$39,3,FALSE())</f>
        <v>29</v>
      </c>
      <c r="N72" s="21" t="str">
        <f aca="false">VLOOKUP(K72,clasif_filas!$A$2:$J$39,4,FALSE())</f>
        <v>Cuero y productos de cuero; calzado</v>
      </c>
      <c r="O72" s="21" t="n">
        <f aca="false">VLOOKUP(K72,clasif_filas!$A$2:$J$39,5,FALSE())</f>
        <v>6</v>
      </c>
      <c r="P72" s="21" t="str">
        <f aca="false">VLOOKUP(K72,clasif_filas!$A$2:$J$39,6,FALSE())</f>
        <v>Conocimiento, procesos y servicios relacionados</v>
      </c>
      <c r="Q72" s="21" t="n">
        <f aca="false">VLOOKUP(K72,clasif_filas!$A$2:$J$39,7,FALSE())</f>
        <v>2</v>
      </c>
      <c r="R72" s="21" t="str">
        <f aca="false">VLOOKUP(K72,clasif_filas!$A$2:$J$39,8,FALSE())</f>
        <v>Productos alimenticios, bebidas y tabaco; textiles, prendas de vestir y productos de cuero</v>
      </c>
      <c r="S72" s="21" t="n">
        <f aca="false">VLOOKUP(K72,clasif_filas!$A$2:$J$39,9,FALSE())</f>
        <v>2</v>
      </c>
      <c r="T72" s="61" t="str">
        <f aca="false">VLOOKUP(K72,clasif_filas!$A$2:$J$39,10,FALSE())</f>
        <v>Bioeconomía extendida</v>
      </c>
    </row>
    <row r="73" customFormat="false" ht="25.55" hidden="false" customHeight="false" outlineLevel="0" collapsed="false">
      <c r="A73" s="29" t="s">
        <v>145</v>
      </c>
      <c r="B73" s="58" t="s">
        <v>1835</v>
      </c>
      <c r="C73" s="58" t="s">
        <v>1617</v>
      </c>
      <c r="D73" s="59" t="n">
        <v>1</v>
      </c>
      <c r="E73" s="60" t="s">
        <v>2029</v>
      </c>
      <c r="F73" s="60" t="s">
        <v>2030</v>
      </c>
      <c r="G73" s="1" t="s">
        <v>2024</v>
      </c>
      <c r="H73" s="1" t="n">
        <v>2</v>
      </c>
      <c r="I73" s="1" t="s">
        <v>1963</v>
      </c>
      <c r="J73" s="1" t="s">
        <v>2024</v>
      </c>
      <c r="K73" s="21" t="n">
        <v>29</v>
      </c>
      <c r="L73" s="21" t="str">
        <f aca="false">VLOOKUP(K73,clasif_filas!$A$2:$J$39,2,FALSE())</f>
        <v>Cuero y productos de cuero; calzado</v>
      </c>
      <c r="M73" s="21" t="n">
        <f aca="false">VLOOKUP(K73,clasif_filas!$A$2:$J$39,3,FALSE())</f>
        <v>29</v>
      </c>
      <c r="N73" s="21" t="str">
        <f aca="false">VLOOKUP(K73,clasif_filas!$A$2:$J$39,4,FALSE())</f>
        <v>Cuero y productos de cuero; calzado</v>
      </c>
      <c r="O73" s="21" t="n">
        <f aca="false">VLOOKUP(K73,clasif_filas!$A$2:$J$39,5,FALSE())</f>
        <v>6</v>
      </c>
      <c r="P73" s="21" t="str">
        <f aca="false">VLOOKUP(K73,clasif_filas!$A$2:$J$39,6,FALSE())</f>
        <v>Conocimiento, procesos y servicios relacionados</v>
      </c>
      <c r="Q73" s="21" t="n">
        <f aca="false">VLOOKUP(K73,clasif_filas!$A$2:$J$39,7,FALSE())</f>
        <v>2</v>
      </c>
      <c r="R73" s="21" t="str">
        <f aca="false">VLOOKUP(K73,clasif_filas!$A$2:$J$39,8,FALSE())</f>
        <v>Productos alimenticios, bebidas y tabaco; textiles, prendas de vestir y productos de cuero</v>
      </c>
      <c r="S73" s="21" t="n">
        <f aca="false">VLOOKUP(K73,clasif_filas!$A$2:$J$39,9,FALSE())</f>
        <v>2</v>
      </c>
      <c r="T73" s="61" t="str">
        <f aca="false">VLOOKUP(K73,clasif_filas!$A$2:$J$39,10,FALSE())</f>
        <v>Bioeconomía extendida</v>
      </c>
    </row>
    <row r="74" customFormat="false" ht="14.25" hidden="false" customHeight="false" outlineLevel="0" collapsed="false">
      <c r="A74" s="29" t="s">
        <v>147</v>
      </c>
      <c r="B74" s="58" t="s">
        <v>1835</v>
      </c>
      <c r="C74" s="58" t="s">
        <v>1617</v>
      </c>
      <c r="D74" s="59" t="n">
        <v>1</v>
      </c>
      <c r="E74" s="60" t="s">
        <v>2031</v>
      </c>
      <c r="F74" s="60" t="s">
        <v>2032</v>
      </c>
      <c r="G74" s="1" t="s">
        <v>2024</v>
      </c>
      <c r="H74" s="1" t="n">
        <v>2</v>
      </c>
      <c r="I74" s="1" t="s">
        <v>1963</v>
      </c>
      <c r="J74" s="1" t="s">
        <v>2024</v>
      </c>
      <c r="K74" s="21" t="n">
        <v>29</v>
      </c>
      <c r="L74" s="21" t="str">
        <f aca="false">VLOOKUP(K74,clasif_filas!$A$2:$J$39,2,FALSE())</f>
        <v>Cuero y productos de cuero; calzado</v>
      </c>
      <c r="M74" s="21" t="n">
        <f aca="false">VLOOKUP(K74,clasif_filas!$A$2:$J$39,3,FALSE())</f>
        <v>29</v>
      </c>
      <c r="N74" s="21" t="str">
        <f aca="false">VLOOKUP(K74,clasif_filas!$A$2:$J$39,4,FALSE())</f>
        <v>Cuero y productos de cuero; calzado</v>
      </c>
      <c r="O74" s="21" t="n">
        <f aca="false">VLOOKUP(K74,clasif_filas!$A$2:$J$39,5,FALSE())</f>
        <v>6</v>
      </c>
      <c r="P74" s="21" t="str">
        <f aca="false">VLOOKUP(K74,clasif_filas!$A$2:$J$39,6,FALSE())</f>
        <v>Conocimiento, procesos y servicios relacionados</v>
      </c>
      <c r="Q74" s="21" t="n">
        <f aca="false">VLOOKUP(K74,clasif_filas!$A$2:$J$39,7,FALSE())</f>
        <v>2</v>
      </c>
      <c r="R74" s="21" t="str">
        <f aca="false">VLOOKUP(K74,clasif_filas!$A$2:$J$39,8,FALSE())</f>
        <v>Productos alimenticios, bebidas y tabaco; textiles, prendas de vestir y productos de cuero</v>
      </c>
      <c r="S74" s="21" t="n">
        <f aca="false">VLOOKUP(K74,clasif_filas!$A$2:$J$39,9,FALSE())</f>
        <v>2</v>
      </c>
      <c r="T74" s="61" t="str">
        <f aca="false">VLOOKUP(K74,clasif_filas!$A$2:$J$39,10,FALSE())</f>
        <v>Bioeconomía extendida</v>
      </c>
    </row>
    <row r="75" customFormat="false" ht="14.25" hidden="false" customHeight="false" outlineLevel="0" collapsed="false">
      <c r="A75" s="29" t="s">
        <v>149</v>
      </c>
      <c r="B75" s="58" t="s">
        <v>1835</v>
      </c>
      <c r="C75" s="58" t="s">
        <v>1617</v>
      </c>
      <c r="D75" s="59" t="n">
        <v>1</v>
      </c>
      <c r="E75" s="60" t="s">
        <v>2033</v>
      </c>
      <c r="F75" s="60" t="s">
        <v>2034</v>
      </c>
      <c r="G75" s="1" t="s">
        <v>2024</v>
      </c>
      <c r="H75" s="1" t="n">
        <v>2</v>
      </c>
      <c r="I75" s="1" t="s">
        <v>1963</v>
      </c>
      <c r="J75" s="1" t="s">
        <v>2024</v>
      </c>
      <c r="K75" s="21" t="n">
        <v>29</v>
      </c>
      <c r="L75" s="21" t="str">
        <f aca="false">VLOOKUP(K75,clasif_filas!$A$2:$J$39,2,FALSE())</f>
        <v>Cuero y productos de cuero; calzado</v>
      </c>
      <c r="M75" s="21" t="n">
        <f aca="false">VLOOKUP(K75,clasif_filas!$A$2:$J$39,3,FALSE())</f>
        <v>29</v>
      </c>
      <c r="N75" s="21" t="str">
        <f aca="false">VLOOKUP(K75,clasif_filas!$A$2:$J$39,4,FALSE())</f>
        <v>Cuero y productos de cuero; calzado</v>
      </c>
      <c r="O75" s="21" t="n">
        <f aca="false">VLOOKUP(K75,clasif_filas!$A$2:$J$39,5,FALSE())</f>
        <v>6</v>
      </c>
      <c r="P75" s="21" t="str">
        <f aca="false">VLOOKUP(K75,clasif_filas!$A$2:$J$39,6,FALSE())</f>
        <v>Conocimiento, procesos y servicios relacionados</v>
      </c>
      <c r="Q75" s="21" t="n">
        <f aca="false">VLOOKUP(K75,clasif_filas!$A$2:$J$39,7,FALSE())</f>
        <v>2</v>
      </c>
      <c r="R75" s="21" t="str">
        <f aca="false">VLOOKUP(K75,clasif_filas!$A$2:$J$39,8,FALSE())</f>
        <v>Productos alimenticios, bebidas y tabaco; textiles, prendas de vestir y productos de cuero</v>
      </c>
      <c r="S75" s="21" t="n">
        <f aca="false">VLOOKUP(K75,clasif_filas!$A$2:$J$39,9,FALSE())</f>
        <v>2</v>
      </c>
      <c r="T75" s="61" t="str">
        <f aca="false">VLOOKUP(K75,clasif_filas!$A$2:$J$39,10,FALSE())</f>
        <v>Bioeconomía extendida</v>
      </c>
    </row>
    <row r="76" customFormat="false" ht="14.25" hidden="false" customHeight="false" outlineLevel="0" collapsed="false">
      <c r="A76" s="29" t="s">
        <v>151</v>
      </c>
      <c r="B76" s="58" t="s">
        <v>1835</v>
      </c>
      <c r="C76" s="58" t="s">
        <v>1617</v>
      </c>
      <c r="D76" s="59" t="n">
        <v>1</v>
      </c>
      <c r="E76" s="60" t="s">
        <v>2035</v>
      </c>
      <c r="F76" s="60" t="s">
        <v>2036</v>
      </c>
      <c r="G76" s="1" t="s">
        <v>2037</v>
      </c>
      <c r="H76" s="1" t="n">
        <v>2</v>
      </c>
      <c r="I76" s="1" t="s">
        <v>1963</v>
      </c>
      <c r="J76" s="1" t="s">
        <v>2037</v>
      </c>
      <c r="K76" s="21" t="n">
        <v>31</v>
      </c>
      <c r="L76" s="21" t="str">
        <f aca="false">VLOOKUP(K76,clasif_filas!$A$2:$J$39,2,FALSE())</f>
        <v>Productos de materiales de madera, corcho, cestería y espartería</v>
      </c>
      <c r="M76" s="21" t="n">
        <f aca="false">VLOOKUP(K76,clasif_filas!$A$2:$J$39,3,FALSE())</f>
        <v>31</v>
      </c>
      <c r="N76" s="21" t="str">
        <f aca="false">VLOOKUP(K76,clasif_filas!$A$2:$J$39,4,FALSE())</f>
        <v>Productos de materiales de madera, corcho, cestería y espartería</v>
      </c>
      <c r="O76" s="21" t="n">
        <f aca="false">VLOOKUP(K76,clasif_filas!$A$2:$J$39,5,FALSE())</f>
        <v>6</v>
      </c>
      <c r="P76" s="21" t="str">
        <f aca="false">VLOOKUP(K76,clasif_filas!$A$2:$J$39,6,FALSE())</f>
        <v>Conocimiento, procesos y servicios relacionados</v>
      </c>
      <c r="Q76" s="21" t="n">
        <f aca="false">VLOOKUP(K76,clasif_filas!$A$2:$J$39,7,FALSE())</f>
        <v>3</v>
      </c>
      <c r="R76" s="21" t="str">
        <f aca="false">VLOOKUP(K76,clasif_filas!$A$2:$J$39,8,FALSE())</f>
        <v>Otros bienes transportables, excepto productos metálicos, maquinaria y equipo</v>
      </c>
      <c r="S76" s="21" t="n">
        <f aca="false">VLOOKUP(K76,clasif_filas!$A$2:$J$39,9,FALSE())</f>
        <v>1</v>
      </c>
      <c r="T76" s="61" t="str">
        <f aca="false">VLOOKUP(K76,clasif_filas!$A$2:$J$39,10,FALSE())</f>
        <v>Bioeconomía</v>
      </c>
    </row>
    <row r="77" customFormat="false" ht="37.55" hidden="false" customHeight="false" outlineLevel="0" collapsed="false">
      <c r="A77" s="29" t="s">
        <v>153</v>
      </c>
      <c r="B77" s="58" t="s">
        <v>1835</v>
      </c>
      <c r="C77" s="58" t="s">
        <v>1617</v>
      </c>
      <c r="D77" s="59" t="n">
        <v>1</v>
      </c>
      <c r="E77" s="60" t="s">
        <v>2038</v>
      </c>
      <c r="F77" s="60" t="s">
        <v>2039</v>
      </c>
      <c r="G77" s="1" t="s">
        <v>2037</v>
      </c>
      <c r="H77" s="1" t="n">
        <v>2</v>
      </c>
      <c r="I77" s="1" t="s">
        <v>1963</v>
      </c>
      <c r="J77" s="1" t="s">
        <v>2037</v>
      </c>
      <c r="K77" s="21" t="n">
        <v>31</v>
      </c>
      <c r="L77" s="21" t="str">
        <f aca="false">VLOOKUP(K77,clasif_filas!$A$2:$J$39,2,FALSE())</f>
        <v>Productos de materiales de madera, corcho, cestería y espartería</v>
      </c>
      <c r="M77" s="21" t="n">
        <f aca="false">VLOOKUP(K77,clasif_filas!$A$2:$J$39,3,FALSE())</f>
        <v>31</v>
      </c>
      <c r="N77" s="21" t="str">
        <f aca="false">VLOOKUP(K77,clasif_filas!$A$2:$J$39,4,FALSE())</f>
        <v>Productos de materiales de madera, corcho, cestería y espartería</v>
      </c>
      <c r="O77" s="21" t="n">
        <f aca="false">VLOOKUP(K77,clasif_filas!$A$2:$J$39,5,FALSE())</f>
        <v>6</v>
      </c>
      <c r="P77" s="21" t="str">
        <f aca="false">VLOOKUP(K77,clasif_filas!$A$2:$J$39,6,FALSE())</f>
        <v>Conocimiento, procesos y servicios relacionados</v>
      </c>
      <c r="Q77" s="21" t="n">
        <f aca="false">VLOOKUP(K77,clasif_filas!$A$2:$J$39,7,FALSE())</f>
        <v>3</v>
      </c>
      <c r="R77" s="21" t="str">
        <f aca="false">VLOOKUP(K77,clasif_filas!$A$2:$J$39,8,FALSE())</f>
        <v>Otros bienes transportables, excepto productos metálicos, maquinaria y equipo</v>
      </c>
      <c r="S77" s="21" t="n">
        <f aca="false">VLOOKUP(K77,clasif_filas!$A$2:$J$39,9,FALSE())</f>
        <v>1</v>
      </c>
      <c r="T77" s="61" t="str">
        <f aca="false">VLOOKUP(K77,clasif_filas!$A$2:$J$39,10,FALSE())</f>
        <v>Bioeconomía</v>
      </c>
    </row>
    <row r="78" customFormat="false" ht="14.25" hidden="false" customHeight="false" outlineLevel="0" collapsed="false">
      <c r="A78" s="29" t="s">
        <v>155</v>
      </c>
      <c r="B78" s="58" t="s">
        <v>1835</v>
      </c>
      <c r="C78" s="58" t="s">
        <v>1617</v>
      </c>
      <c r="D78" s="59" t="n">
        <v>1</v>
      </c>
      <c r="E78" s="60" t="s">
        <v>2040</v>
      </c>
      <c r="F78" s="60" t="s">
        <v>2041</v>
      </c>
      <c r="G78" s="1" t="s">
        <v>2042</v>
      </c>
      <c r="H78" s="1" t="n">
        <v>2</v>
      </c>
      <c r="I78" s="1" t="s">
        <v>1963</v>
      </c>
      <c r="J78" s="1" t="s">
        <v>2042</v>
      </c>
      <c r="K78" s="21" t="n">
        <v>32</v>
      </c>
      <c r="L78" s="21" t="str">
        <f aca="false">VLOOKUP(K78,clasif_filas!$A$2:$J$39,2,FALSE())</f>
        <v>Pulpa de papel, papel y productos de papel; impresos, y artículos similares</v>
      </c>
      <c r="M78" s="21" t="n">
        <f aca="false">VLOOKUP(K78,clasif_filas!$A$2:$J$39,3,FALSE())</f>
        <v>32</v>
      </c>
      <c r="N78" s="21" t="str">
        <f aca="false">VLOOKUP(K78,clasif_filas!$A$2:$J$39,4,FALSE())</f>
        <v>Pulpa de papel, papel y productos de papel; impresos, y artículos similares</v>
      </c>
      <c r="O78" s="21" t="n">
        <f aca="false">VLOOKUP(K78,clasif_filas!$A$2:$J$39,5,FALSE())</f>
        <v>6</v>
      </c>
      <c r="P78" s="21" t="str">
        <f aca="false">VLOOKUP(K78,clasif_filas!$A$2:$J$39,6,FALSE())</f>
        <v>Conocimiento, procesos y servicios relacionados</v>
      </c>
      <c r="Q78" s="21" t="n">
        <f aca="false">VLOOKUP(K78,clasif_filas!$A$2:$J$39,7,FALSE())</f>
        <v>3</v>
      </c>
      <c r="R78" s="21" t="str">
        <f aca="false">VLOOKUP(K78,clasif_filas!$A$2:$J$39,8,FALSE())</f>
        <v>Otros bienes transportables, excepto productos metálicos, maquinaria y equipo</v>
      </c>
      <c r="S78" s="21" t="n">
        <f aca="false">VLOOKUP(K78,clasif_filas!$A$2:$J$39,9,FALSE())</f>
        <v>1</v>
      </c>
      <c r="T78" s="61" t="str">
        <f aca="false">VLOOKUP(K78,clasif_filas!$A$2:$J$39,10,FALSE())</f>
        <v>Bioeconomía</v>
      </c>
    </row>
    <row r="79" customFormat="false" ht="14.25" hidden="false" customHeight="false" outlineLevel="0" collapsed="false">
      <c r="A79" s="29" t="s">
        <v>157</v>
      </c>
      <c r="B79" s="58" t="s">
        <v>1835</v>
      </c>
      <c r="C79" s="58" t="s">
        <v>1617</v>
      </c>
      <c r="D79" s="59" t="n">
        <v>1</v>
      </c>
      <c r="E79" s="60" t="s">
        <v>2043</v>
      </c>
      <c r="F79" s="60" t="s">
        <v>2044</v>
      </c>
      <c r="G79" s="1" t="s">
        <v>2042</v>
      </c>
      <c r="H79" s="1" t="n">
        <v>2</v>
      </c>
      <c r="I79" s="1" t="s">
        <v>1963</v>
      </c>
      <c r="J79" s="1" t="s">
        <v>2042</v>
      </c>
      <c r="K79" s="21" t="n">
        <v>32</v>
      </c>
      <c r="L79" s="21" t="str">
        <f aca="false">VLOOKUP(K79,clasif_filas!$A$2:$J$39,2,FALSE())</f>
        <v>Pulpa de papel, papel y productos de papel; impresos, y artículos similares</v>
      </c>
      <c r="M79" s="21" t="n">
        <f aca="false">VLOOKUP(K79,clasif_filas!$A$2:$J$39,3,FALSE())</f>
        <v>32</v>
      </c>
      <c r="N79" s="21" t="str">
        <f aca="false">VLOOKUP(K79,clasif_filas!$A$2:$J$39,4,FALSE())</f>
        <v>Pulpa de papel, papel y productos de papel; impresos, y artículos similares</v>
      </c>
      <c r="O79" s="21" t="n">
        <f aca="false">VLOOKUP(K79,clasif_filas!$A$2:$J$39,5,FALSE())</f>
        <v>6</v>
      </c>
      <c r="P79" s="21" t="str">
        <f aca="false">VLOOKUP(K79,clasif_filas!$A$2:$J$39,6,FALSE())</f>
        <v>Conocimiento, procesos y servicios relacionados</v>
      </c>
      <c r="Q79" s="21" t="n">
        <f aca="false">VLOOKUP(K79,clasif_filas!$A$2:$J$39,7,FALSE())</f>
        <v>3</v>
      </c>
      <c r="R79" s="21" t="str">
        <f aca="false">VLOOKUP(K79,clasif_filas!$A$2:$J$39,8,FALSE())</f>
        <v>Otros bienes transportables, excepto productos metálicos, maquinaria y equipo</v>
      </c>
      <c r="S79" s="21" t="n">
        <f aca="false">VLOOKUP(K79,clasif_filas!$A$2:$J$39,9,FALSE())</f>
        <v>1</v>
      </c>
      <c r="T79" s="61" t="str">
        <f aca="false">VLOOKUP(K79,clasif_filas!$A$2:$J$39,10,FALSE())</f>
        <v>Bioeconomía</v>
      </c>
    </row>
    <row r="80" customFormat="false" ht="14.25" hidden="false" customHeight="false" outlineLevel="0" collapsed="false">
      <c r="A80" s="29" t="s">
        <v>159</v>
      </c>
      <c r="B80" s="58" t="s">
        <v>1835</v>
      </c>
      <c r="C80" s="58" t="s">
        <v>1617</v>
      </c>
      <c r="D80" s="59" t="n">
        <v>1</v>
      </c>
      <c r="E80" s="60" t="s">
        <v>2045</v>
      </c>
      <c r="F80" s="60" t="s">
        <v>2046</v>
      </c>
      <c r="G80" s="1" t="s">
        <v>2042</v>
      </c>
      <c r="H80" s="1" t="n">
        <v>2</v>
      </c>
      <c r="I80" s="1" t="s">
        <v>1963</v>
      </c>
      <c r="J80" s="1" t="s">
        <v>2042</v>
      </c>
      <c r="K80" s="21" t="n">
        <v>32</v>
      </c>
      <c r="L80" s="21" t="str">
        <f aca="false">VLOOKUP(K80,clasif_filas!$A$2:$J$39,2,FALSE())</f>
        <v>Pulpa de papel, papel y productos de papel; impresos, y artículos similares</v>
      </c>
      <c r="M80" s="21" t="n">
        <f aca="false">VLOOKUP(K80,clasif_filas!$A$2:$J$39,3,FALSE())</f>
        <v>32</v>
      </c>
      <c r="N80" s="21" t="str">
        <f aca="false">VLOOKUP(K80,clasif_filas!$A$2:$J$39,4,FALSE())</f>
        <v>Pulpa de papel, papel y productos de papel; impresos, y artículos similares</v>
      </c>
      <c r="O80" s="21" t="n">
        <f aca="false">VLOOKUP(K80,clasif_filas!$A$2:$J$39,5,FALSE())</f>
        <v>6</v>
      </c>
      <c r="P80" s="21" t="str">
        <f aca="false">VLOOKUP(K80,clasif_filas!$A$2:$J$39,6,FALSE())</f>
        <v>Conocimiento, procesos y servicios relacionados</v>
      </c>
      <c r="Q80" s="21" t="n">
        <f aca="false">VLOOKUP(K80,clasif_filas!$A$2:$J$39,7,FALSE())</f>
        <v>3</v>
      </c>
      <c r="R80" s="21" t="str">
        <f aca="false">VLOOKUP(K80,clasif_filas!$A$2:$J$39,8,FALSE())</f>
        <v>Otros bienes transportables, excepto productos metálicos, maquinaria y equipo</v>
      </c>
      <c r="S80" s="21" t="n">
        <f aca="false">VLOOKUP(K80,clasif_filas!$A$2:$J$39,9,FALSE())</f>
        <v>1</v>
      </c>
      <c r="T80" s="61" t="str">
        <f aca="false">VLOOKUP(K80,clasif_filas!$A$2:$J$39,10,FALSE())</f>
        <v>Bioeconomía</v>
      </c>
    </row>
    <row r="81" customFormat="false" ht="14.25" hidden="false" customHeight="false" outlineLevel="0" collapsed="false">
      <c r="A81" s="29" t="s">
        <v>161</v>
      </c>
      <c r="B81" s="58" t="s">
        <v>1835</v>
      </c>
      <c r="C81" s="58" t="s">
        <v>1617</v>
      </c>
      <c r="D81" s="59" t="n">
        <v>1</v>
      </c>
      <c r="E81" s="60" t="s">
        <v>2047</v>
      </c>
      <c r="F81" s="60" t="s">
        <v>2048</v>
      </c>
      <c r="G81" s="1" t="s">
        <v>1602</v>
      </c>
      <c r="H81" s="1" t="n">
        <v>4</v>
      </c>
      <c r="I81" s="1" t="s">
        <v>1602</v>
      </c>
      <c r="J81" s="1" t="s">
        <v>1602</v>
      </c>
      <c r="K81" s="21" t="n">
        <v>342</v>
      </c>
      <c r="L81" s="21" t="str">
        <f aca="false">VLOOKUP(K81,clasif_filas!$A$2:$J$39,2,FALSE())</f>
        <v>Otros químicos, plásticos, caucho y fibras sintéticas</v>
      </c>
      <c r="M81" s="21" t="n">
        <f aca="false">VLOOKUP(K81,clasif_filas!$A$2:$J$39,3,FALSE())</f>
        <v>34</v>
      </c>
      <c r="N81" s="21" t="str">
        <f aca="false">VLOOKUP(K81,clasif_filas!$A$2:$J$39,4,FALSE())</f>
        <v>Químicos básicos</v>
      </c>
      <c r="O81" s="21" t="n">
        <f aca="false">VLOOKUP(K81,clasif_filas!$A$2:$J$39,5,FALSE())</f>
        <v>99</v>
      </c>
      <c r="P81" s="21" t="str">
        <f aca="false">VLOOKUP(K81,clasif_filas!$A$2:$J$39,6,FALSE())</f>
        <v>No Bioeconomía</v>
      </c>
      <c r="Q81" s="21" t="n">
        <f aca="false">VLOOKUP(K81,clasif_filas!$A$2:$J$39,7,FALSE())</f>
        <v>3</v>
      </c>
      <c r="R81" s="21" t="str">
        <f aca="false">VLOOKUP(K81,clasif_filas!$A$2:$J$39,8,FALSE())</f>
        <v>Otros bienes transportables, excepto productos metálicos, maquinaria y equipo</v>
      </c>
      <c r="S81" s="21" t="n">
        <f aca="false">VLOOKUP(K81,clasif_filas!$A$2:$J$39,9,FALSE())</f>
        <v>3</v>
      </c>
      <c r="T81" s="61" t="str">
        <f aca="false">VLOOKUP(K81,clasif_filas!$A$2:$J$39,10,FALSE())</f>
        <v>No bioeconomía</v>
      </c>
    </row>
    <row r="82" customFormat="false" ht="14.25" hidden="false" customHeight="false" outlineLevel="0" collapsed="false">
      <c r="A82" s="29" t="s">
        <v>163</v>
      </c>
      <c r="B82" s="58" t="s">
        <v>1835</v>
      </c>
      <c r="C82" s="58" t="s">
        <v>1617</v>
      </c>
      <c r="D82" s="59" t="n">
        <v>1</v>
      </c>
      <c r="E82" s="60" t="s">
        <v>2049</v>
      </c>
      <c r="F82" s="60" t="s">
        <v>2050</v>
      </c>
      <c r="G82" s="1" t="s">
        <v>1602</v>
      </c>
      <c r="H82" s="1" t="n">
        <v>4</v>
      </c>
      <c r="I82" s="1" t="s">
        <v>1602</v>
      </c>
      <c r="J82" s="1" t="s">
        <v>1602</v>
      </c>
      <c r="K82" s="21" t="n">
        <v>342</v>
      </c>
      <c r="L82" s="21" t="str">
        <f aca="false">VLOOKUP(K82,clasif_filas!$A$2:$J$39,2,FALSE())</f>
        <v>Otros químicos, plásticos, caucho y fibras sintéticas</v>
      </c>
      <c r="M82" s="21" t="n">
        <f aca="false">VLOOKUP(K82,clasif_filas!$A$2:$J$39,3,FALSE())</f>
        <v>34</v>
      </c>
      <c r="N82" s="21" t="str">
        <f aca="false">VLOOKUP(K82,clasif_filas!$A$2:$J$39,4,FALSE())</f>
        <v>Químicos básicos</v>
      </c>
      <c r="O82" s="21" t="n">
        <f aca="false">VLOOKUP(K82,clasif_filas!$A$2:$J$39,5,FALSE())</f>
        <v>99</v>
      </c>
      <c r="P82" s="21" t="str">
        <f aca="false">VLOOKUP(K82,clasif_filas!$A$2:$J$39,6,FALSE())</f>
        <v>No Bioeconomía</v>
      </c>
      <c r="Q82" s="21" t="n">
        <f aca="false">VLOOKUP(K82,clasif_filas!$A$2:$J$39,7,FALSE())</f>
        <v>3</v>
      </c>
      <c r="R82" s="21" t="str">
        <f aca="false">VLOOKUP(K82,clasif_filas!$A$2:$J$39,8,FALSE())</f>
        <v>Otros bienes transportables, excepto productos metálicos, maquinaria y equipo</v>
      </c>
      <c r="S82" s="21" t="n">
        <f aca="false">VLOOKUP(K82,clasif_filas!$A$2:$J$39,9,FALSE())</f>
        <v>3</v>
      </c>
      <c r="T82" s="61" t="str">
        <f aca="false">VLOOKUP(K82,clasif_filas!$A$2:$J$39,10,FALSE())</f>
        <v>No bioeconomía</v>
      </c>
    </row>
    <row r="83" customFormat="false" ht="14.25" hidden="false" customHeight="false" outlineLevel="0" collapsed="false">
      <c r="A83" s="29" t="s">
        <v>165</v>
      </c>
      <c r="B83" s="58" t="s">
        <v>1835</v>
      </c>
      <c r="C83" s="58" t="s">
        <v>1617</v>
      </c>
      <c r="D83" s="59" t="n">
        <v>1</v>
      </c>
      <c r="E83" s="60" t="s">
        <v>2051</v>
      </c>
      <c r="F83" s="60" t="s">
        <v>2052</v>
      </c>
      <c r="G83" s="1" t="s">
        <v>1602</v>
      </c>
      <c r="H83" s="1" t="n">
        <v>4</v>
      </c>
      <c r="I83" s="1" t="s">
        <v>1602</v>
      </c>
      <c r="J83" s="1" t="s">
        <v>1602</v>
      </c>
      <c r="K83" s="21" t="n">
        <v>342</v>
      </c>
      <c r="L83" s="21" t="str">
        <f aca="false">VLOOKUP(K83,clasif_filas!$A$2:$J$39,2,FALSE())</f>
        <v>Otros químicos, plásticos, caucho y fibras sintéticas</v>
      </c>
      <c r="M83" s="21" t="n">
        <f aca="false">VLOOKUP(K83,clasif_filas!$A$2:$J$39,3,FALSE())</f>
        <v>34</v>
      </c>
      <c r="N83" s="21" t="str">
        <f aca="false">VLOOKUP(K83,clasif_filas!$A$2:$J$39,4,FALSE())</f>
        <v>Químicos básicos</v>
      </c>
      <c r="O83" s="21" t="n">
        <f aca="false">VLOOKUP(K83,clasif_filas!$A$2:$J$39,5,FALSE())</f>
        <v>99</v>
      </c>
      <c r="P83" s="21" t="str">
        <f aca="false">VLOOKUP(K83,clasif_filas!$A$2:$J$39,6,FALSE())</f>
        <v>No Bioeconomía</v>
      </c>
      <c r="Q83" s="21" t="n">
        <f aca="false">VLOOKUP(K83,clasif_filas!$A$2:$J$39,7,FALSE())</f>
        <v>3</v>
      </c>
      <c r="R83" s="21" t="str">
        <f aca="false">VLOOKUP(K83,clasif_filas!$A$2:$J$39,8,FALSE())</f>
        <v>Otros bienes transportables, excepto productos metálicos, maquinaria y equipo</v>
      </c>
      <c r="S83" s="21" t="n">
        <f aca="false">VLOOKUP(K83,clasif_filas!$A$2:$J$39,9,FALSE())</f>
        <v>3</v>
      </c>
      <c r="T83" s="61" t="str">
        <f aca="false">VLOOKUP(K83,clasif_filas!$A$2:$J$39,10,FALSE())</f>
        <v>No bioeconomía</v>
      </c>
    </row>
    <row r="84" customFormat="false" ht="25.55" hidden="false" customHeight="false" outlineLevel="0" collapsed="false">
      <c r="A84" s="29" t="s">
        <v>167</v>
      </c>
      <c r="B84" s="58" t="s">
        <v>1835</v>
      </c>
      <c r="C84" s="58" t="s">
        <v>1617</v>
      </c>
      <c r="D84" s="59" t="n">
        <v>1</v>
      </c>
      <c r="E84" s="60" t="s">
        <v>2053</v>
      </c>
      <c r="F84" s="60" t="s">
        <v>2054</v>
      </c>
      <c r="G84" s="1" t="s">
        <v>1602</v>
      </c>
      <c r="H84" s="1" t="n">
        <v>4</v>
      </c>
      <c r="I84" s="1" t="s">
        <v>1602</v>
      </c>
      <c r="J84" s="1" t="s">
        <v>1602</v>
      </c>
      <c r="K84" s="21" t="n">
        <v>342</v>
      </c>
      <c r="L84" s="21" t="str">
        <f aca="false">VLOOKUP(K84,clasif_filas!$A$2:$J$39,2,FALSE())</f>
        <v>Otros químicos, plásticos, caucho y fibras sintéticas</v>
      </c>
      <c r="M84" s="21" t="n">
        <f aca="false">VLOOKUP(K84,clasif_filas!$A$2:$J$39,3,FALSE())</f>
        <v>34</v>
      </c>
      <c r="N84" s="21" t="str">
        <f aca="false">VLOOKUP(K84,clasif_filas!$A$2:$J$39,4,FALSE())</f>
        <v>Químicos básicos</v>
      </c>
      <c r="O84" s="21" t="n">
        <f aca="false">VLOOKUP(K84,clasif_filas!$A$2:$J$39,5,FALSE())</f>
        <v>99</v>
      </c>
      <c r="P84" s="21" t="str">
        <f aca="false">VLOOKUP(K84,clasif_filas!$A$2:$J$39,6,FALSE())</f>
        <v>No Bioeconomía</v>
      </c>
      <c r="Q84" s="21" t="n">
        <f aca="false">VLOOKUP(K84,clasif_filas!$A$2:$J$39,7,FALSE())</f>
        <v>3</v>
      </c>
      <c r="R84" s="21" t="str">
        <f aca="false">VLOOKUP(K84,clasif_filas!$A$2:$J$39,8,FALSE())</f>
        <v>Otros bienes transportables, excepto productos metálicos, maquinaria y equipo</v>
      </c>
      <c r="S84" s="21" t="n">
        <f aca="false">VLOOKUP(K84,clasif_filas!$A$2:$J$39,9,FALSE())</f>
        <v>3</v>
      </c>
      <c r="T84" s="61" t="str">
        <f aca="false">VLOOKUP(K84,clasif_filas!$A$2:$J$39,10,FALSE())</f>
        <v>No bioeconomía</v>
      </c>
    </row>
    <row r="85" customFormat="false" ht="25.55" hidden="false" customHeight="false" outlineLevel="0" collapsed="false">
      <c r="A85" s="29" t="s">
        <v>169</v>
      </c>
      <c r="B85" s="58" t="s">
        <v>1835</v>
      </c>
      <c r="C85" s="58" t="s">
        <v>1617</v>
      </c>
      <c r="D85" s="59" t="n">
        <v>1</v>
      </c>
      <c r="E85" s="60" t="s">
        <v>2055</v>
      </c>
      <c r="F85" s="60" t="s">
        <v>2056</v>
      </c>
      <c r="G85" s="1" t="s">
        <v>1602</v>
      </c>
      <c r="H85" s="1" t="n">
        <v>4</v>
      </c>
      <c r="I85" s="1" t="s">
        <v>1602</v>
      </c>
      <c r="J85" s="1" t="s">
        <v>1602</v>
      </c>
      <c r="K85" s="21" t="n">
        <v>342</v>
      </c>
      <c r="L85" s="21" t="str">
        <f aca="false">VLOOKUP(K85,clasif_filas!$A$2:$J$39,2,FALSE())</f>
        <v>Otros químicos, plásticos, caucho y fibras sintéticas</v>
      </c>
      <c r="M85" s="21" t="n">
        <f aca="false">VLOOKUP(K85,clasif_filas!$A$2:$J$39,3,FALSE())</f>
        <v>34</v>
      </c>
      <c r="N85" s="21" t="str">
        <f aca="false">VLOOKUP(K85,clasif_filas!$A$2:$J$39,4,FALSE())</f>
        <v>Químicos básicos</v>
      </c>
      <c r="O85" s="21" t="n">
        <f aca="false">VLOOKUP(K85,clasif_filas!$A$2:$J$39,5,FALSE())</f>
        <v>99</v>
      </c>
      <c r="P85" s="21" t="str">
        <f aca="false">VLOOKUP(K85,clasif_filas!$A$2:$J$39,6,FALSE())</f>
        <v>No Bioeconomía</v>
      </c>
      <c r="Q85" s="21" t="n">
        <f aca="false">VLOOKUP(K85,clasif_filas!$A$2:$J$39,7,FALSE())</f>
        <v>3</v>
      </c>
      <c r="R85" s="21" t="str">
        <f aca="false">VLOOKUP(K85,clasif_filas!$A$2:$J$39,8,FALSE())</f>
        <v>Otros bienes transportables, excepto productos metálicos, maquinaria y equipo</v>
      </c>
      <c r="S85" s="21" t="n">
        <f aca="false">VLOOKUP(K85,clasif_filas!$A$2:$J$39,9,FALSE())</f>
        <v>3</v>
      </c>
      <c r="T85" s="61" t="str">
        <f aca="false">VLOOKUP(K85,clasif_filas!$A$2:$J$39,10,FALSE())</f>
        <v>No bioeconomía</v>
      </c>
    </row>
    <row r="86" customFormat="false" ht="14.25" hidden="false" customHeight="false" outlineLevel="0" collapsed="false">
      <c r="A86" s="29" t="s">
        <v>171</v>
      </c>
      <c r="B86" s="58" t="s">
        <v>1835</v>
      </c>
      <c r="C86" s="58" t="s">
        <v>1617</v>
      </c>
      <c r="D86" s="59" t="n">
        <v>1</v>
      </c>
      <c r="E86" s="60" t="s">
        <v>2057</v>
      </c>
      <c r="F86" s="60" t="s">
        <v>2058</v>
      </c>
      <c r="G86" s="1" t="s">
        <v>1602</v>
      </c>
      <c r="H86" s="1" t="n">
        <v>4</v>
      </c>
      <c r="I86" s="1" t="s">
        <v>1602</v>
      </c>
      <c r="J86" s="1" t="s">
        <v>1602</v>
      </c>
      <c r="K86" s="21" t="n">
        <v>342</v>
      </c>
      <c r="L86" s="21" t="str">
        <f aca="false">VLOOKUP(K86,clasif_filas!$A$2:$J$39,2,FALSE())</f>
        <v>Otros químicos, plásticos, caucho y fibras sintéticas</v>
      </c>
      <c r="M86" s="21" t="n">
        <f aca="false">VLOOKUP(K86,clasif_filas!$A$2:$J$39,3,FALSE())</f>
        <v>34</v>
      </c>
      <c r="N86" s="21" t="str">
        <f aca="false">VLOOKUP(K86,clasif_filas!$A$2:$J$39,4,FALSE())</f>
        <v>Químicos básicos</v>
      </c>
      <c r="O86" s="21" t="n">
        <f aca="false">VLOOKUP(K86,clasif_filas!$A$2:$J$39,5,FALSE())</f>
        <v>99</v>
      </c>
      <c r="P86" s="21" t="str">
        <f aca="false">VLOOKUP(K86,clasif_filas!$A$2:$J$39,6,FALSE())</f>
        <v>No Bioeconomía</v>
      </c>
      <c r="Q86" s="21" t="n">
        <f aca="false">VLOOKUP(K86,clasif_filas!$A$2:$J$39,7,FALSE())</f>
        <v>3</v>
      </c>
      <c r="R86" s="21" t="str">
        <f aca="false">VLOOKUP(K86,clasif_filas!$A$2:$J$39,8,FALSE())</f>
        <v>Otros bienes transportables, excepto productos metálicos, maquinaria y equipo</v>
      </c>
      <c r="S86" s="21" t="n">
        <f aca="false">VLOOKUP(K86,clasif_filas!$A$2:$J$39,9,FALSE())</f>
        <v>3</v>
      </c>
      <c r="T86" s="61" t="str">
        <f aca="false">VLOOKUP(K86,clasif_filas!$A$2:$J$39,10,FALSE())</f>
        <v>No bioeconomía</v>
      </c>
    </row>
    <row r="87" customFormat="false" ht="25.55" hidden="false" customHeight="false" outlineLevel="0" collapsed="false">
      <c r="A87" s="29" t="s">
        <v>173</v>
      </c>
      <c r="B87" s="58" t="s">
        <v>1835</v>
      </c>
      <c r="C87" s="58" t="s">
        <v>1617</v>
      </c>
      <c r="D87" s="59" t="n">
        <v>1</v>
      </c>
      <c r="E87" s="60" t="s">
        <v>2059</v>
      </c>
      <c r="F87" s="60" t="s">
        <v>2060</v>
      </c>
      <c r="G87" s="1" t="s">
        <v>1602</v>
      </c>
      <c r="H87" s="1" t="n">
        <v>4</v>
      </c>
      <c r="I87" s="1" t="s">
        <v>1602</v>
      </c>
      <c r="J87" s="1" t="s">
        <v>1602</v>
      </c>
      <c r="K87" s="21" t="n">
        <v>342</v>
      </c>
      <c r="L87" s="21" t="str">
        <f aca="false">VLOOKUP(K87,clasif_filas!$A$2:$J$39,2,FALSE())</f>
        <v>Otros químicos, plásticos, caucho y fibras sintéticas</v>
      </c>
      <c r="M87" s="21" t="n">
        <f aca="false">VLOOKUP(K87,clasif_filas!$A$2:$J$39,3,FALSE())</f>
        <v>34</v>
      </c>
      <c r="N87" s="21" t="str">
        <f aca="false">VLOOKUP(K87,clasif_filas!$A$2:$J$39,4,FALSE())</f>
        <v>Químicos básicos</v>
      </c>
      <c r="O87" s="21" t="n">
        <f aca="false">VLOOKUP(K87,clasif_filas!$A$2:$J$39,5,FALSE())</f>
        <v>99</v>
      </c>
      <c r="P87" s="21" t="str">
        <f aca="false">VLOOKUP(K87,clasif_filas!$A$2:$J$39,6,FALSE())</f>
        <v>No Bioeconomía</v>
      </c>
      <c r="Q87" s="21" t="n">
        <f aca="false">VLOOKUP(K87,clasif_filas!$A$2:$J$39,7,FALSE())</f>
        <v>3</v>
      </c>
      <c r="R87" s="21" t="str">
        <f aca="false">VLOOKUP(K87,clasif_filas!$A$2:$J$39,8,FALSE())</f>
        <v>Otros bienes transportables, excepto productos metálicos, maquinaria y equipo</v>
      </c>
      <c r="S87" s="21" t="n">
        <f aca="false">VLOOKUP(K87,clasif_filas!$A$2:$J$39,9,FALSE())</f>
        <v>3</v>
      </c>
      <c r="T87" s="61" t="str">
        <f aca="false">VLOOKUP(K87,clasif_filas!$A$2:$J$39,10,FALSE())</f>
        <v>No bioeconomía</v>
      </c>
    </row>
    <row r="88" customFormat="false" ht="14.25" hidden="false" customHeight="false" outlineLevel="0" collapsed="false">
      <c r="A88" s="29" t="s">
        <v>175</v>
      </c>
      <c r="B88" s="58" t="s">
        <v>1835</v>
      </c>
      <c r="C88" s="58" t="s">
        <v>1617</v>
      </c>
      <c r="D88" s="59" t="n">
        <v>1</v>
      </c>
      <c r="E88" s="60" t="s">
        <v>2061</v>
      </c>
      <c r="F88" s="60" t="s">
        <v>2062</v>
      </c>
      <c r="G88" s="1" t="s">
        <v>1602</v>
      </c>
      <c r="H88" s="1" t="n">
        <v>4</v>
      </c>
      <c r="I88" s="1" t="s">
        <v>1602</v>
      </c>
      <c r="J88" s="1" t="s">
        <v>1602</v>
      </c>
      <c r="K88" s="21" t="n">
        <v>342</v>
      </c>
      <c r="L88" s="21" t="str">
        <f aca="false">VLOOKUP(K88,clasif_filas!$A$2:$J$39,2,FALSE())</f>
        <v>Otros químicos, plásticos, caucho y fibras sintéticas</v>
      </c>
      <c r="M88" s="21" t="n">
        <f aca="false">VLOOKUP(K88,clasif_filas!$A$2:$J$39,3,FALSE())</f>
        <v>34</v>
      </c>
      <c r="N88" s="21" t="str">
        <f aca="false">VLOOKUP(K88,clasif_filas!$A$2:$J$39,4,FALSE())</f>
        <v>Químicos básicos</v>
      </c>
      <c r="O88" s="21" t="n">
        <f aca="false">VLOOKUP(K88,clasif_filas!$A$2:$J$39,5,FALSE())</f>
        <v>99</v>
      </c>
      <c r="P88" s="21" t="str">
        <f aca="false">VLOOKUP(K88,clasif_filas!$A$2:$J$39,6,FALSE())</f>
        <v>No Bioeconomía</v>
      </c>
      <c r="Q88" s="21" t="n">
        <f aca="false">VLOOKUP(K88,clasif_filas!$A$2:$J$39,7,FALSE())</f>
        <v>3</v>
      </c>
      <c r="R88" s="21" t="str">
        <f aca="false">VLOOKUP(K88,clasif_filas!$A$2:$J$39,8,FALSE())</f>
        <v>Otros bienes transportables, excepto productos metálicos, maquinaria y equipo</v>
      </c>
      <c r="S88" s="21" t="n">
        <f aca="false">VLOOKUP(K88,clasif_filas!$A$2:$J$39,9,FALSE())</f>
        <v>3</v>
      </c>
      <c r="T88" s="61" t="str">
        <f aca="false">VLOOKUP(K88,clasif_filas!$A$2:$J$39,10,FALSE())</f>
        <v>No bioeconomía</v>
      </c>
    </row>
    <row r="89" customFormat="false" ht="14.25" hidden="false" customHeight="false" outlineLevel="0" collapsed="false">
      <c r="A89" s="29" t="s">
        <v>177</v>
      </c>
      <c r="B89" s="58" t="s">
        <v>1835</v>
      </c>
      <c r="C89" s="58" t="s">
        <v>1617</v>
      </c>
      <c r="D89" s="59" t="n">
        <v>1</v>
      </c>
      <c r="E89" s="60" t="s">
        <v>2063</v>
      </c>
      <c r="F89" s="60" t="s">
        <v>2064</v>
      </c>
      <c r="G89" s="1" t="s">
        <v>2065</v>
      </c>
      <c r="H89" s="1" t="n">
        <v>3</v>
      </c>
      <c r="I89" s="1" t="s">
        <v>1937</v>
      </c>
      <c r="J89" s="1" t="s">
        <v>2065</v>
      </c>
      <c r="K89" s="21" t="n">
        <v>346</v>
      </c>
      <c r="L89" s="21" t="str">
        <f aca="false">VLOOKUP(K89,clasif_filas!$A$2:$J$39,2,FALSE())</f>
        <v>Fertilizantes y pesticidas</v>
      </c>
      <c r="M89" s="21" t="n">
        <f aca="false">VLOOKUP(K89,clasif_filas!$A$2:$J$39,3,FALSE())</f>
        <v>34</v>
      </c>
      <c r="N89" s="21" t="str">
        <f aca="false">VLOOKUP(K89,clasif_filas!$A$2:$J$39,4,FALSE())</f>
        <v>Químicos básicos</v>
      </c>
      <c r="O89" s="21" t="n">
        <f aca="false">VLOOKUP(K89,clasif_filas!$A$2:$J$39,5,FALSE())</f>
        <v>6</v>
      </c>
      <c r="P89" s="21" t="str">
        <f aca="false">VLOOKUP(K89,clasif_filas!$A$2:$J$39,6,FALSE())</f>
        <v>Conocimiento, procesos y servicios relacionados</v>
      </c>
      <c r="Q89" s="21" t="n">
        <f aca="false">VLOOKUP(K89,clasif_filas!$A$2:$J$39,7,FALSE())</f>
        <v>3</v>
      </c>
      <c r="R89" s="21" t="str">
        <f aca="false">VLOOKUP(K89,clasif_filas!$A$2:$J$39,8,FALSE())</f>
        <v>Otros bienes transportables, excepto productos metálicos, maquinaria y equipo</v>
      </c>
      <c r="S89" s="21" t="n">
        <f aca="false">VLOOKUP(K89,clasif_filas!$A$2:$J$39,9,FALSE())</f>
        <v>2</v>
      </c>
      <c r="T89" s="61" t="str">
        <f aca="false">VLOOKUP(K89,clasif_filas!$A$2:$J$39,10,FALSE())</f>
        <v>Bioeconomía extendida</v>
      </c>
    </row>
    <row r="90" customFormat="false" ht="25.55" hidden="false" customHeight="false" outlineLevel="0" collapsed="false">
      <c r="A90" s="29" t="s">
        <v>179</v>
      </c>
      <c r="B90" s="58" t="s">
        <v>1835</v>
      </c>
      <c r="C90" s="58" t="s">
        <v>1617</v>
      </c>
      <c r="D90" s="59" t="n">
        <v>1</v>
      </c>
      <c r="E90" s="60" t="s">
        <v>2066</v>
      </c>
      <c r="F90" s="60" t="s">
        <v>2067</v>
      </c>
      <c r="G90" s="1" t="s">
        <v>1602</v>
      </c>
      <c r="H90" s="1" t="n">
        <v>4</v>
      </c>
      <c r="I90" s="1" t="s">
        <v>1602</v>
      </c>
      <c r="J90" s="1" t="s">
        <v>1602</v>
      </c>
      <c r="K90" s="21" t="n">
        <v>342</v>
      </c>
      <c r="L90" s="21" t="str">
        <f aca="false">VLOOKUP(K90,clasif_filas!$A$2:$J$39,2,FALSE())</f>
        <v>Otros químicos, plásticos, caucho y fibras sintéticas</v>
      </c>
      <c r="M90" s="21" t="n">
        <f aca="false">VLOOKUP(K90,clasif_filas!$A$2:$J$39,3,FALSE())</f>
        <v>34</v>
      </c>
      <c r="N90" s="21" t="str">
        <f aca="false">VLOOKUP(K90,clasif_filas!$A$2:$J$39,4,FALSE())</f>
        <v>Químicos básicos</v>
      </c>
      <c r="O90" s="21" t="n">
        <f aca="false">VLOOKUP(K90,clasif_filas!$A$2:$J$39,5,FALSE())</f>
        <v>99</v>
      </c>
      <c r="P90" s="21" t="str">
        <f aca="false">VLOOKUP(K90,clasif_filas!$A$2:$J$39,6,FALSE())</f>
        <v>No Bioeconomía</v>
      </c>
      <c r="Q90" s="21" t="n">
        <f aca="false">VLOOKUP(K90,clasif_filas!$A$2:$J$39,7,FALSE())</f>
        <v>3</v>
      </c>
      <c r="R90" s="21" t="str">
        <f aca="false">VLOOKUP(K90,clasif_filas!$A$2:$J$39,8,FALSE())</f>
        <v>Otros bienes transportables, excepto productos metálicos, maquinaria y equipo</v>
      </c>
      <c r="S90" s="21" t="n">
        <f aca="false">VLOOKUP(K90,clasif_filas!$A$2:$J$39,9,FALSE())</f>
        <v>3</v>
      </c>
      <c r="T90" s="61" t="str">
        <f aca="false">VLOOKUP(K90,clasif_filas!$A$2:$J$39,10,FALSE())</f>
        <v>No bioeconomía</v>
      </c>
    </row>
    <row r="91" customFormat="false" ht="25.55" hidden="false" customHeight="false" outlineLevel="0" collapsed="false">
      <c r="A91" s="29" t="s">
        <v>181</v>
      </c>
      <c r="B91" s="58" t="s">
        <v>1835</v>
      </c>
      <c r="C91" s="58" t="s">
        <v>1617</v>
      </c>
      <c r="D91" s="59" t="n">
        <v>1</v>
      </c>
      <c r="E91" s="60" t="s">
        <v>2068</v>
      </c>
      <c r="F91" s="60" t="s">
        <v>2069</v>
      </c>
      <c r="G91" s="17" t="s">
        <v>2070</v>
      </c>
      <c r="H91" s="1" t="n">
        <v>3</v>
      </c>
      <c r="I91" s="1" t="s">
        <v>1937</v>
      </c>
      <c r="J91" s="17" t="s">
        <v>2070</v>
      </c>
      <c r="K91" s="21" t="n">
        <v>351</v>
      </c>
      <c r="L91" s="21" t="str">
        <f aca="false">VLOOKUP(K91,clasif_filas!$A$2:$J$39,2,FALSE())</f>
        <v>Pinturas y barnices y productos relacionados; colores para la pintura artística; tinta</v>
      </c>
      <c r="M91" s="21" t="n">
        <f aca="false">VLOOKUP(K91,clasif_filas!$A$2:$J$39,3,FALSE())</f>
        <v>35</v>
      </c>
      <c r="N91" s="21" t="str">
        <f aca="false">VLOOKUP(K91,clasif_filas!$A$2:$J$39,4,FALSE())</f>
        <v>Otros productos químicos; Fibras textiles artificiales o sintéticas</v>
      </c>
      <c r="O91" s="21" t="n">
        <f aca="false">VLOOKUP(K91,clasif_filas!$A$2:$J$39,5,FALSE())</f>
        <v>6</v>
      </c>
      <c r="P91" s="21" t="str">
        <f aca="false">VLOOKUP(K91,clasif_filas!$A$2:$J$39,6,FALSE())</f>
        <v>Conocimiento, procesos y servicios relacionados</v>
      </c>
      <c r="Q91" s="21" t="n">
        <f aca="false">VLOOKUP(K91,clasif_filas!$A$2:$J$39,7,FALSE())</f>
        <v>3</v>
      </c>
      <c r="R91" s="21" t="str">
        <f aca="false">VLOOKUP(K91,clasif_filas!$A$2:$J$39,8,FALSE())</f>
        <v>Otros bienes transportables, excepto productos metálicos, maquinaria y equipo</v>
      </c>
      <c r="S91" s="21" t="n">
        <f aca="false">VLOOKUP(K91,clasif_filas!$A$2:$J$39,9,FALSE())</f>
        <v>2</v>
      </c>
      <c r="T91" s="61" t="str">
        <f aca="false">VLOOKUP(K91,clasif_filas!$A$2:$J$39,10,FALSE())</f>
        <v>Bioeconomía extendida</v>
      </c>
    </row>
    <row r="92" customFormat="false" ht="25.55" hidden="false" customHeight="false" outlineLevel="0" collapsed="false">
      <c r="A92" s="29" t="s">
        <v>183</v>
      </c>
      <c r="B92" s="58" t="s">
        <v>1835</v>
      </c>
      <c r="C92" s="58" t="s">
        <v>1617</v>
      </c>
      <c r="D92" s="59" t="n">
        <v>1</v>
      </c>
      <c r="E92" s="60" t="s">
        <v>2071</v>
      </c>
      <c r="F92" s="60" t="s">
        <v>2072</v>
      </c>
      <c r="G92" s="1" t="s">
        <v>2073</v>
      </c>
      <c r="H92" s="1" t="n">
        <v>3</v>
      </c>
      <c r="I92" s="1" t="s">
        <v>1937</v>
      </c>
      <c r="J92" s="1" t="s">
        <v>2073</v>
      </c>
      <c r="K92" s="21" t="n">
        <v>353</v>
      </c>
      <c r="L92" s="21" t="str">
        <f aca="false">VLOOKUP(K92,clasif_filas!$A$2:$J$39,2,FALSE())</f>
        <v>Jabón, preparados para la limpieza, perfumes y preparados de tocador</v>
      </c>
      <c r="M92" s="21" t="n">
        <f aca="false">VLOOKUP(K92,clasif_filas!$A$2:$J$39,3,FALSE())</f>
        <v>35</v>
      </c>
      <c r="N92" s="21" t="str">
        <f aca="false">VLOOKUP(K92,clasif_filas!$A$2:$J$39,4,FALSE())</f>
        <v>Otros productos químicos; Fibras textiles artificiales o sintéticas</v>
      </c>
      <c r="O92" s="21" t="n">
        <f aca="false">VLOOKUP(K92,clasif_filas!$A$2:$J$39,5,FALSE())</f>
        <v>6</v>
      </c>
      <c r="P92" s="21" t="str">
        <f aca="false">VLOOKUP(K92,clasif_filas!$A$2:$J$39,6,FALSE())</f>
        <v>Conocimiento, procesos y servicios relacionados</v>
      </c>
      <c r="Q92" s="21" t="n">
        <f aca="false">VLOOKUP(K92,clasif_filas!$A$2:$J$39,7,FALSE())</f>
        <v>3</v>
      </c>
      <c r="R92" s="21" t="str">
        <f aca="false">VLOOKUP(K92,clasif_filas!$A$2:$J$39,8,FALSE())</f>
        <v>Otros bienes transportables, excepto productos metálicos, maquinaria y equipo</v>
      </c>
      <c r="S92" s="21" t="n">
        <f aca="false">VLOOKUP(K92,clasif_filas!$A$2:$J$39,9,FALSE())</f>
        <v>2</v>
      </c>
      <c r="T92" s="61" t="str">
        <f aca="false">VLOOKUP(K92,clasif_filas!$A$2:$J$39,10,FALSE())</f>
        <v>Bioeconomía extendida</v>
      </c>
    </row>
    <row r="93" customFormat="false" ht="25.55" hidden="false" customHeight="false" outlineLevel="0" collapsed="false">
      <c r="A93" s="29" t="s">
        <v>185</v>
      </c>
      <c r="B93" s="58" t="s">
        <v>1835</v>
      </c>
      <c r="C93" s="58" t="s">
        <v>1617</v>
      </c>
      <c r="D93" s="59" t="n">
        <v>1</v>
      </c>
      <c r="E93" s="60" t="s">
        <v>2074</v>
      </c>
      <c r="F93" s="60" t="s">
        <v>2075</v>
      </c>
      <c r="G93" s="1" t="s">
        <v>1602</v>
      </c>
      <c r="H93" s="1" t="n">
        <v>4</v>
      </c>
      <c r="I93" s="1" t="s">
        <v>1602</v>
      </c>
      <c r="J93" s="1" t="s">
        <v>1602</v>
      </c>
      <c r="K93" s="21" t="n">
        <v>342</v>
      </c>
      <c r="L93" s="21" t="str">
        <f aca="false">VLOOKUP(K93,clasif_filas!$A$2:$J$39,2,FALSE())</f>
        <v>Otros químicos, plásticos, caucho y fibras sintéticas</v>
      </c>
      <c r="M93" s="21" t="n">
        <f aca="false">VLOOKUP(K93,clasif_filas!$A$2:$J$39,3,FALSE())</f>
        <v>34</v>
      </c>
      <c r="N93" s="21" t="str">
        <f aca="false">VLOOKUP(K93,clasif_filas!$A$2:$J$39,4,FALSE())</f>
        <v>Químicos básicos</v>
      </c>
      <c r="O93" s="21" t="n">
        <f aca="false">VLOOKUP(K93,clasif_filas!$A$2:$J$39,5,FALSE())</f>
        <v>99</v>
      </c>
      <c r="P93" s="21" t="str">
        <f aca="false">VLOOKUP(K93,clasif_filas!$A$2:$J$39,6,FALSE())</f>
        <v>No Bioeconomía</v>
      </c>
      <c r="Q93" s="21" t="n">
        <f aca="false">VLOOKUP(K93,clasif_filas!$A$2:$J$39,7,FALSE())</f>
        <v>3</v>
      </c>
      <c r="R93" s="21" t="str">
        <f aca="false">VLOOKUP(K93,clasif_filas!$A$2:$J$39,8,FALSE())</f>
        <v>Otros bienes transportables, excepto productos metálicos, maquinaria y equipo</v>
      </c>
      <c r="S93" s="21" t="n">
        <f aca="false">VLOOKUP(K93,clasif_filas!$A$2:$J$39,9,FALSE())</f>
        <v>3</v>
      </c>
      <c r="T93" s="61" t="str">
        <f aca="false">VLOOKUP(K93,clasif_filas!$A$2:$J$39,10,FALSE())</f>
        <v>No bioeconomía</v>
      </c>
    </row>
    <row r="94" customFormat="false" ht="14.25" hidden="false" customHeight="false" outlineLevel="0" collapsed="false">
      <c r="A94" s="29" t="s">
        <v>187</v>
      </c>
      <c r="B94" s="58" t="s">
        <v>1835</v>
      </c>
      <c r="C94" s="58" t="s">
        <v>1617</v>
      </c>
      <c r="D94" s="59" t="n">
        <v>1</v>
      </c>
      <c r="E94" s="60" t="s">
        <v>2076</v>
      </c>
      <c r="F94" s="60" t="s">
        <v>2077</v>
      </c>
      <c r="G94" s="1" t="s">
        <v>2078</v>
      </c>
      <c r="H94" s="1" t="n">
        <v>3</v>
      </c>
      <c r="I94" s="1" t="s">
        <v>1937</v>
      </c>
      <c r="J94" s="1" t="s">
        <v>2078</v>
      </c>
      <c r="K94" s="21" t="n">
        <v>352</v>
      </c>
      <c r="L94" s="21" t="str">
        <f aca="false">VLOOKUP(K94,clasif_filas!$A$2:$J$39,2,FALSE())</f>
        <v>Productos farmacéuticos</v>
      </c>
      <c r="M94" s="21" t="n">
        <f aca="false">VLOOKUP(K94,clasif_filas!$A$2:$J$39,3,FALSE())</f>
        <v>35</v>
      </c>
      <c r="N94" s="21" t="str">
        <f aca="false">VLOOKUP(K94,clasif_filas!$A$2:$J$39,4,FALSE())</f>
        <v>Otros productos químicos; Fibras textiles artificiales o sintéticas</v>
      </c>
      <c r="O94" s="21" t="n">
        <f aca="false">VLOOKUP(K94,clasif_filas!$A$2:$J$39,5,FALSE())</f>
        <v>6</v>
      </c>
      <c r="P94" s="21" t="str">
        <f aca="false">VLOOKUP(K94,clasif_filas!$A$2:$J$39,6,FALSE())</f>
        <v>Conocimiento, procesos y servicios relacionados</v>
      </c>
      <c r="Q94" s="21" t="n">
        <f aca="false">VLOOKUP(K94,clasif_filas!$A$2:$J$39,7,FALSE())</f>
        <v>3</v>
      </c>
      <c r="R94" s="21" t="str">
        <f aca="false">VLOOKUP(K94,clasif_filas!$A$2:$J$39,8,FALSE())</f>
        <v>Otros bienes transportables, excepto productos metálicos, maquinaria y equipo</v>
      </c>
      <c r="S94" s="21" t="n">
        <f aca="false">VLOOKUP(K94,clasif_filas!$A$2:$J$39,9,FALSE())</f>
        <v>2</v>
      </c>
      <c r="T94" s="61" t="str">
        <f aca="false">VLOOKUP(K94,clasif_filas!$A$2:$J$39,10,FALSE())</f>
        <v>Bioeconomía extendida</v>
      </c>
    </row>
    <row r="95" customFormat="false" ht="14.25" hidden="false" customHeight="false" outlineLevel="0" collapsed="false">
      <c r="A95" s="29" t="s">
        <v>189</v>
      </c>
      <c r="B95" s="58" t="s">
        <v>1835</v>
      </c>
      <c r="C95" s="58" t="s">
        <v>1617</v>
      </c>
      <c r="D95" s="59" t="n">
        <v>1</v>
      </c>
      <c r="E95" s="60" t="s">
        <v>2079</v>
      </c>
      <c r="F95" s="60" t="s">
        <v>2080</v>
      </c>
      <c r="G95" s="1" t="s">
        <v>1602</v>
      </c>
      <c r="H95" s="1" t="n">
        <v>4</v>
      </c>
      <c r="I95" s="1" t="s">
        <v>1602</v>
      </c>
      <c r="J95" s="1" t="s">
        <v>1602</v>
      </c>
      <c r="K95" s="21" t="n">
        <v>342</v>
      </c>
      <c r="L95" s="21" t="str">
        <f aca="false">VLOOKUP(K95,clasif_filas!$A$2:$J$39,2,FALSE())</f>
        <v>Otros químicos, plásticos, caucho y fibras sintéticas</v>
      </c>
      <c r="M95" s="21" t="n">
        <f aca="false">VLOOKUP(K95,clasif_filas!$A$2:$J$39,3,FALSE())</f>
        <v>34</v>
      </c>
      <c r="N95" s="21" t="str">
        <f aca="false">VLOOKUP(K95,clasif_filas!$A$2:$J$39,4,FALSE())</f>
        <v>Químicos básicos</v>
      </c>
      <c r="O95" s="21" t="n">
        <f aca="false">VLOOKUP(K95,clasif_filas!$A$2:$J$39,5,FALSE())</f>
        <v>99</v>
      </c>
      <c r="P95" s="21" t="str">
        <f aca="false">VLOOKUP(K95,clasif_filas!$A$2:$J$39,6,FALSE())</f>
        <v>No Bioeconomía</v>
      </c>
      <c r="Q95" s="21" t="n">
        <f aca="false">VLOOKUP(K95,clasif_filas!$A$2:$J$39,7,FALSE())</f>
        <v>3</v>
      </c>
      <c r="R95" s="21" t="str">
        <f aca="false">VLOOKUP(K95,clasif_filas!$A$2:$J$39,8,FALSE())</f>
        <v>Otros bienes transportables, excepto productos metálicos, maquinaria y equipo</v>
      </c>
      <c r="S95" s="21" t="n">
        <f aca="false">VLOOKUP(K95,clasif_filas!$A$2:$J$39,9,FALSE())</f>
        <v>3</v>
      </c>
      <c r="T95" s="61" t="str">
        <f aca="false">VLOOKUP(K95,clasif_filas!$A$2:$J$39,10,FALSE())</f>
        <v>No bioeconomía</v>
      </c>
    </row>
    <row r="96" customFormat="false" ht="14.25" hidden="false" customHeight="false" outlineLevel="0" collapsed="false">
      <c r="A96" s="29" t="s">
        <v>191</v>
      </c>
      <c r="B96" s="58" t="s">
        <v>1835</v>
      </c>
      <c r="C96" s="58" t="s">
        <v>1617</v>
      </c>
      <c r="D96" s="59" t="n">
        <v>1</v>
      </c>
      <c r="E96" s="60" t="s">
        <v>2081</v>
      </c>
      <c r="F96" s="60" t="s">
        <v>2082</v>
      </c>
      <c r="G96" s="1" t="s">
        <v>1602</v>
      </c>
      <c r="H96" s="1" t="n">
        <v>4</v>
      </c>
      <c r="I96" s="1" t="s">
        <v>1602</v>
      </c>
      <c r="J96" s="1" t="s">
        <v>1602</v>
      </c>
      <c r="K96" s="21" t="n">
        <v>342</v>
      </c>
      <c r="L96" s="21" t="str">
        <f aca="false">VLOOKUP(K96,clasif_filas!$A$2:$J$39,2,FALSE())</f>
        <v>Otros químicos, plásticos, caucho y fibras sintéticas</v>
      </c>
      <c r="M96" s="21" t="n">
        <f aca="false">VLOOKUP(K96,clasif_filas!$A$2:$J$39,3,FALSE())</f>
        <v>34</v>
      </c>
      <c r="N96" s="21" t="str">
        <f aca="false">VLOOKUP(K96,clasif_filas!$A$2:$J$39,4,FALSE())</f>
        <v>Químicos básicos</v>
      </c>
      <c r="O96" s="21" t="n">
        <f aca="false">VLOOKUP(K96,clasif_filas!$A$2:$J$39,5,FALSE())</f>
        <v>99</v>
      </c>
      <c r="P96" s="21" t="str">
        <f aca="false">VLOOKUP(K96,clasif_filas!$A$2:$J$39,6,FALSE())</f>
        <v>No Bioeconomía</v>
      </c>
      <c r="Q96" s="21" t="n">
        <f aca="false">VLOOKUP(K96,clasif_filas!$A$2:$J$39,7,FALSE())</f>
        <v>3</v>
      </c>
      <c r="R96" s="21" t="str">
        <f aca="false">VLOOKUP(K96,clasif_filas!$A$2:$J$39,8,FALSE())</f>
        <v>Otros bienes transportables, excepto productos metálicos, maquinaria y equipo</v>
      </c>
      <c r="S96" s="21" t="n">
        <f aca="false">VLOOKUP(K96,clasif_filas!$A$2:$J$39,9,FALSE())</f>
        <v>3</v>
      </c>
      <c r="T96" s="61" t="str">
        <f aca="false">VLOOKUP(K96,clasif_filas!$A$2:$J$39,10,FALSE())</f>
        <v>No bioeconomía</v>
      </c>
    </row>
    <row r="97" customFormat="false" ht="14.25" hidden="false" customHeight="false" outlineLevel="0" collapsed="false">
      <c r="A97" s="29" t="s">
        <v>193</v>
      </c>
      <c r="B97" s="58" t="s">
        <v>1835</v>
      </c>
      <c r="C97" s="58" t="s">
        <v>1617</v>
      </c>
      <c r="D97" s="59" t="n">
        <v>1</v>
      </c>
      <c r="E97" s="60" t="s">
        <v>2083</v>
      </c>
      <c r="F97" s="60" t="s">
        <v>2084</v>
      </c>
      <c r="G97" s="1" t="s">
        <v>1602</v>
      </c>
      <c r="H97" s="1" t="n">
        <v>4</v>
      </c>
      <c r="I97" s="1" t="s">
        <v>1602</v>
      </c>
      <c r="J97" s="1" t="s">
        <v>1602</v>
      </c>
      <c r="K97" s="21" t="n">
        <v>342</v>
      </c>
      <c r="L97" s="21" t="str">
        <f aca="false">VLOOKUP(K97,clasif_filas!$A$2:$J$39,2,FALSE())</f>
        <v>Otros químicos, plásticos, caucho y fibras sintéticas</v>
      </c>
      <c r="M97" s="21" t="n">
        <f aca="false">VLOOKUP(K97,clasif_filas!$A$2:$J$39,3,FALSE())</f>
        <v>34</v>
      </c>
      <c r="N97" s="21" t="str">
        <f aca="false">VLOOKUP(K97,clasif_filas!$A$2:$J$39,4,FALSE())</f>
        <v>Químicos básicos</v>
      </c>
      <c r="O97" s="21" t="n">
        <f aca="false">VLOOKUP(K97,clasif_filas!$A$2:$J$39,5,FALSE())</f>
        <v>99</v>
      </c>
      <c r="P97" s="21" t="str">
        <f aca="false">VLOOKUP(K97,clasif_filas!$A$2:$J$39,6,FALSE())</f>
        <v>No Bioeconomía</v>
      </c>
      <c r="Q97" s="21" t="n">
        <f aca="false">VLOOKUP(K97,clasif_filas!$A$2:$J$39,7,FALSE())</f>
        <v>3</v>
      </c>
      <c r="R97" s="21" t="str">
        <f aca="false">VLOOKUP(K97,clasif_filas!$A$2:$J$39,8,FALSE())</f>
        <v>Otros bienes transportables, excepto productos metálicos, maquinaria y equipo</v>
      </c>
      <c r="S97" s="21" t="n">
        <f aca="false">VLOOKUP(K97,clasif_filas!$A$2:$J$39,9,FALSE())</f>
        <v>3</v>
      </c>
      <c r="T97" s="61" t="str">
        <f aca="false">VLOOKUP(K97,clasif_filas!$A$2:$J$39,10,FALSE())</f>
        <v>No bioeconomía</v>
      </c>
    </row>
    <row r="98" customFormat="false" ht="14.25" hidden="false" customHeight="false" outlineLevel="0" collapsed="false">
      <c r="A98" s="29" t="s">
        <v>195</v>
      </c>
      <c r="B98" s="58" t="s">
        <v>1835</v>
      </c>
      <c r="C98" s="58" t="s">
        <v>1617</v>
      </c>
      <c r="D98" s="59" t="n">
        <v>1</v>
      </c>
      <c r="E98" s="60" t="s">
        <v>2085</v>
      </c>
      <c r="F98" s="60" t="s">
        <v>2086</v>
      </c>
      <c r="G98" s="1" t="s">
        <v>1602</v>
      </c>
      <c r="H98" s="1" t="n">
        <v>4</v>
      </c>
      <c r="I98" s="1" t="s">
        <v>1602</v>
      </c>
      <c r="J98" s="1" t="s">
        <v>1602</v>
      </c>
      <c r="K98" s="21" t="n">
        <v>37</v>
      </c>
      <c r="L98" s="21" t="str">
        <f aca="false">VLOOKUP(K98,clasif_filas!$A$2:$J$39,2,FALSE())</f>
        <v>Vidrios y productos de vidrio y otros productos no metálicos n.c.p.</v>
      </c>
      <c r="M98" s="21" t="n">
        <f aca="false">VLOOKUP(K98,clasif_filas!$A$2:$J$39,3,FALSE())</f>
        <v>37</v>
      </c>
      <c r="N98" s="21" t="str">
        <f aca="false">VLOOKUP(K98,clasif_filas!$A$2:$J$39,4,FALSE())</f>
        <v>Vidrios y productos de vidrio y otros productos no metálicos n.c.p.</v>
      </c>
      <c r="O98" s="21" t="n">
        <f aca="false">VLOOKUP(K98,clasif_filas!$A$2:$J$39,5,FALSE())</f>
        <v>99</v>
      </c>
      <c r="P98" s="21" t="str">
        <f aca="false">VLOOKUP(K98,clasif_filas!$A$2:$J$39,6,FALSE())</f>
        <v>No Bioeconomía</v>
      </c>
      <c r="Q98" s="21" t="n">
        <f aca="false">VLOOKUP(K98,clasif_filas!$A$2:$J$39,7,FALSE())</f>
        <v>3</v>
      </c>
      <c r="R98" s="21" t="str">
        <f aca="false">VLOOKUP(K98,clasif_filas!$A$2:$J$39,8,FALSE())</f>
        <v>Otros bienes transportables, excepto productos metálicos, maquinaria y equipo</v>
      </c>
      <c r="S98" s="21" t="n">
        <f aca="false">VLOOKUP(K98,clasif_filas!$A$2:$J$39,9,FALSE())</f>
        <v>3</v>
      </c>
      <c r="T98" s="61" t="str">
        <f aca="false">VLOOKUP(K98,clasif_filas!$A$2:$J$39,10,FALSE())</f>
        <v>No bioeconomía</v>
      </c>
    </row>
    <row r="99" customFormat="false" ht="14.25" hidden="false" customHeight="false" outlineLevel="0" collapsed="false">
      <c r="A99" s="29" t="s">
        <v>197</v>
      </c>
      <c r="B99" s="58" t="s">
        <v>1835</v>
      </c>
      <c r="C99" s="58" t="s">
        <v>1617</v>
      </c>
      <c r="D99" s="59" t="n">
        <v>1</v>
      </c>
      <c r="E99" s="60" t="s">
        <v>2087</v>
      </c>
      <c r="F99" s="60" t="s">
        <v>2088</v>
      </c>
      <c r="G99" s="1" t="s">
        <v>1602</v>
      </c>
      <c r="H99" s="1" t="n">
        <v>4</v>
      </c>
      <c r="I99" s="1" t="s">
        <v>1602</v>
      </c>
      <c r="J99" s="1" t="s">
        <v>1602</v>
      </c>
      <c r="K99" s="21" t="n">
        <v>37</v>
      </c>
      <c r="L99" s="21" t="str">
        <f aca="false">VLOOKUP(K99,clasif_filas!$A$2:$J$39,2,FALSE())</f>
        <v>Vidrios y productos de vidrio y otros productos no metálicos n.c.p.</v>
      </c>
      <c r="M99" s="21" t="n">
        <f aca="false">VLOOKUP(K99,clasif_filas!$A$2:$J$39,3,FALSE())</f>
        <v>37</v>
      </c>
      <c r="N99" s="21" t="str">
        <f aca="false">VLOOKUP(K99,clasif_filas!$A$2:$J$39,4,FALSE())</f>
        <v>Vidrios y productos de vidrio y otros productos no metálicos n.c.p.</v>
      </c>
      <c r="O99" s="21" t="n">
        <f aca="false">VLOOKUP(K99,clasif_filas!$A$2:$J$39,5,FALSE())</f>
        <v>99</v>
      </c>
      <c r="P99" s="21" t="str">
        <f aca="false">VLOOKUP(K99,clasif_filas!$A$2:$J$39,6,FALSE())</f>
        <v>No Bioeconomía</v>
      </c>
      <c r="Q99" s="21" t="n">
        <f aca="false">VLOOKUP(K99,clasif_filas!$A$2:$J$39,7,FALSE())</f>
        <v>3</v>
      </c>
      <c r="R99" s="21" t="str">
        <f aca="false">VLOOKUP(K99,clasif_filas!$A$2:$J$39,8,FALSE())</f>
        <v>Otros bienes transportables, excepto productos metálicos, maquinaria y equipo</v>
      </c>
      <c r="S99" s="21" t="n">
        <f aca="false">VLOOKUP(K99,clasif_filas!$A$2:$J$39,9,FALSE())</f>
        <v>3</v>
      </c>
      <c r="T99" s="61" t="str">
        <f aca="false">VLOOKUP(K99,clasif_filas!$A$2:$J$39,10,FALSE())</f>
        <v>No bioeconomía</v>
      </c>
    </row>
    <row r="100" customFormat="false" ht="25.55" hidden="false" customHeight="false" outlineLevel="0" collapsed="false">
      <c r="A100" s="29" t="s">
        <v>199</v>
      </c>
      <c r="B100" s="58" t="s">
        <v>1835</v>
      </c>
      <c r="C100" s="58" t="s">
        <v>1617</v>
      </c>
      <c r="D100" s="59" t="n">
        <v>1</v>
      </c>
      <c r="E100" s="60" t="s">
        <v>2089</v>
      </c>
      <c r="F100" s="60" t="s">
        <v>2090</v>
      </c>
      <c r="G100" s="1" t="s">
        <v>1602</v>
      </c>
      <c r="H100" s="1" t="n">
        <v>4</v>
      </c>
      <c r="I100" s="1" t="s">
        <v>1602</v>
      </c>
      <c r="J100" s="1" t="s">
        <v>1602</v>
      </c>
      <c r="K100" s="21" t="n">
        <v>37</v>
      </c>
      <c r="L100" s="21" t="str">
        <f aca="false">VLOOKUP(K100,clasif_filas!$A$2:$J$39,2,FALSE())</f>
        <v>Vidrios y productos de vidrio y otros productos no metálicos n.c.p.</v>
      </c>
      <c r="M100" s="21" t="n">
        <f aca="false">VLOOKUP(K100,clasif_filas!$A$2:$J$39,3,FALSE())</f>
        <v>37</v>
      </c>
      <c r="N100" s="21" t="str">
        <f aca="false">VLOOKUP(K100,clasif_filas!$A$2:$J$39,4,FALSE())</f>
        <v>Vidrios y productos de vidrio y otros productos no metálicos n.c.p.</v>
      </c>
      <c r="O100" s="21" t="n">
        <f aca="false">VLOOKUP(K100,clasif_filas!$A$2:$J$39,5,FALSE())</f>
        <v>99</v>
      </c>
      <c r="P100" s="21" t="str">
        <f aca="false">VLOOKUP(K100,clasif_filas!$A$2:$J$39,6,FALSE())</f>
        <v>No Bioeconomía</v>
      </c>
      <c r="Q100" s="21" t="n">
        <f aca="false">VLOOKUP(K100,clasif_filas!$A$2:$J$39,7,FALSE())</f>
        <v>3</v>
      </c>
      <c r="R100" s="21" t="str">
        <f aca="false">VLOOKUP(K100,clasif_filas!$A$2:$J$39,8,FALSE())</f>
        <v>Otros bienes transportables, excepto productos metálicos, maquinaria y equipo</v>
      </c>
      <c r="S100" s="21" t="n">
        <f aca="false">VLOOKUP(K100,clasif_filas!$A$2:$J$39,9,FALSE())</f>
        <v>3</v>
      </c>
      <c r="T100" s="61" t="str">
        <f aca="false">VLOOKUP(K100,clasif_filas!$A$2:$J$39,10,FALSE())</f>
        <v>No bioeconomía</v>
      </c>
    </row>
    <row r="101" customFormat="false" ht="25.55" hidden="false" customHeight="false" outlineLevel="0" collapsed="false">
      <c r="A101" s="29" t="s">
        <v>201</v>
      </c>
      <c r="B101" s="58" t="s">
        <v>1835</v>
      </c>
      <c r="C101" s="58" t="s">
        <v>1617</v>
      </c>
      <c r="D101" s="59" t="n">
        <v>1</v>
      </c>
      <c r="E101" s="60" t="s">
        <v>2091</v>
      </c>
      <c r="F101" s="60" t="s">
        <v>2092</v>
      </c>
      <c r="G101" s="1" t="s">
        <v>1602</v>
      </c>
      <c r="H101" s="1" t="n">
        <v>4</v>
      </c>
      <c r="I101" s="1" t="s">
        <v>1602</v>
      </c>
      <c r="J101" s="1" t="s">
        <v>1602</v>
      </c>
      <c r="K101" s="21" t="n">
        <v>37</v>
      </c>
      <c r="L101" s="21" t="str">
        <f aca="false">VLOOKUP(K101,clasif_filas!$A$2:$J$39,2,FALSE())</f>
        <v>Vidrios y productos de vidrio y otros productos no metálicos n.c.p.</v>
      </c>
      <c r="M101" s="21" t="n">
        <f aca="false">VLOOKUP(K101,clasif_filas!$A$2:$J$39,3,FALSE())</f>
        <v>37</v>
      </c>
      <c r="N101" s="21" t="str">
        <f aca="false">VLOOKUP(K101,clasif_filas!$A$2:$J$39,4,FALSE())</f>
        <v>Vidrios y productos de vidrio y otros productos no metálicos n.c.p.</v>
      </c>
      <c r="O101" s="21" t="n">
        <f aca="false">VLOOKUP(K101,clasif_filas!$A$2:$J$39,5,FALSE())</f>
        <v>99</v>
      </c>
      <c r="P101" s="21" t="str">
        <f aca="false">VLOOKUP(K101,clasif_filas!$A$2:$J$39,6,FALSE())</f>
        <v>No Bioeconomía</v>
      </c>
      <c r="Q101" s="21" t="n">
        <f aca="false">VLOOKUP(K101,clasif_filas!$A$2:$J$39,7,FALSE())</f>
        <v>3</v>
      </c>
      <c r="R101" s="21" t="str">
        <f aca="false">VLOOKUP(K101,clasif_filas!$A$2:$J$39,8,FALSE())</f>
        <v>Otros bienes transportables, excepto productos metálicos, maquinaria y equipo</v>
      </c>
      <c r="S101" s="21" t="n">
        <f aca="false">VLOOKUP(K101,clasif_filas!$A$2:$J$39,9,FALSE())</f>
        <v>3</v>
      </c>
      <c r="T101" s="61" t="str">
        <f aca="false">VLOOKUP(K101,clasif_filas!$A$2:$J$39,10,FALSE())</f>
        <v>No bioeconomía</v>
      </c>
    </row>
    <row r="102" customFormat="false" ht="14.25" hidden="false" customHeight="false" outlineLevel="0" collapsed="false">
      <c r="A102" s="29" t="s">
        <v>203</v>
      </c>
      <c r="B102" s="58" t="s">
        <v>1835</v>
      </c>
      <c r="C102" s="58" t="s">
        <v>1617</v>
      </c>
      <c r="D102" s="59" t="n">
        <v>1</v>
      </c>
      <c r="E102" s="60" t="s">
        <v>2093</v>
      </c>
      <c r="F102" s="60" t="s">
        <v>2094</v>
      </c>
      <c r="G102" s="1" t="s">
        <v>1602</v>
      </c>
      <c r="H102" s="1" t="n">
        <v>4</v>
      </c>
      <c r="I102" s="1" t="s">
        <v>1602</v>
      </c>
      <c r="J102" s="1" t="s">
        <v>1602</v>
      </c>
      <c r="K102" s="21" t="n">
        <v>37</v>
      </c>
      <c r="L102" s="21" t="str">
        <f aca="false">VLOOKUP(K102,clasif_filas!$A$2:$J$39,2,FALSE())</f>
        <v>Vidrios y productos de vidrio y otros productos no metálicos n.c.p.</v>
      </c>
      <c r="M102" s="21" t="n">
        <f aca="false">VLOOKUP(K102,clasif_filas!$A$2:$J$39,3,FALSE())</f>
        <v>37</v>
      </c>
      <c r="N102" s="21" t="str">
        <f aca="false">VLOOKUP(K102,clasif_filas!$A$2:$J$39,4,FALSE())</f>
        <v>Vidrios y productos de vidrio y otros productos no metálicos n.c.p.</v>
      </c>
      <c r="O102" s="21" t="n">
        <f aca="false">VLOOKUP(K102,clasif_filas!$A$2:$J$39,5,FALSE())</f>
        <v>99</v>
      </c>
      <c r="P102" s="21" t="str">
        <f aca="false">VLOOKUP(K102,clasif_filas!$A$2:$J$39,6,FALSE())</f>
        <v>No Bioeconomía</v>
      </c>
      <c r="Q102" s="21" t="n">
        <f aca="false">VLOOKUP(K102,clasif_filas!$A$2:$J$39,7,FALSE())</f>
        <v>3</v>
      </c>
      <c r="R102" s="21" t="str">
        <f aca="false">VLOOKUP(K102,clasif_filas!$A$2:$J$39,8,FALSE())</f>
        <v>Otros bienes transportables, excepto productos metálicos, maquinaria y equipo</v>
      </c>
      <c r="S102" s="21" t="n">
        <f aca="false">VLOOKUP(K102,clasif_filas!$A$2:$J$39,9,FALSE())</f>
        <v>3</v>
      </c>
      <c r="T102" s="61" t="str">
        <f aca="false">VLOOKUP(K102,clasif_filas!$A$2:$J$39,10,FALSE())</f>
        <v>No bioeconomía</v>
      </c>
    </row>
    <row r="103" customFormat="false" ht="14.25" hidden="false" customHeight="false" outlineLevel="0" collapsed="false">
      <c r="A103" s="29" t="s">
        <v>205</v>
      </c>
      <c r="B103" s="58" t="s">
        <v>1835</v>
      </c>
      <c r="C103" s="58" t="s">
        <v>1617</v>
      </c>
      <c r="D103" s="59" t="n">
        <v>1</v>
      </c>
      <c r="E103" s="60" t="s">
        <v>2095</v>
      </c>
      <c r="F103" s="60" t="s">
        <v>2096</v>
      </c>
      <c r="G103" s="1" t="s">
        <v>1602</v>
      </c>
      <c r="H103" s="1" t="n">
        <v>4</v>
      </c>
      <c r="I103" s="1" t="s">
        <v>1602</v>
      </c>
      <c r="J103" s="1" t="s">
        <v>1602</v>
      </c>
      <c r="K103" s="21" t="n">
        <v>11</v>
      </c>
      <c r="L103" s="21" t="str">
        <f aca="false">VLOOKUP(K103,clasif_filas!$A$2:$J$39,2,FALSE())</f>
        <v>Minerales, combustibles y derivados</v>
      </c>
      <c r="M103" s="21" t="n">
        <f aca="false">VLOOKUP(K103,clasif_filas!$A$2:$J$39,3,FALSE())</f>
        <v>11</v>
      </c>
      <c r="N103" s="21" t="str">
        <f aca="false">VLOOKUP(K103,clasif_filas!$A$2:$J$39,4,FALSE())</f>
        <v>Minerales, combustibles y derivados</v>
      </c>
      <c r="O103" s="21" t="n">
        <f aca="false">VLOOKUP(K103,clasif_filas!$A$2:$J$39,5,FALSE())</f>
        <v>99</v>
      </c>
      <c r="P103" s="21" t="str">
        <f aca="false">VLOOKUP(K103,clasif_filas!$A$2:$J$39,6,FALSE())</f>
        <v>No Bioeconomía</v>
      </c>
      <c r="Q103" s="21" t="n">
        <f aca="false">VLOOKUP(K103,clasif_filas!$A$2:$J$39,7,FALSE())</f>
        <v>1</v>
      </c>
      <c r="R103" s="21" t="str">
        <f aca="false">VLOOKUP(K103,clasif_filas!$A$2:$J$39,8,FALSE())</f>
        <v>Minerales; electricidad, gas y agua</v>
      </c>
      <c r="S103" s="21" t="n">
        <f aca="false">VLOOKUP(K103,clasif_filas!$A$2:$J$39,9,FALSE())</f>
        <v>3</v>
      </c>
      <c r="T103" s="61" t="str">
        <f aca="false">VLOOKUP(K103,clasif_filas!$A$2:$J$39,10,FALSE())</f>
        <v>No bioeconomía</v>
      </c>
    </row>
    <row r="104" customFormat="false" ht="14.25" hidden="false" customHeight="false" outlineLevel="0" collapsed="false">
      <c r="A104" s="29" t="s">
        <v>207</v>
      </c>
      <c r="B104" s="58" t="s">
        <v>1835</v>
      </c>
      <c r="C104" s="58" t="s">
        <v>1617</v>
      </c>
      <c r="D104" s="59" t="n">
        <v>1</v>
      </c>
      <c r="E104" s="60" t="s">
        <v>2097</v>
      </c>
      <c r="F104" s="60" t="s">
        <v>2098</v>
      </c>
      <c r="G104" s="1" t="s">
        <v>1602</v>
      </c>
      <c r="H104" s="1" t="n">
        <v>4</v>
      </c>
      <c r="I104" s="1" t="s">
        <v>1602</v>
      </c>
      <c r="J104" s="1" t="s">
        <v>1602</v>
      </c>
      <c r="K104" s="21" t="n">
        <v>11</v>
      </c>
      <c r="L104" s="21" t="str">
        <f aca="false">VLOOKUP(K104,clasif_filas!$A$2:$J$39,2,FALSE())</f>
        <v>Minerales, combustibles y derivados</v>
      </c>
      <c r="M104" s="21" t="n">
        <f aca="false">VLOOKUP(K104,clasif_filas!$A$2:$J$39,3,FALSE())</f>
        <v>11</v>
      </c>
      <c r="N104" s="21" t="str">
        <f aca="false">VLOOKUP(K104,clasif_filas!$A$2:$J$39,4,FALSE())</f>
        <v>Minerales, combustibles y derivados</v>
      </c>
      <c r="O104" s="21" t="n">
        <f aca="false">VLOOKUP(K104,clasif_filas!$A$2:$J$39,5,FALSE())</f>
        <v>99</v>
      </c>
      <c r="P104" s="21" t="str">
        <f aca="false">VLOOKUP(K104,clasif_filas!$A$2:$J$39,6,FALSE())</f>
        <v>No Bioeconomía</v>
      </c>
      <c r="Q104" s="21" t="n">
        <f aca="false">VLOOKUP(K104,clasif_filas!$A$2:$J$39,7,FALSE())</f>
        <v>1</v>
      </c>
      <c r="R104" s="21" t="str">
        <f aca="false">VLOOKUP(K104,clasif_filas!$A$2:$J$39,8,FALSE())</f>
        <v>Minerales; electricidad, gas y agua</v>
      </c>
      <c r="S104" s="21" t="n">
        <f aca="false">VLOOKUP(K104,clasif_filas!$A$2:$J$39,9,FALSE())</f>
        <v>3</v>
      </c>
      <c r="T104" s="61" t="str">
        <f aca="false">VLOOKUP(K104,clasif_filas!$A$2:$J$39,10,FALSE())</f>
        <v>No bioeconomía</v>
      </c>
    </row>
    <row r="105" customFormat="false" ht="14.25" hidden="false" customHeight="false" outlineLevel="0" collapsed="false">
      <c r="A105" s="29" t="s">
        <v>209</v>
      </c>
      <c r="B105" s="58" t="s">
        <v>1835</v>
      </c>
      <c r="C105" s="58" t="s">
        <v>1617</v>
      </c>
      <c r="D105" s="59" t="n">
        <v>1</v>
      </c>
      <c r="E105" s="60" t="s">
        <v>2099</v>
      </c>
      <c r="F105" s="60" t="s">
        <v>2100</v>
      </c>
      <c r="G105" s="1" t="s">
        <v>1602</v>
      </c>
      <c r="H105" s="1" t="n">
        <v>4</v>
      </c>
      <c r="I105" s="1" t="s">
        <v>1602</v>
      </c>
      <c r="J105" s="1" t="s">
        <v>1602</v>
      </c>
      <c r="K105" s="62" t="s">
        <v>2101</v>
      </c>
      <c r="L105" s="21" t="str">
        <f aca="false">VLOOKUP(K105,clasif_filas!$A$2:$J$39,2,FALSE())</f>
        <v>Metales, Maquianria, equipos y transporte</v>
      </c>
      <c r="M105" s="21" t="str">
        <f aca="false">VLOOKUP(K105,clasif_filas!$A$2:$J$39,3,FALSE())</f>
        <v>41-49</v>
      </c>
      <c r="N105" s="21" t="str">
        <f aca="false">VLOOKUP(K105,clasif_filas!$A$2:$J$39,4,FALSE())</f>
        <v>Metales, Maquianria, equipos y transporte</v>
      </c>
      <c r="O105" s="21" t="n">
        <f aca="false">VLOOKUP(K105,clasif_filas!$A$2:$J$39,5,FALSE())</f>
        <v>99</v>
      </c>
      <c r="P105" s="21" t="str">
        <f aca="false">VLOOKUP(K105,clasif_filas!$A$2:$J$39,6,FALSE())</f>
        <v>No Bioeconomía</v>
      </c>
      <c r="Q105" s="21" t="n">
        <f aca="false">VLOOKUP(K105,clasif_filas!$A$2:$J$39,7,FALSE())</f>
        <v>4</v>
      </c>
      <c r="R105" s="21" t="str">
        <f aca="false">VLOOKUP(K105,clasif_filas!$A$2:$J$39,8,FALSE())</f>
        <v>Productos metálicos, maquinaria y equipo</v>
      </c>
      <c r="S105" s="21" t="n">
        <f aca="false">VLOOKUP(K105,clasif_filas!$A$2:$J$39,9,FALSE())</f>
        <v>3</v>
      </c>
      <c r="T105" s="61" t="str">
        <f aca="false">VLOOKUP(K105,clasif_filas!$A$2:$J$39,10,FALSE())</f>
        <v>No bioeconomía</v>
      </c>
    </row>
    <row r="106" customFormat="false" ht="25.55" hidden="false" customHeight="false" outlineLevel="0" collapsed="false">
      <c r="A106" s="29" t="s">
        <v>211</v>
      </c>
      <c r="B106" s="58" t="s">
        <v>1835</v>
      </c>
      <c r="C106" s="58" t="s">
        <v>1617</v>
      </c>
      <c r="D106" s="59" t="n">
        <v>1</v>
      </c>
      <c r="E106" s="60" t="s">
        <v>2102</v>
      </c>
      <c r="F106" s="60" t="s">
        <v>2103</v>
      </c>
      <c r="G106" s="1" t="s">
        <v>1602</v>
      </c>
      <c r="H106" s="1" t="n">
        <v>4</v>
      </c>
      <c r="I106" s="1" t="s">
        <v>1602</v>
      </c>
      <c r="J106" s="1" t="s">
        <v>1602</v>
      </c>
      <c r="K106" s="62" t="s">
        <v>2101</v>
      </c>
      <c r="L106" s="21" t="str">
        <f aca="false">VLOOKUP(K106,clasif_filas!$A$2:$J$39,2,FALSE())</f>
        <v>Metales, Maquianria, equipos y transporte</v>
      </c>
      <c r="M106" s="21" t="str">
        <f aca="false">VLOOKUP(K106,clasif_filas!$A$2:$J$39,3,FALSE())</f>
        <v>41-49</v>
      </c>
      <c r="N106" s="21" t="str">
        <f aca="false">VLOOKUP(K106,clasif_filas!$A$2:$J$39,4,FALSE())</f>
        <v>Metales, Maquianria, equipos y transporte</v>
      </c>
      <c r="O106" s="21" t="n">
        <f aca="false">VLOOKUP(K106,clasif_filas!$A$2:$J$39,5,FALSE())</f>
        <v>99</v>
      </c>
      <c r="P106" s="21" t="str">
        <f aca="false">VLOOKUP(K106,clasif_filas!$A$2:$J$39,6,FALSE())</f>
        <v>No Bioeconomía</v>
      </c>
      <c r="Q106" s="21" t="n">
        <f aca="false">VLOOKUP(K106,clasif_filas!$A$2:$J$39,7,FALSE())</f>
        <v>4</v>
      </c>
      <c r="R106" s="21" t="str">
        <f aca="false">VLOOKUP(K106,clasif_filas!$A$2:$J$39,8,FALSE())</f>
        <v>Productos metálicos, maquinaria y equipo</v>
      </c>
      <c r="S106" s="21" t="n">
        <f aca="false">VLOOKUP(K106,clasif_filas!$A$2:$J$39,9,FALSE())</f>
        <v>3</v>
      </c>
      <c r="T106" s="61" t="str">
        <f aca="false">VLOOKUP(K106,clasif_filas!$A$2:$J$39,10,FALSE())</f>
        <v>No bioeconomía</v>
      </c>
    </row>
    <row r="107" customFormat="false" ht="25.55" hidden="false" customHeight="false" outlineLevel="0" collapsed="false">
      <c r="A107" s="29" t="s">
        <v>213</v>
      </c>
      <c r="B107" s="58" t="s">
        <v>1835</v>
      </c>
      <c r="C107" s="58" t="s">
        <v>1617</v>
      </c>
      <c r="D107" s="59" t="n">
        <v>1</v>
      </c>
      <c r="E107" s="60" t="s">
        <v>2104</v>
      </c>
      <c r="F107" s="60" t="s">
        <v>2105</v>
      </c>
      <c r="G107" s="1" t="s">
        <v>1602</v>
      </c>
      <c r="H107" s="1" t="n">
        <v>4</v>
      </c>
      <c r="I107" s="1" t="s">
        <v>1602</v>
      </c>
      <c r="J107" s="1" t="s">
        <v>1602</v>
      </c>
      <c r="K107" s="62" t="s">
        <v>2101</v>
      </c>
      <c r="L107" s="21" t="str">
        <f aca="false">VLOOKUP(K107,clasif_filas!$A$2:$J$39,2,FALSE())</f>
        <v>Metales, Maquianria, equipos y transporte</v>
      </c>
      <c r="M107" s="21" t="str">
        <f aca="false">VLOOKUP(K107,clasif_filas!$A$2:$J$39,3,FALSE())</f>
        <v>41-49</v>
      </c>
      <c r="N107" s="21" t="str">
        <f aca="false">VLOOKUP(K107,clasif_filas!$A$2:$J$39,4,FALSE())</f>
        <v>Metales, Maquianria, equipos y transporte</v>
      </c>
      <c r="O107" s="21" t="n">
        <f aca="false">VLOOKUP(K107,clasif_filas!$A$2:$J$39,5,FALSE())</f>
        <v>99</v>
      </c>
      <c r="P107" s="21" t="str">
        <f aca="false">VLOOKUP(K107,clasif_filas!$A$2:$J$39,6,FALSE())</f>
        <v>No Bioeconomía</v>
      </c>
      <c r="Q107" s="21" t="n">
        <f aca="false">VLOOKUP(K107,clasif_filas!$A$2:$J$39,7,FALSE())</f>
        <v>4</v>
      </c>
      <c r="R107" s="21" t="str">
        <f aca="false">VLOOKUP(K107,clasif_filas!$A$2:$J$39,8,FALSE())</f>
        <v>Productos metálicos, maquinaria y equipo</v>
      </c>
      <c r="S107" s="21" t="n">
        <f aca="false">VLOOKUP(K107,clasif_filas!$A$2:$J$39,9,FALSE())</f>
        <v>3</v>
      </c>
      <c r="T107" s="61" t="str">
        <f aca="false">VLOOKUP(K107,clasif_filas!$A$2:$J$39,10,FALSE())</f>
        <v>No bioeconomía</v>
      </c>
    </row>
    <row r="108" customFormat="false" ht="14.25" hidden="false" customHeight="false" outlineLevel="0" collapsed="false">
      <c r="A108" s="29" t="s">
        <v>215</v>
      </c>
      <c r="B108" s="58" t="s">
        <v>1835</v>
      </c>
      <c r="C108" s="58" t="s">
        <v>1617</v>
      </c>
      <c r="D108" s="59" t="n">
        <v>1</v>
      </c>
      <c r="E108" s="60" t="s">
        <v>2106</v>
      </c>
      <c r="F108" s="60" t="s">
        <v>2107</v>
      </c>
      <c r="G108" s="1" t="s">
        <v>1602</v>
      </c>
      <c r="H108" s="1" t="n">
        <v>4</v>
      </c>
      <c r="I108" s="1" t="s">
        <v>1602</v>
      </c>
      <c r="J108" s="1" t="s">
        <v>1602</v>
      </c>
      <c r="K108" s="62" t="s">
        <v>2101</v>
      </c>
      <c r="L108" s="21" t="str">
        <f aca="false">VLOOKUP(K108,clasif_filas!$A$2:$J$39,2,FALSE())</f>
        <v>Metales, Maquianria, equipos y transporte</v>
      </c>
      <c r="M108" s="21" t="str">
        <f aca="false">VLOOKUP(K108,clasif_filas!$A$2:$J$39,3,FALSE())</f>
        <v>41-49</v>
      </c>
      <c r="N108" s="21" t="str">
        <f aca="false">VLOOKUP(K108,clasif_filas!$A$2:$J$39,4,FALSE())</f>
        <v>Metales, Maquianria, equipos y transporte</v>
      </c>
      <c r="O108" s="21" t="n">
        <f aca="false">VLOOKUP(K108,clasif_filas!$A$2:$J$39,5,FALSE())</f>
        <v>99</v>
      </c>
      <c r="P108" s="21" t="str">
        <f aca="false">VLOOKUP(K108,clasif_filas!$A$2:$J$39,6,FALSE())</f>
        <v>No Bioeconomía</v>
      </c>
      <c r="Q108" s="21" t="n">
        <f aca="false">VLOOKUP(K108,clasif_filas!$A$2:$J$39,7,FALSE())</f>
        <v>4</v>
      </c>
      <c r="R108" s="21" t="str">
        <f aca="false">VLOOKUP(K108,clasif_filas!$A$2:$J$39,8,FALSE())</f>
        <v>Productos metálicos, maquinaria y equipo</v>
      </c>
      <c r="S108" s="21" t="n">
        <f aca="false">VLOOKUP(K108,clasif_filas!$A$2:$J$39,9,FALSE())</f>
        <v>3</v>
      </c>
      <c r="T108" s="61" t="str">
        <f aca="false">VLOOKUP(K108,clasif_filas!$A$2:$J$39,10,FALSE())</f>
        <v>No bioeconomía</v>
      </c>
    </row>
    <row r="109" customFormat="false" ht="25.55" hidden="false" customHeight="false" outlineLevel="0" collapsed="false">
      <c r="A109" s="29" t="s">
        <v>217</v>
      </c>
      <c r="B109" s="58" t="s">
        <v>1835</v>
      </c>
      <c r="C109" s="58" t="s">
        <v>1617</v>
      </c>
      <c r="D109" s="59" t="n">
        <v>1</v>
      </c>
      <c r="E109" s="60" t="s">
        <v>2108</v>
      </c>
      <c r="F109" s="60" t="s">
        <v>2109</v>
      </c>
      <c r="G109" s="1" t="s">
        <v>1602</v>
      </c>
      <c r="H109" s="1" t="n">
        <v>4</v>
      </c>
      <c r="I109" s="1" t="s">
        <v>1602</v>
      </c>
      <c r="J109" s="1" t="s">
        <v>1602</v>
      </c>
      <c r="K109" s="62" t="s">
        <v>2101</v>
      </c>
      <c r="L109" s="21" t="str">
        <f aca="false">VLOOKUP(K109,clasif_filas!$A$2:$J$39,2,FALSE())</f>
        <v>Metales, Maquianria, equipos y transporte</v>
      </c>
      <c r="M109" s="21" t="str">
        <f aca="false">VLOOKUP(K109,clasif_filas!$A$2:$J$39,3,FALSE())</f>
        <v>41-49</v>
      </c>
      <c r="N109" s="21" t="str">
        <f aca="false">VLOOKUP(K109,clasif_filas!$A$2:$J$39,4,FALSE())</f>
        <v>Metales, Maquianria, equipos y transporte</v>
      </c>
      <c r="O109" s="21" t="n">
        <f aca="false">VLOOKUP(K109,clasif_filas!$A$2:$J$39,5,FALSE())</f>
        <v>99</v>
      </c>
      <c r="P109" s="21" t="str">
        <f aca="false">VLOOKUP(K109,clasif_filas!$A$2:$J$39,6,FALSE())</f>
        <v>No Bioeconomía</v>
      </c>
      <c r="Q109" s="21" t="n">
        <f aca="false">VLOOKUP(K109,clasif_filas!$A$2:$J$39,7,FALSE())</f>
        <v>4</v>
      </c>
      <c r="R109" s="21" t="str">
        <f aca="false">VLOOKUP(K109,clasif_filas!$A$2:$J$39,8,FALSE())</f>
        <v>Productos metálicos, maquinaria y equipo</v>
      </c>
      <c r="S109" s="21" t="n">
        <f aca="false">VLOOKUP(K109,clasif_filas!$A$2:$J$39,9,FALSE())</f>
        <v>3</v>
      </c>
      <c r="T109" s="61" t="str">
        <f aca="false">VLOOKUP(K109,clasif_filas!$A$2:$J$39,10,FALSE())</f>
        <v>No bioeconomía</v>
      </c>
    </row>
    <row r="110" customFormat="false" ht="37.55" hidden="false" customHeight="false" outlineLevel="0" collapsed="false">
      <c r="A110" s="29" t="s">
        <v>219</v>
      </c>
      <c r="B110" s="58" t="s">
        <v>1835</v>
      </c>
      <c r="C110" s="58" t="s">
        <v>1617</v>
      </c>
      <c r="D110" s="59" t="n">
        <v>1</v>
      </c>
      <c r="E110" s="60" t="s">
        <v>2110</v>
      </c>
      <c r="F110" s="60" t="s">
        <v>2111</v>
      </c>
      <c r="G110" s="1" t="s">
        <v>1602</v>
      </c>
      <c r="H110" s="1" t="n">
        <v>4</v>
      </c>
      <c r="I110" s="1" t="s">
        <v>1602</v>
      </c>
      <c r="J110" s="1" t="s">
        <v>1602</v>
      </c>
      <c r="K110" s="62" t="s">
        <v>2101</v>
      </c>
      <c r="L110" s="21" t="str">
        <f aca="false">VLOOKUP(K110,clasif_filas!$A$2:$J$39,2,FALSE())</f>
        <v>Metales, Maquianria, equipos y transporte</v>
      </c>
      <c r="M110" s="21" t="str">
        <f aca="false">VLOOKUP(K110,clasif_filas!$A$2:$J$39,3,FALSE())</f>
        <v>41-49</v>
      </c>
      <c r="N110" s="21" t="str">
        <f aca="false">VLOOKUP(K110,clasif_filas!$A$2:$J$39,4,FALSE())</f>
        <v>Metales, Maquianria, equipos y transporte</v>
      </c>
      <c r="O110" s="21" t="n">
        <f aca="false">VLOOKUP(K110,clasif_filas!$A$2:$J$39,5,FALSE())</f>
        <v>99</v>
      </c>
      <c r="P110" s="21" t="str">
        <f aca="false">VLOOKUP(K110,clasif_filas!$A$2:$J$39,6,FALSE())</f>
        <v>No Bioeconomía</v>
      </c>
      <c r="Q110" s="21" t="n">
        <f aca="false">VLOOKUP(K110,clasif_filas!$A$2:$J$39,7,FALSE())</f>
        <v>4</v>
      </c>
      <c r="R110" s="21" t="str">
        <f aca="false">VLOOKUP(K110,clasif_filas!$A$2:$J$39,8,FALSE())</f>
        <v>Productos metálicos, maquinaria y equipo</v>
      </c>
      <c r="S110" s="21" t="n">
        <f aca="false">VLOOKUP(K110,clasif_filas!$A$2:$J$39,9,FALSE())</f>
        <v>3</v>
      </c>
      <c r="T110" s="61" t="str">
        <f aca="false">VLOOKUP(K110,clasif_filas!$A$2:$J$39,10,FALSE())</f>
        <v>No bioeconomía</v>
      </c>
    </row>
    <row r="111" customFormat="false" ht="25.55" hidden="false" customHeight="false" outlineLevel="0" collapsed="false">
      <c r="A111" s="29" t="s">
        <v>221</v>
      </c>
      <c r="B111" s="58" t="s">
        <v>1835</v>
      </c>
      <c r="C111" s="58" t="s">
        <v>1617</v>
      </c>
      <c r="D111" s="59" t="n">
        <v>1</v>
      </c>
      <c r="E111" s="60" t="s">
        <v>2112</v>
      </c>
      <c r="F111" s="60" t="s">
        <v>2113</v>
      </c>
      <c r="G111" s="1" t="s">
        <v>1602</v>
      </c>
      <c r="H111" s="1" t="n">
        <v>4</v>
      </c>
      <c r="I111" s="1" t="s">
        <v>1602</v>
      </c>
      <c r="J111" s="1" t="s">
        <v>1602</v>
      </c>
      <c r="K111" s="62" t="s">
        <v>2101</v>
      </c>
      <c r="L111" s="21" t="str">
        <f aca="false">VLOOKUP(K111,clasif_filas!$A$2:$J$39,2,FALSE())</f>
        <v>Metales, Maquianria, equipos y transporte</v>
      </c>
      <c r="M111" s="21" t="str">
        <f aca="false">VLOOKUP(K111,clasif_filas!$A$2:$J$39,3,FALSE())</f>
        <v>41-49</v>
      </c>
      <c r="N111" s="21" t="str">
        <f aca="false">VLOOKUP(K111,clasif_filas!$A$2:$J$39,4,FALSE())</f>
        <v>Metales, Maquianria, equipos y transporte</v>
      </c>
      <c r="O111" s="21" t="n">
        <f aca="false">VLOOKUP(K111,clasif_filas!$A$2:$J$39,5,FALSE())</f>
        <v>99</v>
      </c>
      <c r="P111" s="21" t="str">
        <f aca="false">VLOOKUP(K111,clasif_filas!$A$2:$J$39,6,FALSE())</f>
        <v>No Bioeconomía</v>
      </c>
      <c r="Q111" s="21" t="n">
        <f aca="false">VLOOKUP(K111,clasif_filas!$A$2:$J$39,7,FALSE())</f>
        <v>4</v>
      </c>
      <c r="R111" s="21" t="str">
        <f aca="false">VLOOKUP(K111,clasif_filas!$A$2:$J$39,8,FALSE())</f>
        <v>Productos metálicos, maquinaria y equipo</v>
      </c>
      <c r="S111" s="21" t="n">
        <f aca="false">VLOOKUP(K111,clasif_filas!$A$2:$J$39,9,FALSE())</f>
        <v>3</v>
      </c>
      <c r="T111" s="61" t="str">
        <f aca="false">VLOOKUP(K111,clasif_filas!$A$2:$J$39,10,FALSE())</f>
        <v>No bioeconomía</v>
      </c>
    </row>
    <row r="112" customFormat="false" ht="25.55" hidden="false" customHeight="false" outlineLevel="0" collapsed="false">
      <c r="A112" s="29" t="s">
        <v>223</v>
      </c>
      <c r="B112" s="58" t="s">
        <v>1835</v>
      </c>
      <c r="C112" s="58" t="s">
        <v>1617</v>
      </c>
      <c r="D112" s="59" t="n">
        <v>1</v>
      </c>
      <c r="E112" s="60" t="s">
        <v>2114</v>
      </c>
      <c r="F112" s="60" t="s">
        <v>2115</v>
      </c>
      <c r="G112" s="1" t="s">
        <v>1602</v>
      </c>
      <c r="H112" s="1" t="n">
        <v>4</v>
      </c>
      <c r="I112" s="1" t="s">
        <v>1602</v>
      </c>
      <c r="J112" s="1" t="s">
        <v>1602</v>
      </c>
      <c r="K112" s="62" t="s">
        <v>2101</v>
      </c>
      <c r="L112" s="21" t="str">
        <f aca="false">VLOOKUP(K112,clasif_filas!$A$2:$J$39,2,FALSE())</f>
        <v>Metales, Maquianria, equipos y transporte</v>
      </c>
      <c r="M112" s="21" t="str">
        <f aca="false">VLOOKUP(K112,clasif_filas!$A$2:$J$39,3,FALSE())</f>
        <v>41-49</v>
      </c>
      <c r="N112" s="21" t="str">
        <f aca="false">VLOOKUP(K112,clasif_filas!$A$2:$J$39,4,FALSE())</f>
        <v>Metales, Maquianria, equipos y transporte</v>
      </c>
      <c r="O112" s="21" t="n">
        <f aca="false">VLOOKUP(K112,clasif_filas!$A$2:$J$39,5,FALSE())</f>
        <v>99</v>
      </c>
      <c r="P112" s="21" t="str">
        <f aca="false">VLOOKUP(K112,clasif_filas!$A$2:$J$39,6,FALSE())</f>
        <v>No Bioeconomía</v>
      </c>
      <c r="Q112" s="21" t="n">
        <f aca="false">VLOOKUP(K112,clasif_filas!$A$2:$J$39,7,FALSE())</f>
        <v>4</v>
      </c>
      <c r="R112" s="21" t="str">
        <f aca="false">VLOOKUP(K112,clasif_filas!$A$2:$J$39,8,FALSE())</f>
        <v>Productos metálicos, maquinaria y equipo</v>
      </c>
      <c r="S112" s="21" t="n">
        <f aca="false">VLOOKUP(K112,clasif_filas!$A$2:$J$39,9,FALSE())</f>
        <v>3</v>
      </c>
      <c r="T112" s="61" t="str">
        <f aca="false">VLOOKUP(K112,clasif_filas!$A$2:$J$39,10,FALSE())</f>
        <v>No bioeconomía</v>
      </c>
    </row>
    <row r="113" customFormat="false" ht="25.55" hidden="false" customHeight="false" outlineLevel="0" collapsed="false">
      <c r="A113" s="29" t="s">
        <v>225</v>
      </c>
      <c r="B113" s="58" t="s">
        <v>1835</v>
      </c>
      <c r="C113" s="58" t="s">
        <v>1617</v>
      </c>
      <c r="D113" s="59" t="n">
        <v>1</v>
      </c>
      <c r="E113" s="60" t="s">
        <v>2116</v>
      </c>
      <c r="F113" s="60" t="s">
        <v>2117</v>
      </c>
      <c r="G113" s="1" t="s">
        <v>1602</v>
      </c>
      <c r="H113" s="1" t="n">
        <v>4</v>
      </c>
      <c r="I113" s="1" t="s">
        <v>1602</v>
      </c>
      <c r="J113" s="1" t="s">
        <v>1602</v>
      </c>
      <c r="K113" s="62" t="s">
        <v>2101</v>
      </c>
      <c r="L113" s="21" t="str">
        <f aca="false">VLOOKUP(K113,clasif_filas!$A$2:$J$39,2,FALSE())</f>
        <v>Metales, Maquianria, equipos y transporte</v>
      </c>
      <c r="M113" s="21" t="str">
        <f aca="false">VLOOKUP(K113,clasif_filas!$A$2:$J$39,3,FALSE())</f>
        <v>41-49</v>
      </c>
      <c r="N113" s="21" t="str">
        <f aca="false">VLOOKUP(K113,clasif_filas!$A$2:$J$39,4,FALSE())</f>
        <v>Metales, Maquianria, equipos y transporte</v>
      </c>
      <c r="O113" s="21" t="n">
        <f aca="false">VLOOKUP(K113,clasif_filas!$A$2:$J$39,5,FALSE())</f>
        <v>99</v>
      </c>
      <c r="P113" s="21" t="str">
        <f aca="false">VLOOKUP(K113,clasif_filas!$A$2:$J$39,6,FALSE())</f>
        <v>No Bioeconomía</v>
      </c>
      <c r="Q113" s="21" t="n">
        <f aca="false">VLOOKUP(K113,clasif_filas!$A$2:$J$39,7,FALSE())</f>
        <v>4</v>
      </c>
      <c r="R113" s="21" t="str">
        <f aca="false">VLOOKUP(K113,clasif_filas!$A$2:$J$39,8,FALSE())</f>
        <v>Productos metálicos, maquinaria y equipo</v>
      </c>
      <c r="S113" s="21" t="n">
        <f aca="false">VLOOKUP(K113,clasif_filas!$A$2:$J$39,9,FALSE())</f>
        <v>3</v>
      </c>
      <c r="T113" s="61" t="str">
        <f aca="false">VLOOKUP(K113,clasif_filas!$A$2:$J$39,10,FALSE())</f>
        <v>No bioeconomía</v>
      </c>
    </row>
    <row r="114" customFormat="false" ht="25.55" hidden="false" customHeight="false" outlineLevel="0" collapsed="false">
      <c r="A114" s="29" t="s">
        <v>227</v>
      </c>
      <c r="B114" s="58" t="s">
        <v>1835</v>
      </c>
      <c r="C114" s="58" t="s">
        <v>1617</v>
      </c>
      <c r="D114" s="59" t="n">
        <v>1</v>
      </c>
      <c r="E114" s="60" t="s">
        <v>2118</v>
      </c>
      <c r="F114" s="60" t="s">
        <v>2119</v>
      </c>
      <c r="G114" s="1" t="s">
        <v>1602</v>
      </c>
      <c r="H114" s="1" t="n">
        <v>4</v>
      </c>
      <c r="I114" s="1" t="s">
        <v>1602</v>
      </c>
      <c r="J114" s="1" t="s">
        <v>1602</v>
      </c>
      <c r="K114" s="62" t="s">
        <v>2101</v>
      </c>
      <c r="L114" s="21" t="str">
        <f aca="false">VLOOKUP(K114,clasif_filas!$A$2:$J$39,2,FALSE())</f>
        <v>Metales, Maquianria, equipos y transporte</v>
      </c>
      <c r="M114" s="21" t="str">
        <f aca="false">VLOOKUP(K114,clasif_filas!$A$2:$J$39,3,FALSE())</f>
        <v>41-49</v>
      </c>
      <c r="N114" s="21" t="str">
        <f aca="false">VLOOKUP(K114,clasif_filas!$A$2:$J$39,4,FALSE())</f>
        <v>Metales, Maquianria, equipos y transporte</v>
      </c>
      <c r="O114" s="21" t="n">
        <f aca="false">VLOOKUP(K114,clasif_filas!$A$2:$J$39,5,FALSE())</f>
        <v>99</v>
      </c>
      <c r="P114" s="21" t="str">
        <f aca="false">VLOOKUP(K114,clasif_filas!$A$2:$J$39,6,FALSE())</f>
        <v>No Bioeconomía</v>
      </c>
      <c r="Q114" s="21" t="n">
        <f aca="false">VLOOKUP(K114,clasif_filas!$A$2:$J$39,7,FALSE())</f>
        <v>4</v>
      </c>
      <c r="R114" s="21" t="str">
        <f aca="false">VLOOKUP(K114,clasif_filas!$A$2:$J$39,8,FALSE())</f>
        <v>Productos metálicos, maquinaria y equipo</v>
      </c>
      <c r="S114" s="21" t="n">
        <f aca="false">VLOOKUP(K114,clasif_filas!$A$2:$J$39,9,FALSE())</f>
        <v>3</v>
      </c>
      <c r="T114" s="61" t="str">
        <f aca="false">VLOOKUP(K114,clasif_filas!$A$2:$J$39,10,FALSE())</f>
        <v>No bioeconomía</v>
      </c>
    </row>
    <row r="115" customFormat="false" ht="25.55" hidden="false" customHeight="false" outlineLevel="0" collapsed="false">
      <c r="A115" s="29" t="s">
        <v>229</v>
      </c>
      <c r="B115" s="58" t="s">
        <v>1835</v>
      </c>
      <c r="C115" s="58" t="s">
        <v>1617</v>
      </c>
      <c r="D115" s="59" t="n">
        <v>1</v>
      </c>
      <c r="E115" s="60" t="s">
        <v>2120</v>
      </c>
      <c r="F115" s="60" t="s">
        <v>2121</v>
      </c>
      <c r="G115" s="1" t="s">
        <v>1602</v>
      </c>
      <c r="H115" s="1" t="n">
        <v>4</v>
      </c>
      <c r="I115" s="1" t="s">
        <v>1602</v>
      </c>
      <c r="J115" s="1" t="s">
        <v>1602</v>
      </c>
      <c r="K115" s="62" t="s">
        <v>2101</v>
      </c>
      <c r="L115" s="21" t="str">
        <f aca="false">VLOOKUP(K115,clasif_filas!$A$2:$J$39,2,FALSE())</f>
        <v>Metales, Maquianria, equipos y transporte</v>
      </c>
      <c r="M115" s="21" t="str">
        <f aca="false">VLOOKUP(K115,clasif_filas!$A$2:$J$39,3,FALSE())</f>
        <v>41-49</v>
      </c>
      <c r="N115" s="21" t="str">
        <f aca="false">VLOOKUP(K115,clasif_filas!$A$2:$J$39,4,FALSE())</f>
        <v>Metales, Maquianria, equipos y transporte</v>
      </c>
      <c r="O115" s="21" t="n">
        <f aca="false">VLOOKUP(K115,clasif_filas!$A$2:$J$39,5,FALSE())</f>
        <v>99</v>
      </c>
      <c r="P115" s="21" t="str">
        <f aca="false">VLOOKUP(K115,clasif_filas!$A$2:$J$39,6,FALSE())</f>
        <v>No Bioeconomía</v>
      </c>
      <c r="Q115" s="21" t="n">
        <f aca="false">VLOOKUP(K115,clasif_filas!$A$2:$J$39,7,FALSE())</f>
        <v>4</v>
      </c>
      <c r="R115" s="21" t="str">
        <f aca="false">VLOOKUP(K115,clasif_filas!$A$2:$J$39,8,FALSE())</f>
        <v>Productos metálicos, maquinaria y equipo</v>
      </c>
      <c r="S115" s="21" t="n">
        <f aca="false">VLOOKUP(K115,clasif_filas!$A$2:$J$39,9,FALSE())</f>
        <v>3</v>
      </c>
      <c r="T115" s="61" t="str">
        <f aca="false">VLOOKUP(K115,clasif_filas!$A$2:$J$39,10,FALSE())</f>
        <v>No bioeconomía</v>
      </c>
    </row>
    <row r="116" customFormat="false" ht="25.55" hidden="false" customHeight="false" outlineLevel="0" collapsed="false">
      <c r="A116" s="29" t="s">
        <v>231</v>
      </c>
      <c r="B116" s="58" t="s">
        <v>1835</v>
      </c>
      <c r="C116" s="58" t="s">
        <v>1617</v>
      </c>
      <c r="D116" s="59" t="n">
        <v>1</v>
      </c>
      <c r="E116" s="60" t="s">
        <v>2122</v>
      </c>
      <c r="F116" s="60" t="s">
        <v>2123</v>
      </c>
      <c r="G116" s="1" t="s">
        <v>1602</v>
      </c>
      <c r="H116" s="1" t="n">
        <v>4</v>
      </c>
      <c r="I116" s="1" t="s">
        <v>1602</v>
      </c>
      <c r="J116" s="1" t="s">
        <v>1602</v>
      </c>
      <c r="K116" s="62" t="s">
        <v>2101</v>
      </c>
      <c r="L116" s="21" t="str">
        <f aca="false">VLOOKUP(K116,clasif_filas!$A$2:$J$39,2,FALSE())</f>
        <v>Metales, Maquianria, equipos y transporte</v>
      </c>
      <c r="M116" s="21" t="str">
        <f aca="false">VLOOKUP(K116,clasif_filas!$A$2:$J$39,3,FALSE())</f>
        <v>41-49</v>
      </c>
      <c r="N116" s="21" t="str">
        <f aca="false">VLOOKUP(K116,clasif_filas!$A$2:$J$39,4,FALSE())</f>
        <v>Metales, Maquianria, equipos y transporte</v>
      </c>
      <c r="O116" s="21" t="n">
        <f aca="false">VLOOKUP(K116,clasif_filas!$A$2:$J$39,5,FALSE())</f>
        <v>99</v>
      </c>
      <c r="P116" s="21" t="str">
        <f aca="false">VLOOKUP(K116,clasif_filas!$A$2:$J$39,6,FALSE())</f>
        <v>No Bioeconomía</v>
      </c>
      <c r="Q116" s="21" t="n">
        <f aca="false">VLOOKUP(K116,clasif_filas!$A$2:$J$39,7,FALSE())</f>
        <v>4</v>
      </c>
      <c r="R116" s="21" t="str">
        <f aca="false">VLOOKUP(K116,clasif_filas!$A$2:$J$39,8,FALSE())</f>
        <v>Productos metálicos, maquinaria y equipo</v>
      </c>
      <c r="S116" s="21" t="n">
        <f aca="false">VLOOKUP(K116,clasif_filas!$A$2:$J$39,9,FALSE())</f>
        <v>3</v>
      </c>
      <c r="T116" s="61" t="str">
        <f aca="false">VLOOKUP(K116,clasif_filas!$A$2:$J$39,10,FALSE())</f>
        <v>No bioeconomía</v>
      </c>
    </row>
    <row r="117" customFormat="false" ht="14.25" hidden="false" customHeight="false" outlineLevel="0" collapsed="false">
      <c r="A117" s="29" t="s">
        <v>233</v>
      </c>
      <c r="B117" s="58" t="s">
        <v>1835</v>
      </c>
      <c r="C117" s="58" t="s">
        <v>1617</v>
      </c>
      <c r="D117" s="59" t="n">
        <v>1</v>
      </c>
      <c r="E117" s="60" t="s">
        <v>2124</v>
      </c>
      <c r="F117" s="60" t="s">
        <v>2125</v>
      </c>
      <c r="G117" s="1" t="s">
        <v>1602</v>
      </c>
      <c r="H117" s="1" t="n">
        <v>4</v>
      </c>
      <c r="I117" s="1" t="s">
        <v>1602</v>
      </c>
      <c r="J117" s="1" t="s">
        <v>1602</v>
      </c>
      <c r="K117" s="1" t="n">
        <v>38</v>
      </c>
      <c r="L117" s="21" t="str">
        <f aca="false">VLOOKUP(K117,clasif_filas!$A$2:$J$39,2,FALSE())</f>
        <v>Muebles; otros bienes transportables n.c.p.</v>
      </c>
      <c r="M117" s="21" t="n">
        <f aca="false">VLOOKUP(K117,clasif_filas!$A$2:$J$39,3,FALSE())</f>
        <v>38</v>
      </c>
      <c r="N117" s="21" t="str">
        <f aca="false">VLOOKUP(K117,clasif_filas!$A$2:$J$39,4,FALSE())</f>
        <v>Muebles; otros bienes transportables n.c.p.</v>
      </c>
      <c r="O117" s="21" t="n">
        <f aca="false">VLOOKUP(K117,clasif_filas!$A$2:$J$39,5,FALSE())</f>
        <v>99</v>
      </c>
      <c r="P117" s="21" t="str">
        <f aca="false">VLOOKUP(K117,clasif_filas!$A$2:$J$39,6,FALSE())</f>
        <v>No Bioeconomía</v>
      </c>
      <c r="Q117" s="21" t="n">
        <f aca="false">VLOOKUP(K117,clasif_filas!$A$2:$J$39,7,FALSE())</f>
        <v>3</v>
      </c>
      <c r="R117" s="21" t="str">
        <f aca="false">VLOOKUP(K117,clasif_filas!$A$2:$J$39,8,FALSE())</f>
        <v>Otros bienes transportables, excepto productos metálicos, maquinaria y equipo</v>
      </c>
      <c r="S117" s="21" t="n">
        <f aca="false">VLOOKUP(K117,clasif_filas!$A$2:$J$39,9,FALSE())</f>
        <v>3</v>
      </c>
      <c r="T117" s="61" t="str">
        <f aca="false">VLOOKUP(K117,clasif_filas!$A$2:$J$39,10,FALSE())</f>
        <v>No bioeconomía</v>
      </c>
    </row>
    <row r="118" customFormat="false" ht="14.25" hidden="false" customHeight="false" outlineLevel="0" collapsed="false">
      <c r="A118" s="29" t="s">
        <v>235</v>
      </c>
      <c r="B118" s="58" t="s">
        <v>1835</v>
      </c>
      <c r="C118" s="58" t="s">
        <v>1617</v>
      </c>
      <c r="D118" s="59" t="n">
        <v>1</v>
      </c>
      <c r="E118" s="60" t="s">
        <v>2126</v>
      </c>
      <c r="F118" s="60" t="s">
        <v>2127</v>
      </c>
      <c r="G118" s="1" t="s">
        <v>1602</v>
      </c>
      <c r="H118" s="1" t="n">
        <v>4</v>
      </c>
      <c r="I118" s="1" t="s">
        <v>1602</v>
      </c>
      <c r="J118" s="1" t="s">
        <v>1602</v>
      </c>
      <c r="K118" s="1" t="n">
        <v>38</v>
      </c>
      <c r="L118" s="21" t="str">
        <f aca="false">VLOOKUP(K118,clasif_filas!$A$2:$J$39,2,FALSE())</f>
        <v>Muebles; otros bienes transportables n.c.p.</v>
      </c>
      <c r="M118" s="21" t="n">
        <f aca="false">VLOOKUP(K118,clasif_filas!$A$2:$J$39,3,FALSE())</f>
        <v>38</v>
      </c>
      <c r="N118" s="21" t="str">
        <f aca="false">VLOOKUP(K118,clasif_filas!$A$2:$J$39,4,FALSE())</f>
        <v>Muebles; otros bienes transportables n.c.p.</v>
      </c>
      <c r="O118" s="21" t="n">
        <f aca="false">VLOOKUP(K118,clasif_filas!$A$2:$J$39,5,FALSE())</f>
        <v>99</v>
      </c>
      <c r="P118" s="21" t="str">
        <f aca="false">VLOOKUP(K118,clasif_filas!$A$2:$J$39,6,FALSE())</f>
        <v>No Bioeconomía</v>
      </c>
      <c r="Q118" s="21" t="n">
        <f aca="false">VLOOKUP(K118,clasif_filas!$A$2:$J$39,7,FALSE())</f>
        <v>3</v>
      </c>
      <c r="R118" s="21" t="str">
        <f aca="false">VLOOKUP(K118,clasif_filas!$A$2:$J$39,8,FALSE())</f>
        <v>Otros bienes transportables, excepto productos metálicos, maquinaria y equipo</v>
      </c>
      <c r="S118" s="21" t="n">
        <f aca="false">VLOOKUP(K118,clasif_filas!$A$2:$J$39,9,FALSE())</f>
        <v>3</v>
      </c>
      <c r="T118" s="61" t="str">
        <f aca="false">VLOOKUP(K118,clasif_filas!$A$2:$J$39,10,FALSE())</f>
        <v>No bioeconomía</v>
      </c>
    </row>
    <row r="119" customFormat="false" ht="14.25" hidden="false" customHeight="false" outlineLevel="0" collapsed="false">
      <c r="A119" s="29" t="s">
        <v>237</v>
      </c>
      <c r="B119" s="58" t="s">
        <v>1835</v>
      </c>
      <c r="C119" s="58" t="s">
        <v>1617</v>
      </c>
      <c r="D119" s="59" t="n">
        <v>1</v>
      </c>
      <c r="E119" s="60" t="s">
        <v>2128</v>
      </c>
      <c r="F119" s="60" t="s">
        <v>2129</v>
      </c>
      <c r="G119" s="1" t="s">
        <v>1602</v>
      </c>
      <c r="H119" s="1" t="n">
        <v>4</v>
      </c>
      <c r="I119" s="1" t="s">
        <v>1602</v>
      </c>
      <c r="J119" s="1" t="s">
        <v>1602</v>
      </c>
      <c r="K119" s="1" t="n">
        <v>38</v>
      </c>
      <c r="L119" s="21" t="str">
        <f aca="false">VLOOKUP(K119,clasif_filas!$A$2:$J$39,2,FALSE())</f>
        <v>Muebles; otros bienes transportables n.c.p.</v>
      </c>
      <c r="M119" s="21" t="n">
        <f aca="false">VLOOKUP(K119,clasif_filas!$A$2:$J$39,3,FALSE())</f>
        <v>38</v>
      </c>
      <c r="N119" s="21" t="str">
        <f aca="false">VLOOKUP(K119,clasif_filas!$A$2:$J$39,4,FALSE())</f>
        <v>Muebles; otros bienes transportables n.c.p.</v>
      </c>
      <c r="O119" s="21" t="n">
        <f aca="false">VLOOKUP(K119,clasif_filas!$A$2:$J$39,5,FALSE())</f>
        <v>99</v>
      </c>
      <c r="P119" s="21" t="str">
        <f aca="false">VLOOKUP(K119,clasif_filas!$A$2:$J$39,6,FALSE())</f>
        <v>No Bioeconomía</v>
      </c>
      <c r="Q119" s="21" t="n">
        <f aca="false">VLOOKUP(K119,clasif_filas!$A$2:$J$39,7,FALSE())</f>
        <v>3</v>
      </c>
      <c r="R119" s="21" t="str">
        <f aca="false">VLOOKUP(K119,clasif_filas!$A$2:$J$39,8,FALSE())</f>
        <v>Otros bienes transportables, excepto productos metálicos, maquinaria y equipo</v>
      </c>
      <c r="S119" s="21" t="n">
        <f aca="false">VLOOKUP(K119,clasif_filas!$A$2:$J$39,9,FALSE())</f>
        <v>3</v>
      </c>
      <c r="T119" s="61" t="str">
        <f aca="false">VLOOKUP(K119,clasif_filas!$A$2:$J$39,10,FALSE())</f>
        <v>No bioeconomía</v>
      </c>
    </row>
    <row r="120" customFormat="false" ht="14.25" hidden="false" customHeight="false" outlineLevel="0" collapsed="false">
      <c r="A120" s="29" t="s">
        <v>239</v>
      </c>
      <c r="B120" s="58" t="s">
        <v>1835</v>
      </c>
      <c r="C120" s="58" t="s">
        <v>1617</v>
      </c>
      <c r="D120" s="59" t="n">
        <v>1</v>
      </c>
      <c r="E120" s="60" t="s">
        <v>2130</v>
      </c>
      <c r="F120" s="60" t="s">
        <v>2131</v>
      </c>
      <c r="G120" s="1" t="s">
        <v>1602</v>
      </c>
      <c r="H120" s="1" t="n">
        <v>4</v>
      </c>
      <c r="I120" s="1" t="s">
        <v>1602</v>
      </c>
      <c r="J120" s="1" t="s">
        <v>1602</v>
      </c>
      <c r="K120" s="1" t="n">
        <v>38</v>
      </c>
      <c r="L120" s="21" t="str">
        <f aca="false">VLOOKUP(K120,clasif_filas!$A$2:$J$39,2,FALSE())</f>
        <v>Muebles; otros bienes transportables n.c.p.</v>
      </c>
      <c r="M120" s="21" t="n">
        <f aca="false">VLOOKUP(K120,clasif_filas!$A$2:$J$39,3,FALSE())</f>
        <v>38</v>
      </c>
      <c r="N120" s="21" t="str">
        <f aca="false">VLOOKUP(K120,clasif_filas!$A$2:$J$39,4,FALSE())</f>
        <v>Muebles; otros bienes transportables n.c.p.</v>
      </c>
      <c r="O120" s="21" t="n">
        <f aca="false">VLOOKUP(K120,clasif_filas!$A$2:$J$39,5,FALSE())</f>
        <v>99</v>
      </c>
      <c r="P120" s="21" t="str">
        <f aca="false">VLOOKUP(K120,clasif_filas!$A$2:$J$39,6,FALSE())</f>
        <v>No Bioeconomía</v>
      </c>
      <c r="Q120" s="21" t="n">
        <f aca="false">VLOOKUP(K120,clasif_filas!$A$2:$J$39,7,FALSE())</f>
        <v>3</v>
      </c>
      <c r="R120" s="21" t="str">
        <f aca="false">VLOOKUP(K120,clasif_filas!$A$2:$J$39,8,FALSE())</f>
        <v>Otros bienes transportables, excepto productos metálicos, maquinaria y equipo</v>
      </c>
      <c r="S120" s="21" t="n">
        <f aca="false">VLOOKUP(K120,clasif_filas!$A$2:$J$39,9,FALSE())</f>
        <v>3</v>
      </c>
      <c r="T120" s="61" t="str">
        <f aca="false">VLOOKUP(K120,clasif_filas!$A$2:$J$39,10,FALSE())</f>
        <v>No bioeconomía</v>
      </c>
    </row>
    <row r="121" customFormat="false" ht="14.25" hidden="false" customHeight="false" outlineLevel="0" collapsed="false">
      <c r="A121" s="29" t="s">
        <v>241</v>
      </c>
      <c r="B121" s="58" t="s">
        <v>1835</v>
      </c>
      <c r="C121" s="58" t="s">
        <v>1617</v>
      </c>
      <c r="D121" s="59" t="n">
        <v>1</v>
      </c>
      <c r="E121" s="60" t="s">
        <v>2132</v>
      </c>
      <c r="F121" s="60" t="s">
        <v>2133</v>
      </c>
      <c r="G121" s="1" t="s">
        <v>1602</v>
      </c>
      <c r="H121" s="1" t="n">
        <v>4</v>
      </c>
      <c r="I121" s="1" t="s">
        <v>1602</v>
      </c>
      <c r="J121" s="1" t="s">
        <v>1602</v>
      </c>
      <c r="K121" s="1" t="n">
        <v>38</v>
      </c>
      <c r="L121" s="21" t="str">
        <f aca="false">VLOOKUP(K121,clasif_filas!$A$2:$J$39,2,FALSE())</f>
        <v>Muebles; otros bienes transportables n.c.p.</v>
      </c>
      <c r="M121" s="21" t="n">
        <f aca="false">VLOOKUP(K121,clasif_filas!$A$2:$J$39,3,FALSE())</f>
        <v>38</v>
      </c>
      <c r="N121" s="21" t="str">
        <f aca="false">VLOOKUP(K121,clasif_filas!$A$2:$J$39,4,FALSE())</f>
        <v>Muebles; otros bienes transportables n.c.p.</v>
      </c>
      <c r="O121" s="21" t="n">
        <f aca="false">VLOOKUP(K121,clasif_filas!$A$2:$J$39,5,FALSE())</f>
        <v>99</v>
      </c>
      <c r="P121" s="21" t="str">
        <f aca="false">VLOOKUP(K121,clasif_filas!$A$2:$J$39,6,FALSE())</f>
        <v>No Bioeconomía</v>
      </c>
      <c r="Q121" s="21" t="n">
        <f aca="false">VLOOKUP(K121,clasif_filas!$A$2:$J$39,7,FALSE())</f>
        <v>3</v>
      </c>
      <c r="R121" s="21" t="str">
        <f aca="false">VLOOKUP(K121,clasif_filas!$A$2:$J$39,8,FALSE())</f>
        <v>Otros bienes transportables, excepto productos metálicos, maquinaria y equipo</v>
      </c>
      <c r="S121" s="21" t="n">
        <f aca="false">VLOOKUP(K121,clasif_filas!$A$2:$J$39,9,FALSE())</f>
        <v>3</v>
      </c>
      <c r="T121" s="61" t="str">
        <f aca="false">VLOOKUP(K121,clasif_filas!$A$2:$J$39,10,FALSE())</f>
        <v>No bioeconomía</v>
      </c>
    </row>
    <row r="122" customFormat="false" ht="14.25" hidden="false" customHeight="false" outlineLevel="0" collapsed="false">
      <c r="A122" s="29" t="s">
        <v>243</v>
      </c>
      <c r="B122" s="58" t="s">
        <v>1835</v>
      </c>
      <c r="C122" s="58" t="s">
        <v>1617</v>
      </c>
      <c r="D122" s="59" t="n">
        <v>1</v>
      </c>
      <c r="E122" s="60" t="s">
        <v>2134</v>
      </c>
      <c r="F122" s="60" t="s">
        <v>2135</v>
      </c>
      <c r="G122" s="1" t="s">
        <v>1602</v>
      </c>
      <c r="H122" s="1" t="n">
        <v>4</v>
      </c>
      <c r="I122" s="1" t="s">
        <v>1602</v>
      </c>
      <c r="J122" s="1" t="s">
        <v>1602</v>
      </c>
      <c r="K122" s="1" t="n">
        <v>38</v>
      </c>
      <c r="L122" s="21" t="str">
        <f aca="false">VLOOKUP(K122,clasif_filas!$A$2:$J$39,2,FALSE())</f>
        <v>Muebles; otros bienes transportables n.c.p.</v>
      </c>
      <c r="M122" s="21" t="n">
        <f aca="false">VLOOKUP(K122,clasif_filas!$A$2:$J$39,3,FALSE())</f>
        <v>38</v>
      </c>
      <c r="N122" s="21" t="str">
        <f aca="false">VLOOKUP(K122,clasif_filas!$A$2:$J$39,4,FALSE())</f>
        <v>Muebles; otros bienes transportables n.c.p.</v>
      </c>
      <c r="O122" s="21" t="n">
        <f aca="false">VLOOKUP(K122,clasif_filas!$A$2:$J$39,5,FALSE())</f>
        <v>99</v>
      </c>
      <c r="P122" s="21" t="str">
        <f aca="false">VLOOKUP(K122,clasif_filas!$A$2:$J$39,6,FALSE())</f>
        <v>No Bioeconomía</v>
      </c>
      <c r="Q122" s="21" t="n">
        <f aca="false">VLOOKUP(K122,clasif_filas!$A$2:$J$39,7,FALSE())</f>
        <v>3</v>
      </c>
      <c r="R122" s="21" t="str">
        <f aca="false">VLOOKUP(K122,clasif_filas!$A$2:$J$39,8,FALSE())</f>
        <v>Otros bienes transportables, excepto productos metálicos, maquinaria y equipo</v>
      </c>
      <c r="S122" s="21" t="n">
        <f aca="false">VLOOKUP(K122,clasif_filas!$A$2:$J$39,9,FALSE())</f>
        <v>3</v>
      </c>
      <c r="T122" s="61" t="str">
        <f aca="false">VLOOKUP(K122,clasif_filas!$A$2:$J$39,10,FALSE())</f>
        <v>No bioeconomía</v>
      </c>
    </row>
    <row r="123" customFormat="false" ht="14.25" hidden="false" customHeight="false" outlineLevel="0" collapsed="false">
      <c r="A123" s="29" t="s">
        <v>245</v>
      </c>
      <c r="B123" s="58" t="s">
        <v>1835</v>
      </c>
      <c r="C123" s="58" t="s">
        <v>1617</v>
      </c>
      <c r="D123" s="59" t="n">
        <v>1</v>
      </c>
      <c r="E123" s="60" t="s">
        <v>2136</v>
      </c>
      <c r="F123" s="60" t="s">
        <v>2137</v>
      </c>
      <c r="G123" s="1" t="s">
        <v>2138</v>
      </c>
      <c r="H123" s="1" t="n">
        <v>1</v>
      </c>
      <c r="I123" s="1" t="s">
        <v>1865</v>
      </c>
      <c r="J123" s="1" t="s">
        <v>1866</v>
      </c>
      <c r="K123" s="1" t="n">
        <v>39</v>
      </c>
      <c r="L123" s="21" t="str">
        <f aca="false">VLOOKUP(K123,clasif_filas!$A$2:$J$39,2,FALSE())</f>
        <v>Desperdicios o desechos</v>
      </c>
      <c r="M123" s="21" t="n">
        <f aca="false">VLOOKUP(K123,clasif_filas!$A$2:$J$39,3,FALSE())</f>
        <v>39</v>
      </c>
      <c r="N123" s="21" t="str">
        <f aca="false">VLOOKUP(K123,clasif_filas!$A$2:$J$39,4,FALSE())</f>
        <v>Desperdicios o desechos</v>
      </c>
      <c r="O123" s="21" t="n">
        <f aca="false">VLOOKUP(K123,clasif_filas!$A$2:$J$39,5,FALSE())</f>
        <v>4</v>
      </c>
      <c r="P123" s="21" t="str">
        <f aca="false">VLOOKUP(K123,clasif_filas!$A$2:$J$39,6,FALSE())</f>
        <v>Biomasa residual en los sectores agropecuario, pesca y acuacultura, forestal y agroindustrial</v>
      </c>
      <c r="Q123" s="21" t="n">
        <f aca="false">VLOOKUP(K123,clasif_filas!$A$2:$J$39,7,FALSE())</f>
        <v>3</v>
      </c>
      <c r="R123" s="21" t="str">
        <f aca="false">VLOOKUP(K123,clasif_filas!$A$2:$J$39,8,FALSE())</f>
        <v>Otros bienes transportables, excepto productos metálicos, maquinaria y equipo</v>
      </c>
      <c r="S123" s="21" t="n">
        <f aca="false">VLOOKUP(K123,clasif_filas!$A$2:$J$39,9,FALSE())</f>
        <v>2</v>
      </c>
      <c r="T123" s="61" t="str">
        <f aca="false">VLOOKUP(K123,clasif_filas!$A$2:$J$39,10,FALSE())</f>
        <v>Bioeconomía extendida</v>
      </c>
    </row>
    <row r="124" customFormat="false" ht="37.55" hidden="false" customHeight="false" outlineLevel="0" collapsed="false">
      <c r="A124" s="29" t="s">
        <v>247</v>
      </c>
      <c r="B124" s="58" t="s">
        <v>1835</v>
      </c>
      <c r="C124" s="58" t="s">
        <v>1617</v>
      </c>
      <c r="D124" s="59" t="n">
        <v>1</v>
      </c>
      <c r="E124" s="60" t="s">
        <v>2139</v>
      </c>
      <c r="F124" s="60" t="s">
        <v>2140</v>
      </c>
      <c r="G124" s="1" t="s">
        <v>1602</v>
      </c>
      <c r="H124" s="1" t="n">
        <v>4</v>
      </c>
      <c r="I124" s="1" t="s">
        <v>1602</v>
      </c>
      <c r="J124" s="1" t="s">
        <v>1602</v>
      </c>
      <c r="K124" s="1" t="n">
        <v>6</v>
      </c>
      <c r="L124" s="21" t="str">
        <f aca="false">VLOOKUP(K124,clasif_filas!$A$2:$J$39,2,FALSE())</f>
        <v>Otros servicios</v>
      </c>
      <c r="M124" s="21" t="n">
        <f aca="false">VLOOKUP(K124,clasif_filas!$A$2:$J$39,3,FALSE())</f>
        <v>6</v>
      </c>
      <c r="N124" s="21" t="str">
        <f aca="false">VLOOKUP(K124,clasif_filas!$A$2:$J$39,4,FALSE())</f>
        <v>Otros servicios</v>
      </c>
      <c r="O124" s="21" t="n">
        <f aca="false">VLOOKUP(K124,clasif_filas!$A$2:$J$39,5,FALSE())</f>
        <v>99</v>
      </c>
      <c r="P124" s="21" t="str">
        <f aca="false">VLOOKUP(K124,clasif_filas!$A$2:$J$39,6,FALSE())</f>
        <v>No Bioeconomía</v>
      </c>
      <c r="Q124" s="21" t="n">
        <f aca="false">VLOOKUP(K124,clasif_filas!$A$2:$J$39,7,FALSE())</f>
        <v>6</v>
      </c>
      <c r="R124" s="21" t="str">
        <f aca="false">VLOOKUP(K124,clasif_filas!$A$2:$J$39,8,FALSE())</f>
        <v>Servicios comerciales de distribución; alojamiento, servicios de suministro de comidas y bebidas; servicios de transporte; y servicios de distribución de electricidad, gas y agua</v>
      </c>
      <c r="S124" s="21" t="n">
        <f aca="false">VLOOKUP(K124,clasif_filas!$A$2:$J$39,9,FALSE())</f>
        <v>3</v>
      </c>
      <c r="T124" s="61" t="str">
        <f aca="false">VLOOKUP(K124,clasif_filas!$A$2:$J$39,10,FALSE())</f>
        <v>No bioeconomía</v>
      </c>
    </row>
    <row r="125" customFormat="false" ht="14.25" hidden="false" customHeight="false" outlineLevel="0" collapsed="false">
      <c r="A125" s="29" t="s">
        <v>249</v>
      </c>
      <c r="B125" s="58" t="s">
        <v>1835</v>
      </c>
      <c r="C125" s="58" t="s">
        <v>1617</v>
      </c>
      <c r="D125" s="59" t="n">
        <v>1</v>
      </c>
      <c r="E125" s="60" t="s">
        <v>2141</v>
      </c>
      <c r="F125" s="60" t="s">
        <v>2142</v>
      </c>
      <c r="G125" s="1" t="s">
        <v>1602</v>
      </c>
      <c r="H125" s="1" t="n">
        <v>4</v>
      </c>
      <c r="I125" s="1" t="s">
        <v>1602</v>
      </c>
      <c r="J125" s="1" t="s">
        <v>1602</v>
      </c>
      <c r="K125" s="1" t="n">
        <v>6</v>
      </c>
      <c r="L125" s="21" t="str">
        <f aca="false">VLOOKUP(K125,clasif_filas!$A$2:$J$39,2,FALSE())</f>
        <v>Otros servicios</v>
      </c>
      <c r="M125" s="21" t="n">
        <f aca="false">VLOOKUP(K125,clasif_filas!$A$2:$J$39,3,FALSE())</f>
        <v>6</v>
      </c>
      <c r="N125" s="21" t="str">
        <f aca="false">VLOOKUP(K125,clasif_filas!$A$2:$J$39,4,FALSE())</f>
        <v>Otros servicios</v>
      </c>
      <c r="O125" s="21" t="n">
        <f aca="false">VLOOKUP(K125,clasif_filas!$A$2:$J$39,5,FALSE())</f>
        <v>99</v>
      </c>
      <c r="P125" s="21" t="str">
        <f aca="false">VLOOKUP(K125,clasif_filas!$A$2:$J$39,6,FALSE())</f>
        <v>No Bioeconomía</v>
      </c>
      <c r="Q125" s="21" t="n">
        <f aca="false">VLOOKUP(K125,clasif_filas!$A$2:$J$39,7,FALSE())</f>
        <v>6</v>
      </c>
      <c r="R125" s="21" t="str">
        <f aca="false">VLOOKUP(K125,clasif_filas!$A$2:$J$39,8,FALSE())</f>
        <v>Servicios comerciales de distribución; alojamiento, servicios de suministro de comidas y bebidas; servicios de transporte; y servicios de distribución de electricidad, gas y agua</v>
      </c>
      <c r="S125" s="21" t="n">
        <f aca="false">VLOOKUP(K125,clasif_filas!$A$2:$J$39,9,FALSE())</f>
        <v>3</v>
      </c>
      <c r="T125" s="61" t="str">
        <f aca="false">VLOOKUP(K125,clasif_filas!$A$2:$J$39,10,FALSE())</f>
        <v>No bioeconomía</v>
      </c>
    </row>
    <row r="126" customFormat="false" ht="25.55" hidden="false" customHeight="false" outlineLevel="0" collapsed="false">
      <c r="A126" s="29" t="s">
        <v>251</v>
      </c>
      <c r="B126" s="58" t="s">
        <v>1835</v>
      </c>
      <c r="C126" s="58" t="s">
        <v>1617</v>
      </c>
      <c r="D126" s="59" t="n">
        <v>1</v>
      </c>
      <c r="E126" s="60" t="s">
        <v>2143</v>
      </c>
      <c r="F126" s="60" t="s">
        <v>2144</v>
      </c>
      <c r="G126" s="1" t="s">
        <v>1941</v>
      </c>
      <c r="H126" s="1" t="n">
        <v>1</v>
      </c>
      <c r="I126" s="1" t="s">
        <v>1865</v>
      </c>
      <c r="J126" s="1" t="s">
        <v>1941</v>
      </c>
      <c r="K126" s="1" t="n">
        <v>69</v>
      </c>
      <c r="L126" s="21" t="str">
        <f aca="false">VLOOKUP(K126,clasif_filas!$A$2:$J$39,2,FALSE())</f>
        <v>Distribución de electricidad, gas y agua (por cuenta propia)</v>
      </c>
      <c r="M126" s="21" t="n">
        <f aca="false">VLOOKUP(K126,clasif_filas!$A$2:$J$39,3,FALSE())</f>
        <v>69</v>
      </c>
      <c r="N126" s="21" t="str">
        <f aca="false">VLOOKUP(K126,clasif_filas!$A$2:$J$39,4,FALSE())</f>
        <v>Distribución de electricidad, gas y agua (por cuenta propia)</v>
      </c>
      <c r="O126" s="21" t="n">
        <f aca="false">VLOOKUP(K126,clasif_filas!$A$2:$J$39,5,FALSE())</f>
        <v>6</v>
      </c>
      <c r="P126" s="21" t="str">
        <f aca="false">VLOOKUP(K126,clasif_filas!$A$2:$J$39,6,FALSE())</f>
        <v>Conocimiento, procesos y servicios relacionados</v>
      </c>
      <c r="Q126" s="21" t="n">
        <f aca="false">VLOOKUP(K126,clasif_filas!$A$2:$J$39,7,FALSE())</f>
        <v>6</v>
      </c>
      <c r="R126" s="21" t="str">
        <f aca="false">VLOOKUP(K126,clasif_filas!$A$2:$J$39,8,FALSE())</f>
        <v>Servicios comerciales de distribución; alojamiento, servicios de suministro de comidas y bebidas; servicios de transporte; y servicios de distribución de electricidad, gas y agua</v>
      </c>
      <c r="S126" s="21" t="n">
        <f aca="false">VLOOKUP(K126,clasif_filas!$A$2:$J$39,9,FALSE())</f>
        <v>2</v>
      </c>
      <c r="T126" s="61" t="str">
        <f aca="false">VLOOKUP(K126,clasif_filas!$A$2:$J$39,10,FALSE())</f>
        <v>Bioeconomía extendida</v>
      </c>
    </row>
    <row r="127" customFormat="false" ht="25.55" hidden="false" customHeight="false" outlineLevel="0" collapsed="false">
      <c r="A127" s="29" t="s">
        <v>253</v>
      </c>
      <c r="B127" s="58" t="s">
        <v>1835</v>
      </c>
      <c r="C127" s="58" t="s">
        <v>1617</v>
      </c>
      <c r="D127" s="59" t="n">
        <v>1</v>
      </c>
      <c r="E127" s="60" t="s">
        <v>2145</v>
      </c>
      <c r="F127" s="60" t="s">
        <v>2146</v>
      </c>
      <c r="G127" s="1" t="s">
        <v>1936</v>
      </c>
      <c r="H127" s="1" t="n">
        <v>3</v>
      </c>
      <c r="I127" s="1" t="s">
        <v>1937</v>
      </c>
      <c r="J127" s="1" t="s">
        <v>1936</v>
      </c>
      <c r="K127" s="1" t="n">
        <v>69</v>
      </c>
      <c r="L127" s="21" t="str">
        <f aca="false">VLOOKUP(K127,clasif_filas!$A$2:$J$39,2,FALSE())</f>
        <v>Distribución de electricidad, gas y agua (por cuenta propia)</v>
      </c>
      <c r="M127" s="21" t="n">
        <f aca="false">VLOOKUP(K127,clasif_filas!$A$2:$J$39,3,FALSE())</f>
        <v>69</v>
      </c>
      <c r="N127" s="21" t="str">
        <f aca="false">VLOOKUP(K127,clasif_filas!$A$2:$J$39,4,FALSE())</f>
        <v>Distribución de electricidad, gas y agua (por cuenta propia)</v>
      </c>
      <c r="O127" s="21" t="n">
        <f aca="false">VLOOKUP(K127,clasif_filas!$A$2:$J$39,5,FALSE())</f>
        <v>6</v>
      </c>
      <c r="P127" s="21" t="str">
        <f aca="false">VLOOKUP(K127,clasif_filas!$A$2:$J$39,6,FALSE())</f>
        <v>Conocimiento, procesos y servicios relacionados</v>
      </c>
      <c r="Q127" s="21" t="n">
        <f aca="false">VLOOKUP(K127,clasif_filas!$A$2:$J$39,7,FALSE())</f>
        <v>6</v>
      </c>
      <c r="R127" s="21" t="str">
        <f aca="false">VLOOKUP(K127,clasif_filas!$A$2:$J$39,8,FALSE())</f>
        <v>Servicios comerciales de distribución; alojamiento, servicios de suministro de comidas y bebidas; servicios de transporte; y servicios de distribución de electricidad, gas y agua</v>
      </c>
      <c r="S127" s="21" t="n">
        <f aca="false">VLOOKUP(K127,clasif_filas!$A$2:$J$39,9,FALSE())</f>
        <v>2</v>
      </c>
      <c r="T127" s="61" t="str">
        <f aca="false">VLOOKUP(K127,clasif_filas!$A$2:$J$39,10,FALSE())</f>
        <v>Bioeconomía extendida</v>
      </c>
    </row>
    <row r="128" customFormat="false" ht="14.25" hidden="false" customHeight="false" outlineLevel="0" collapsed="false">
      <c r="A128" s="29" t="s">
        <v>255</v>
      </c>
      <c r="B128" s="58" t="s">
        <v>1835</v>
      </c>
      <c r="C128" s="58" t="s">
        <v>1617</v>
      </c>
      <c r="D128" s="59" t="n">
        <v>1</v>
      </c>
      <c r="E128" s="60" t="s">
        <v>2147</v>
      </c>
      <c r="F128" s="60" t="s">
        <v>2148</v>
      </c>
      <c r="G128" s="1" t="s">
        <v>1936</v>
      </c>
      <c r="H128" s="1" t="n">
        <v>3</v>
      </c>
      <c r="I128" s="1" t="s">
        <v>1937</v>
      </c>
      <c r="J128" s="1" t="s">
        <v>1936</v>
      </c>
      <c r="K128" s="1" t="n">
        <v>69</v>
      </c>
      <c r="L128" s="21" t="str">
        <f aca="false">VLOOKUP(K128,clasif_filas!$A$2:$J$39,2,FALSE())</f>
        <v>Distribución de electricidad, gas y agua (por cuenta propia)</v>
      </c>
      <c r="M128" s="21" t="n">
        <f aca="false">VLOOKUP(K128,clasif_filas!$A$2:$J$39,3,FALSE())</f>
        <v>69</v>
      </c>
      <c r="N128" s="21" t="str">
        <f aca="false">VLOOKUP(K128,clasif_filas!$A$2:$J$39,4,FALSE())</f>
        <v>Distribución de electricidad, gas y agua (por cuenta propia)</v>
      </c>
      <c r="O128" s="21" t="n">
        <f aca="false">VLOOKUP(K128,clasif_filas!$A$2:$J$39,5,FALSE())</f>
        <v>6</v>
      </c>
      <c r="P128" s="21" t="str">
        <f aca="false">VLOOKUP(K128,clasif_filas!$A$2:$J$39,6,FALSE())</f>
        <v>Conocimiento, procesos y servicios relacionados</v>
      </c>
      <c r="Q128" s="21" t="n">
        <f aca="false">VLOOKUP(K128,clasif_filas!$A$2:$J$39,7,FALSE())</f>
        <v>6</v>
      </c>
      <c r="R128" s="21" t="str">
        <f aca="false">VLOOKUP(K128,clasif_filas!$A$2:$J$39,8,FALSE())</f>
        <v>Servicios comerciales de distribución; alojamiento, servicios de suministro de comidas y bebidas; servicios de transporte; y servicios de distribución de electricidad, gas y agua</v>
      </c>
      <c r="S128" s="21" t="n">
        <f aca="false">VLOOKUP(K128,clasif_filas!$A$2:$J$39,9,FALSE())</f>
        <v>2</v>
      </c>
      <c r="T128" s="61" t="str">
        <f aca="false">VLOOKUP(K128,clasif_filas!$A$2:$J$39,10,FALSE())</f>
        <v>Bioeconomía extendida</v>
      </c>
    </row>
    <row r="129" customFormat="false" ht="25.55" hidden="false" customHeight="false" outlineLevel="0" collapsed="false">
      <c r="A129" s="29" t="s">
        <v>257</v>
      </c>
      <c r="B129" s="58" t="s">
        <v>1835</v>
      </c>
      <c r="C129" s="58" t="s">
        <v>1617</v>
      </c>
      <c r="D129" s="59" t="n">
        <v>1</v>
      </c>
      <c r="E129" s="60" t="s">
        <v>2149</v>
      </c>
      <c r="F129" s="60" t="s">
        <v>2150</v>
      </c>
      <c r="G129" s="1" t="s">
        <v>1936</v>
      </c>
      <c r="H129" s="1" t="n">
        <v>3</v>
      </c>
      <c r="I129" s="1" t="s">
        <v>1937</v>
      </c>
      <c r="J129" s="1" t="s">
        <v>1936</v>
      </c>
      <c r="K129" s="1" t="n">
        <v>69</v>
      </c>
      <c r="L129" s="21" t="str">
        <f aca="false">VLOOKUP(K129,clasif_filas!$A$2:$J$39,2,FALSE())</f>
        <v>Distribución de electricidad, gas y agua (por cuenta propia)</v>
      </c>
      <c r="M129" s="21" t="n">
        <f aca="false">VLOOKUP(K129,clasif_filas!$A$2:$J$39,3,FALSE())</f>
        <v>69</v>
      </c>
      <c r="N129" s="21" t="str">
        <f aca="false">VLOOKUP(K129,clasif_filas!$A$2:$J$39,4,FALSE())</f>
        <v>Distribución de electricidad, gas y agua (por cuenta propia)</v>
      </c>
      <c r="O129" s="21" t="n">
        <f aca="false">VLOOKUP(K129,clasif_filas!$A$2:$J$39,5,FALSE())</f>
        <v>6</v>
      </c>
      <c r="P129" s="21" t="str">
        <f aca="false">VLOOKUP(K129,clasif_filas!$A$2:$J$39,6,FALSE())</f>
        <v>Conocimiento, procesos y servicios relacionados</v>
      </c>
      <c r="Q129" s="21" t="n">
        <f aca="false">VLOOKUP(K129,clasif_filas!$A$2:$J$39,7,FALSE())</f>
        <v>6</v>
      </c>
      <c r="R129" s="21" t="str">
        <f aca="false">VLOOKUP(K129,clasif_filas!$A$2:$J$39,8,FALSE())</f>
        <v>Servicios comerciales de distribución; alojamiento, servicios de suministro de comidas y bebidas; servicios de transporte; y servicios de distribución de electricidad, gas y agua</v>
      </c>
      <c r="S129" s="21" t="n">
        <f aca="false">VLOOKUP(K129,clasif_filas!$A$2:$J$39,9,FALSE())</f>
        <v>2</v>
      </c>
      <c r="T129" s="61" t="str">
        <f aca="false">VLOOKUP(K129,clasif_filas!$A$2:$J$39,10,FALSE())</f>
        <v>Bioeconomía extendida</v>
      </c>
    </row>
    <row r="130" customFormat="false" ht="14.25" hidden="false" customHeight="false" outlineLevel="0" collapsed="false">
      <c r="A130" s="29" t="s">
        <v>259</v>
      </c>
      <c r="B130" s="58" t="s">
        <v>1835</v>
      </c>
      <c r="C130" s="58" t="s">
        <v>1617</v>
      </c>
      <c r="D130" s="59" t="n">
        <v>1</v>
      </c>
      <c r="E130" s="60" t="s">
        <v>2151</v>
      </c>
      <c r="F130" s="60" t="s">
        <v>2152</v>
      </c>
      <c r="G130" s="1" t="s">
        <v>1936</v>
      </c>
      <c r="H130" s="1" t="n">
        <v>3</v>
      </c>
      <c r="I130" s="1" t="s">
        <v>1937</v>
      </c>
      <c r="J130" s="1" t="s">
        <v>1936</v>
      </c>
      <c r="K130" s="1" t="n">
        <v>69</v>
      </c>
      <c r="L130" s="21" t="str">
        <f aca="false">VLOOKUP(K130,clasif_filas!$A$2:$J$39,2,FALSE())</f>
        <v>Distribución de electricidad, gas y agua (por cuenta propia)</v>
      </c>
      <c r="M130" s="21" t="n">
        <f aca="false">VLOOKUP(K130,clasif_filas!$A$2:$J$39,3,FALSE())</f>
        <v>69</v>
      </c>
      <c r="N130" s="21" t="str">
        <f aca="false">VLOOKUP(K130,clasif_filas!$A$2:$J$39,4,FALSE())</f>
        <v>Distribución de electricidad, gas y agua (por cuenta propia)</v>
      </c>
      <c r="O130" s="21" t="n">
        <f aca="false">VLOOKUP(K130,clasif_filas!$A$2:$J$39,5,FALSE())</f>
        <v>6</v>
      </c>
      <c r="P130" s="21" t="str">
        <f aca="false">VLOOKUP(K130,clasif_filas!$A$2:$J$39,6,FALSE())</f>
        <v>Conocimiento, procesos y servicios relacionados</v>
      </c>
      <c r="Q130" s="21" t="n">
        <f aca="false">VLOOKUP(K130,clasif_filas!$A$2:$J$39,7,FALSE())</f>
        <v>6</v>
      </c>
      <c r="R130" s="21" t="str">
        <f aca="false">VLOOKUP(K130,clasif_filas!$A$2:$J$39,8,FALSE())</f>
        <v>Servicios comerciales de distribución; alojamiento, servicios de suministro de comidas y bebidas; servicios de transporte; y servicios de distribución de electricidad, gas y agua</v>
      </c>
      <c r="S130" s="21" t="n">
        <f aca="false">VLOOKUP(K130,clasif_filas!$A$2:$J$39,9,FALSE())</f>
        <v>2</v>
      </c>
      <c r="T130" s="61" t="str">
        <f aca="false">VLOOKUP(K130,clasif_filas!$A$2:$J$39,10,FALSE())</f>
        <v>Bioeconomía extendida</v>
      </c>
    </row>
    <row r="131" customFormat="false" ht="25.55" hidden="false" customHeight="false" outlineLevel="0" collapsed="false">
      <c r="A131" s="29" t="s">
        <v>261</v>
      </c>
      <c r="B131" s="58" t="s">
        <v>1835</v>
      </c>
      <c r="C131" s="58" t="s">
        <v>1617</v>
      </c>
      <c r="D131" s="59" t="n">
        <v>1</v>
      </c>
      <c r="E131" s="60" t="s">
        <v>2153</v>
      </c>
      <c r="F131" s="60" t="s">
        <v>2154</v>
      </c>
      <c r="G131" s="1" t="s">
        <v>2138</v>
      </c>
      <c r="H131" s="1" t="n">
        <v>1</v>
      </c>
      <c r="I131" s="1" t="s">
        <v>1865</v>
      </c>
      <c r="J131" s="1" t="s">
        <v>1866</v>
      </c>
      <c r="K131" s="1" t="n">
        <v>69</v>
      </c>
      <c r="L131" s="21" t="str">
        <f aca="false">VLOOKUP(K131,clasif_filas!$A$2:$J$39,2,FALSE())</f>
        <v>Distribución de electricidad, gas y agua (por cuenta propia)</v>
      </c>
      <c r="M131" s="21" t="n">
        <f aca="false">VLOOKUP(K131,clasif_filas!$A$2:$J$39,3,FALSE())</f>
        <v>69</v>
      </c>
      <c r="N131" s="21" t="str">
        <f aca="false">VLOOKUP(K131,clasif_filas!$A$2:$J$39,4,FALSE())</f>
        <v>Distribución de electricidad, gas y agua (por cuenta propia)</v>
      </c>
      <c r="O131" s="21" t="n">
        <f aca="false">VLOOKUP(K131,clasif_filas!$A$2:$J$39,5,FALSE())</f>
        <v>6</v>
      </c>
      <c r="P131" s="21" t="str">
        <f aca="false">VLOOKUP(K131,clasif_filas!$A$2:$J$39,6,FALSE())</f>
        <v>Conocimiento, procesos y servicios relacionados</v>
      </c>
      <c r="Q131" s="21" t="n">
        <f aca="false">VLOOKUP(K131,clasif_filas!$A$2:$J$39,7,FALSE())</f>
        <v>6</v>
      </c>
      <c r="R131" s="21" t="str">
        <f aca="false">VLOOKUP(K131,clasif_filas!$A$2:$J$39,8,FALSE())</f>
        <v>Servicios comerciales de distribución; alojamiento, servicios de suministro de comidas y bebidas; servicios de transporte; y servicios de distribución de electricidad, gas y agua</v>
      </c>
      <c r="S131" s="21" t="n">
        <f aca="false">VLOOKUP(K131,clasif_filas!$A$2:$J$39,9,FALSE())</f>
        <v>2</v>
      </c>
      <c r="T131" s="61" t="str">
        <f aca="false">VLOOKUP(K131,clasif_filas!$A$2:$J$39,10,FALSE())</f>
        <v>Bioeconomía extendida</v>
      </c>
    </row>
    <row r="132" customFormat="false" ht="14.25" hidden="false" customHeight="false" outlineLevel="0" collapsed="false">
      <c r="A132" s="29" t="s">
        <v>263</v>
      </c>
      <c r="B132" s="58" t="s">
        <v>1835</v>
      </c>
      <c r="C132" s="58" t="s">
        <v>1617</v>
      </c>
      <c r="D132" s="59" t="n">
        <v>1</v>
      </c>
      <c r="E132" s="60" t="s">
        <v>2155</v>
      </c>
      <c r="F132" s="60" t="s">
        <v>2156</v>
      </c>
      <c r="G132" s="1" t="s">
        <v>1602</v>
      </c>
      <c r="H132" s="1" t="n">
        <v>4</v>
      </c>
      <c r="I132" s="1" t="s">
        <v>1602</v>
      </c>
      <c r="J132" s="1" t="s">
        <v>1602</v>
      </c>
      <c r="K132" s="1" t="n">
        <v>5</v>
      </c>
      <c r="L132" s="21" t="str">
        <f aca="false">VLOOKUP(K132,clasif_filas!$A$2:$J$39,2,FALSE())</f>
        <v>Construcciones y servicios de construcción</v>
      </c>
      <c r="M132" s="21" t="n">
        <f aca="false">VLOOKUP(K132,clasif_filas!$A$2:$J$39,3,FALSE())</f>
        <v>53</v>
      </c>
      <c r="N132" s="21" t="str">
        <f aca="false">VLOOKUP(K132,clasif_filas!$A$2:$J$39,4,FALSE())</f>
        <v>Construcciones y servicios de construcción</v>
      </c>
      <c r="O132" s="21" t="n">
        <f aca="false">VLOOKUP(K132,clasif_filas!$A$2:$J$39,5,FALSE())</f>
        <v>99</v>
      </c>
      <c r="P132" s="21" t="str">
        <f aca="false">VLOOKUP(K132,clasif_filas!$A$2:$J$39,6,FALSE())</f>
        <v>No Bioeconomía</v>
      </c>
      <c r="Q132" s="21" t="n">
        <f aca="false">VLOOKUP(K132,clasif_filas!$A$2:$J$39,7,FALSE())</f>
        <v>5</v>
      </c>
      <c r="R132" s="21" t="str">
        <f aca="false">VLOOKUP(K132,clasif_filas!$A$2:$J$39,8,FALSE())</f>
        <v>Construcciones y servicios de construcción</v>
      </c>
      <c r="S132" s="21" t="n">
        <f aca="false">VLOOKUP(K132,clasif_filas!$A$2:$J$39,9,FALSE())</f>
        <v>3</v>
      </c>
      <c r="T132" s="61" t="str">
        <f aca="false">VLOOKUP(K132,clasif_filas!$A$2:$J$39,10,FALSE())</f>
        <v>No bioeconomía</v>
      </c>
    </row>
    <row r="133" customFormat="false" ht="14.25" hidden="false" customHeight="false" outlineLevel="0" collapsed="false">
      <c r="A133" s="29" t="s">
        <v>265</v>
      </c>
      <c r="B133" s="58" t="s">
        <v>1835</v>
      </c>
      <c r="C133" s="58" t="s">
        <v>1617</v>
      </c>
      <c r="D133" s="59" t="n">
        <v>1</v>
      </c>
      <c r="E133" s="60" t="s">
        <v>2157</v>
      </c>
      <c r="F133" s="60" t="s">
        <v>2158</v>
      </c>
      <c r="G133" s="1" t="s">
        <v>1602</v>
      </c>
      <c r="H133" s="1" t="n">
        <v>4</v>
      </c>
      <c r="I133" s="1" t="s">
        <v>1602</v>
      </c>
      <c r="J133" s="1" t="s">
        <v>1602</v>
      </c>
      <c r="K133" s="1" t="n">
        <v>5</v>
      </c>
      <c r="L133" s="21" t="str">
        <f aca="false">VLOOKUP(K133,clasif_filas!$A$2:$J$39,2,FALSE())</f>
        <v>Construcciones y servicios de construcción</v>
      </c>
      <c r="M133" s="21" t="n">
        <f aca="false">VLOOKUP(K133,clasif_filas!$A$2:$J$39,3,FALSE())</f>
        <v>53</v>
      </c>
      <c r="N133" s="21" t="str">
        <f aca="false">VLOOKUP(K133,clasif_filas!$A$2:$J$39,4,FALSE())</f>
        <v>Construcciones y servicios de construcción</v>
      </c>
      <c r="O133" s="21" t="n">
        <f aca="false">VLOOKUP(K133,clasif_filas!$A$2:$J$39,5,FALSE())</f>
        <v>99</v>
      </c>
      <c r="P133" s="21" t="str">
        <f aca="false">VLOOKUP(K133,clasif_filas!$A$2:$J$39,6,FALSE())</f>
        <v>No Bioeconomía</v>
      </c>
      <c r="Q133" s="21" t="n">
        <f aca="false">VLOOKUP(K133,clasif_filas!$A$2:$J$39,7,FALSE())</f>
        <v>5</v>
      </c>
      <c r="R133" s="21" t="str">
        <f aca="false">VLOOKUP(K133,clasif_filas!$A$2:$J$39,8,FALSE())</f>
        <v>Construcciones y servicios de construcción</v>
      </c>
      <c r="S133" s="21" t="n">
        <f aca="false">VLOOKUP(K133,clasif_filas!$A$2:$J$39,9,FALSE())</f>
        <v>3</v>
      </c>
      <c r="T133" s="61" t="str">
        <f aca="false">VLOOKUP(K133,clasif_filas!$A$2:$J$39,10,FALSE())</f>
        <v>No bioeconomía</v>
      </c>
    </row>
    <row r="134" customFormat="false" ht="14.25" hidden="false" customHeight="false" outlineLevel="0" collapsed="false">
      <c r="A134" s="29" t="s">
        <v>267</v>
      </c>
      <c r="B134" s="58" t="s">
        <v>1835</v>
      </c>
      <c r="C134" s="58" t="s">
        <v>1617</v>
      </c>
      <c r="D134" s="59" t="n">
        <v>1</v>
      </c>
      <c r="E134" s="63" t="s">
        <v>2159</v>
      </c>
      <c r="F134" s="63" t="s">
        <v>2160</v>
      </c>
      <c r="G134" s="1" t="s">
        <v>1602</v>
      </c>
      <c r="H134" s="1" t="n">
        <v>4</v>
      </c>
      <c r="I134" s="1" t="s">
        <v>1602</v>
      </c>
      <c r="J134" s="1" t="s">
        <v>1602</v>
      </c>
      <c r="K134" s="1" t="n">
        <v>5</v>
      </c>
      <c r="L134" s="21" t="str">
        <f aca="false">VLOOKUP(K134,clasif_filas!$A$2:$J$39,2,FALSE())</f>
        <v>Construcciones y servicios de construcción</v>
      </c>
      <c r="M134" s="21" t="n">
        <f aca="false">VLOOKUP(K134,clasif_filas!$A$2:$J$39,3,FALSE())</f>
        <v>53</v>
      </c>
      <c r="N134" s="21" t="str">
        <f aca="false">VLOOKUP(K134,clasif_filas!$A$2:$J$39,4,FALSE())</f>
        <v>Construcciones y servicios de construcción</v>
      </c>
      <c r="O134" s="21" t="n">
        <f aca="false">VLOOKUP(K134,clasif_filas!$A$2:$J$39,5,FALSE())</f>
        <v>99</v>
      </c>
      <c r="P134" s="21" t="str">
        <f aca="false">VLOOKUP(K134,clasif_filas!$A$2:$J$39,6,FALSE())</f>
        <v>No Bioeconomía</v>
      </c>
      <c r="Q134" s="21" t="n">
        <f aca="false">VLOOKUP(K134,clasif_filas!$A$2:$J$39,7,FALSE())</f>
        <v>5</v>
      </c>
      <c r="R134" s="21" t="str">
        <f aca="false">VLOOKUP(K134,clasif_filas!$A$2:$J$39,8,FALSE())</f>
        <v>Construcciones y servicios de construcción</v>
      </c>
      <c r="S134" s="21" t="n">
        <f aca="false">VLOOKUP(K134,clasif_filas!$A$2:$J$39,9,FALSE())</f>
        <v>3</v>
      </c>
      <c r="T134" s="61" t="str">
        <f aca="false">VLOOKUP(K134,clasif_filas!$A$2:$J$39,10,FALSE())</f>
        <v>No bioeconomía</v>
      </c>
    </row>
    <row r="135" customFormat="false" ht="14.25" hidden="false" customHeight="false" outlineLevel="0" collapsed="false">
      <c r="A135" s="29" t="s">
        <v>269</v>
      </c>
      <c r="B135" s="58" t="s">
        <v>1835</v>
      </c>
      <c r="C135" s="58" t="s">
        <v>1617</v>
      </c>
      <c r="D135" s="59" t="n">
        <v>1</v>
      </c>
      <c r="E135" s="60" t="s">
        <v>2161</v>
      </c>
      <c r="F135" s="60" t="s">
        <v>2162</v>
      </c>
      <c r="G135" s="1" t="s">
        <v>1602</v>
      </c>
      <c r="H135" s="1" t="n">
        <v>4</v>
      </c>
      <c r="I135" s="1" t="s">
        <v>1602</v>
      </c>
      <c r="J135" s="1" t="s">
        <v>1602</v>
      </c>
      <c r="K135" s="1" t="n">
        <v>5</v>
      </c>
      <c r="L135" s="21" t="str">
        <f aca="false">VLOOKUP(K135,clasif_filas!$A$2:$J$39,2,FALSE())</f>
        <v>Construcciones y servicios de construcción</v>
      </c>
      <c r="M135" s="21" t="n">
        <f aca="false">VLOOKUP(K135,clasif_filas!$A$2:$J$39,3,FALSE())</f>
        <v>53</v>
      </c>
      <c r="N135" s="21" t="str">
        <f aca="false">VLOOKUP(K135,clasif_filas!$A$2:$J$39,4,FALSE())</f>
        <v>Construcciones y servicios de construcción</v>
      </c>
      <c r="O135" s="21" t="n">
        <f aca="false">VLOOKUP(K135,clasif_filas!$A$2:$J$39,5,FALSE())</f>
        <v>99</v>
      </c>
      <c r="P135" s="21" t="str">
        <f aca="false">VLOOKUP(K135,clasif_filas!$A$2:$J$39,6,FALSE())</f>
        <v>No Bioeconomía</v>
      </c>
      <c r="Q135" s="21" t="n">
        <f aca="false">VLOOKUP(K135,clasif_filas!$A$2:$J$39,7,FALSE())</f>
        <v>5</v>
      </c>
      <c r="R135" s="21" t="str">
        <f aca="false">VLOOKUP(K135,clasif_filas!$A$2:$J$39,8,FALSE())</f>
        <v>Construcciones y servicios de construcción</v>
      </c>
      <c r="S135" s="21" t="n">
        <f aca="false">VLOOKUP(K135,clasif_filas!$A$2:$J$39,9,FALSE())</f>
        <v>3</v>
      </c>
      <c r="T135" s="61" t="str">
        <f aca="false">VLOOKUP(K135,clasif_filas!$A$2:$J$39,10,FALSE())</f>
        <v>No bioeconomía</v>
      </c>
    </row>
    <row r="136" customFormat="false" ht="14.25" hidden="false" customHeight="false" outlineLevel="0" collapsed="false">
      <c r="A136" s="29" t="s">
        <v>271</v>
      </c>
      <c r="B136" s="58" t="s">
        <v>1835</v>
      </c>
      <c r="C136" s="58" t="s">
        <v>1617</v>
      </c>
      <c r="D136" s="59" t="n">
        <v>1</v>
      </c>
      <c r="E136" s="60" t="s">
        <v>2163</v>
      </c>
      <c r="F136" s="60" t="s">
        <v>2164</v>
      </c>
      <c r="G136" s="1" t="s">
        <v>1602</v>
      </c>
      <c r="H136" s="1" t="n">
        <v>4</v>
      </c>
      <c r="I136" s="1" t="s">
        <v>1602</v>
      </c>
      <c r="J136" s="1" t="s">
        <v>1602</v>
      </c>
      <c r="K136" s="1" t="n">
        <v>6</v>
      </c>
      <c r="L136" s="21" t="str">
        <f aca="false">VLOOKUP(K136,clasif_filas!$A$2:$J$39,2,FALSE())</f>
        <v>Otros servicios</v>
      </c>
      <c r="M136" s="21" t="n">
        <f aca="false">VLOOKUP(K136,clasif_filas!$A$2:$J$39,3,FALSE())</f>
        <v>6</v>
      </c>
      <c r="N136" s="21" t="str">
        <f aca="false">VLOOKUP(K136,clasif_filas!$A$2:$J$39,4,FALSE())</f>
        <v>Otros servicios</v>
      </c>
      <c r="O136" s="21" t="n">
        <f aca="false">VLOOKUP(K136,clasif_filas!$A$2:$J$39,5,FALSE())</f>
        <v>99</v>
      </c>
      <c r="P136" s="21" t="str">
        <f aca="false">VLOOKUP(K136,clasif_filas!$A$2:$J$39,6,FALSE())</f>
        <v>No Bioeconomía</v>
      </c>
      <c r="Q136" s="21" t="n">
        <f aca="false">VLOOKUP(K136,clasif_filas!$A$2:$J$39,7,FALSE())</f>
        <v>6</v>
      </c>
      <c r="R136" s="21" t="str">
        <f aca="false">VLOOKUP(K136,clasif_filas!$A$2:$J$39,8,FALSE())</f>
        <v>Servicios comerciales de distribución; alojamiento, servicios de suministro de comidas y bebidas; servicios de transporte; y servicios de distribución de electricidad, gas y agua</v>
      </c>
      <c r="S136" s="21" t="n">
        <f aca="false">VLOOKUP(K136,clasif_filas!$A$2:$J$39,9,FALSE())</f>
        <v>3</v>
      </c>
      <c r="T136" s="61" t="str">
        <f aca="false">VLOOKUP(K136,clasif_filas!$A$2:$J$39,10,FALSE())</f>
        <v>No bioeconomía</v>
      </c>
    </row>
    <row r="137" customFormat="false" ht="25.55" hidden="false" customHeight="false" outlineLevel="0" collapsed="false">
      <c r="A137" s="29" t="s">
        <v>273</v>
      </c>
      <c r="B137" s="58" t="s">
        <v>1835</v>
      </c>
      <c r="C137" s="58" t="s">
        <v>1617</v>
      </c>
      <c r="D137" s="59" t="n">
        <v>1</v>
      </c>
      <c r="E137" s="60" t="s">
        <v>2165</v>
      </c>
      <c r="F137" s="60" t="s">
        <v>2166</v>
      </c>
      <c r="G137" s="1" t="s">
        <v>1602</v>
      </c>
      <c r="H137" s="1" t="n">
        <v>4</v>
      </c>
      <c r="I137" s="1" t="s">
        <v>1602</v>
      </c>
      <c r="J137" s="1" t="s">
        <v>1602</v>
      </c>
      <c r="K137" s="1" t="n">
        <v>6</v>
      </c>
      <c r="L137" s="21" t="str">
        <f aca="false">VLOOKUP(K137,clasif_filas!$A$2:$J$39,2,FALSE())</f>
        <v>Otros servicios</v>
      </c>
      <c r="M137" s="21" t="n">
        <f aca="false">VLOOKUP(K137,clasif_filas!$A$2:$J$39,3,FALSE())</f>
        <v>6</v>
      </c>
      <c r="N137" s="21" t="str">
        <f aca="false">VLOOKUP(K137,clasif_filas!$A$2:$J$39,4,FALSE())</f>
        <v>Otros servicios</v>
      </c>
      <c r="O137" s="21" t="n">
        <f aca="false">VLOOKUP(K137,clasif_filas!$A$2:$J$39,5,FALSE())</f>
        <v>99</v>
      </c>
      <c r="P137" s="21" t="str">
        <f aca="false">VLOOKUP(K137,clasif_filas!$A$2:$J$39,6,FALSE())</f>
        <v>No Bioeconomía</v>
      </c>
      <c r="Q137" s="21" t="n">
        <f aca="false">VLOOKUP(K137,clasif_filas!$A$2:$J$39,7,FALSE())</f>
        <v>6</v>
      </c>
      <c r="R137" s="21" t="str">
        <f aca="false">VLOOKUP(K137,clasif_filas!$A$2:$J$39,8,FALSE())</f>
        <v>Servicios comerciales de distribución; alojamiento, servicios de suministro de comidas y bebidas; servicios de transporte; y servicios de distribución de electricidad, gas y agua</v>
      </c>
      <c r="S137" s="21" t="n">
        <f aca="false">VLOOKUP(K137,clasif_filas!$A$2:$J$39,9,FALSE())</f>
        <v>3</v>
      </c>
      <c r="T137" s="61" t="str">
        <f aca="false">VLOOKUP(K137,clasif_filas!$A$2:$J$39,10,FALSE())</f>
        <v>No bioeconomía</v>
      </c>
    </row>
    <row r="138" customFormat="false" ht="25.55" hidden="false" customHeight="false" outlineLevel="0" collapsed="false">
      <c r="A138" s="29" t="s">
        <v>275</v>
      </c>
      <c r="B138" s="58" t="s">
        <v>1835</v>
      </c>
      <c r="C138" s="58" t="s">
        <v>1617</v>
      </c>
      <c r="D138" s="59" t="n">
        <v>1</v>
      </c>
      <c r="E138" s="60" t="s">
        <v>2167</v>
      </c>
      <c r="F138" s="60" t="s">
        <v>2168</v>
      </c>
      <c r="G138" s="1" t="s">
        <v>1602</v>
      </c>
      <c r="H138" s="1" t="n">
        <v>4</v>
      </c>
      <c r="I138" s="1" t="s">
        <v>1602</v>
      </c>
      <c r="J138" s="1" t="s">
        <v>1602</v>
      </c>
      <c r="K138" s="1" t="n">
        <v>6</v>
      </c>
      <c r="L138" s="21" t="str">
        <f aca="false">VLOOKUP(K138,clasif_filas!$A$2:$J$39,2,FALSE())</f>
        <v>Otros servicios</v>
      </c>
      <c r="M138" s="21" t="n">
        <f aca="false">VLOOKUP(K138,clasif_filas!$A$2:$J$39,3,FALSE())</f>
        <v>6</v>
      </c>
      <c r="N138" s="21" t="str">
        <f aca="false">VLOOKUP(K138,clasif_filas!$A$2:$J$39,4,FALSE())</f>
        <v>Otros servicios</v>
      </c>
      <c r="O138" s="21" t="n">
        <f aca="false">VLOOKUP(K138,clasif_filas!$A$2:$J$39,5,FALSE())</f>
        <v>99</v>
      </c>
      <c r="P138" s="21" t="str">
        <f aca="false">VLOOKUP(K138,clasif_filas!$A$2:$J$39,6,FALSE())</f>
        <v>No Bioeconomía</v>
      </c>
      <c r="Q138" s="21" t="n">
        <f aca="false">VLOOKUP(K138,clasif_filas!$A$2:$J$39,7,FALSE())</f>
        <v>6</v>
      </c>
      <c r="R138" s="21" t="str">
        <f aca="false">VLOOKUP(K138,clasif_filas!$A$2:$J$39,8,FALSE())</f>
        <v>Servicios comerciales de distribución; alojamiento, servicios de suministro de comidas y bebidas; servicios de transporte; y servicios de distribución de electricidad, gas y agua</v>
      </c>
      <c r="S138" s="21" t="n">
        <f aca="false">VLOOKUP(K138,clasif_filas!$A$2:$J$39,9,FALSE())</f>
        <v>3</v>
      </c>
      <c r="T138" s="61" t="str">
        <f aca="false">VLOOKUP(K138,clasif_filas!$A$2:$J$39,10,FALSE())</f>
        <v>No bioeconomía</v>
      </c>
    </row>
    <row r="139" customFormat="false" ht="25.55" hidden="false" customHeight="false" outlineLevel="0" collapsed="false">
      <c r="A139" s="29" t="s">
        <v>277</v>
      </c>
      <c r="B139" s="58" t="s">
        <v>1835</v>
      </c>
      <c r="C139" s="58" t="s">
        <v>1617</v>
      </c>
      <c r="D139" s="59" t="n">
        <v>1</v>
      </c>
      <c r="E139" s="60" t="s">
        <v>2169</v>
      </c>
      <c r="F139" s="60" t="s">
        <v>2170</v>
      </c>
      <c r="G139" s="1" t="s">
        <v>1602</v>
      </c>
      <c r="H139" s="1" t="n">
        <v>4</v>
      </c>
      <c r="I139" s="1" t="s">
        <v>1602</v>
      </c>
      <c r="J139" s="1" t="s">
        <v>1602</v>
      </c>
      <c r="K139" s="1" t="n">
        <v>6</v>
      </c>
      <c r="L139" s="21" t="str">
        <f aca="false">VLOOKUP(K139,clasif_filas!$A$2:$J$39,2,FALSE())</f>
        <v>Otros servicios</v>
      </c>
      <c r="M139" s="21" t="n">
        <f aca="false">VLOOKUP(K139,clasif_filas!$A$2:$J$39,3,FALSE())</f>
        <v>6</v>
      </c>
      <c r="N139" s="21" t="str">
        <f aca="false">VLOOKUP(K139,clasif_filas!$A$2:$J$39,4,FALSE())</f>
        <v>Otros servicios</v>
      </c>
      <c r="O139" s="21" t="n">
        <f aca="false">VLOOKUP(K139,clasif_filas!$A$2:$J$39,5,FALSE())</f>
        <v>99</v>
      </c>
      <c r="P139" s="21" t="str">
        <f aca="false">VLOOKUP(K139,clasif_filas!$A$2:$J$39,6,FALSE())</f>
        <v>No Bioeconomía</v>
      </c>
      <c r="Q139" s="21" t="n">
        <f aca="false">VLOOKUP(K139,clasif_filas!$A$2:$J$39,7,FALSE())</f>
        <v>6</v>
      </c>
      <c r="R139" s="21" t="str">
        <f aca="false">VLOOKUP(K139,clasif_filas!$A$2:$J$39,8,FALSE())</f>
        <v>Servicios comerciales de distribución; alojamiento, servicios de suministro de comidas y bebidas; servicios de transporte; y servicios de distribución de electricidad, gas y agua</v>
      </c>
      <c r="S139" s="21" t="n">
        <f aca="false">VLOOKUP(K139,clasif_filas!$A$2:$J$39,9,FALSE())</f>
        <v>3</v>
      </c>
      <c r="T139" s="61" t="str">
        <f aca="false">VLOOKUP(K139,clasif_filas!$A$2:$J$39,10,FALSE())</f>
        <v>No bioeconomía</v>
      </c>
    </row>
    <row r="140" customFormat="false" ht="14.25" hidden="false" customHeight="false" outlineLevel="0" collapsed="false">
      <c r="A140" s="29" t="s">
        <v>279</v>
      </c>
      <c r="B140" s="58" t="s">
        <v>1835</v>
      </c>
      <c r="C140" s="58" t="s">
        <v>1617</v>
      </c>
      <c r="D140" s="59" t="n">
        <v>1</v>
      </c>
      <c r="E140" s="60" t="s">
        <v>2171</v>
      </c>
      <c r="F140" s="60" t="s">
        <v>2172</v>
      </c>
      <c r="G140" s="1" t="s">
        <v>1602</v>
      </c>
      <c r="H140" s="1" t="n">
        <v>4</v>
      </c>
      <c r="I140" s="1" t="s">
        <v>1602</v>
      </c>
      <c r="J140" s="1" t="s">
        <v>1602</v>
      </c>
      <c r="K140" s="1" t="n">
        <v>6</v>
      </c>
      <c r="L140" s="21" t="str">
        <f aca="false">VLOOKUP(K140,clasif_filas!$A$2:$J$39,2,FALSE())</f>
        <v>Otros servicios</v>
      </c>
      <c r="M140" s="21" t="n">
        <f aca="false">VLOOKUP(K140,clasif_filas!$A$2:$J$39,3,FALSE())</f>
        <v>6</v>
      </c>
      <c r="N140" s="21" t="str">
        <f aca="false">VLOOKUP(K140,clasif_filas!$A$2:$J$39,4,FALSE())</f>
        <v>Otros servicios</v>
      </c>
      <c r="O140" s="21" t="n">
        <f aca="false">VLOOKUP(K140,clasif_filas!$A$2:$J$39,5,FALSE())</f>
        <v>99</v>
      </c>
      <c r="P140" s="21" t="str">
        <f aca="false">VLOOKUP(K140,clasif_filas!$A$2:$J$39,6,FALSE())</f>
        <v>No Bioeconomía</v>
      </c>
      <c r="Q140" s="21" t="n">
        <f aca="false">VLOOKUP(K140,clasif_filas!$A$2:$J$39,7,FALSE())</f>
        <v>6</v>
      </c>
      <c r="R140" s="21" t="str">
        <f aca="false">VLOOKUP(K140,clasif_filas!$A$2:$J$39,8,FALSE())</f>
        <v>Servicios comerciales de distribución; alojamiento, servicios de suministro de comidas y bebidas; servicios de transporte; y servicios de distribución de electricidad, gas y agua</v>
      </c>
      <c r="S140" s="21" t="n">
        <f aca="false">VLOOKUP(K140,clasif_filas!$A$2:$J$39,9,FALSE())</f>
        <v>3</v>
      </c>
      <c r="T140" s="61" t="str">
        <f aca="false">VLOOKUP(K140,clasif_filas!$A$2:$J$39,10,FALSE())</f>
        <v>No bioeconomía</v>
      </c>
    </row>
    <row r="141" customFormat="false" ht="14.25" hidden="false" customHeight="false" outlineLevel="0" collapsed="false">
      <c r="A141" s="29" t="s">
        <v>281</v>
      </c>
      <c r="B141" s="58" t="s">
        <v>1835</v>
      </c>
      <c r="C141" s="58" t="s">
        <v>1617</v>
      </c>
      <c r="D141" s="59" t="n">
        <v>1</v>
      </c>
      <c r="E141" s="60" t="s">
        <v>2173</v>
      </c>
      <c r="F141" s="60" t="s">
        <v>2174</v>
      </c>
      <c r="G141" s="1" t="s">
        <v>1602</v>
      </c>
      <c r="H141" s="1" t="n">
        <v>4</v>
      </c>
      <c r="I141" s="1" t="s">
        <v>1602</v>
      </c>
      <c r="J141" s="1" t="s">
        <v>1602</v>
      </c>
      <c r="K141" s="1" t="n">
        <v>6</v>
      </c>
      <c r="L141" s="21" t="str">
        <f aca="false">VLOOKUP(K141,clasif_filas!$A$2:$J$39,2,FALSE())</f>
        <v>Otros servicios</v>
      </c>
      <c r="M141" s="21" t="n">
        <f aca="false">VLOOKUP(K141,clasif_filas!$A$2:$J$39,3,FALSE())</f>
        <v>6</v>
      </c>
      <c r="N141" s="21" t="str">
        <f aca="false">VLOOKUP(K141,clasif_filas!$A$2:$J$39,4,FALSE())</f>
        <v>Otros servicios</v>
      </c>
      <c r="O141" s="21" t="n">
        <f aca="false">VLOOKUP(K141,clasif_filas!$A$2:$J$39,5,FALSE())</f>
        <v>99</v>
      </c>
      <c r="P141" s="21" t="str">
        <f aca="false">VLOOKUP(K141,clasif_filas!$A$2:$J$39,6,FALSE())</f>
        <v>No Bioeconomía</v>
      </c>
      <c r="Q141" s="21" t="n">
        <f aca="false">VLOOKUP(K141,clasif_filas!$A$2:$J$39,7,FALSE())</f>
        <v>6</v>
      </c>
      <c r="R141" s="21" t="str">
        <f aca="false">VLOOKUP(K141,clasif_filas!$A$2:$J$39,8,FALSE())</f>
        <v>Servicios comerciales de distribución; alojamiento, servicios de suministro de comidas y bebidas; servicios de transporte; y servicios de distribución de electricidad, gas y agua</v>
      </c>
      <c r="S141" s="21" t="n">
        <f aca="false">VLOOKUP(K141,clasif_filas!$A$2:$J$39,9,FALSE())</f>
        <v>3</v>
      </c>
      <c r="T141" s="61" t="str">
        <f aca="false">VLOOKUP(K141,clasif_filas!$A$2:$J$39,10,FALSE())</f>
        <v>No bioeconomía</v>
      </c>
    </row>
    <row r="142" customFormat="false" ht="25.55" hidden="false" customHeight="false" outlineLevel="0" collapsed="false">
      <c r="A142" s="29" t="s">
        <v>283</v>
      </c>
      <c r="B142" s="58" t="s">
        <v>1835</v>
      </c>
      <c r="C142" s="58" t="s">
        <v>1617</v>
      </c>
      <c r="D142" s="59" t="n">
        <v>1</v>
      </c>
      <c r="E142" s="60" t="s">
        <v>2175</v>
      </c>
      <c r="F142" s="60" t="s">
        <v>2176</v>
      </c>
      <c r="G142" s="1" t="s">
        <v>1602</v>
      </c>
      <c r="H142" s="1" t="n">
        <v>4</v>
      </c>
      <c r="I142" s="1" t="s">
        <v>1602</v>
      </c>
      <c r="J142" s="1" t="s">
        <v>1602</v>
      </c>
      <c r="K142" s="1" t="n">
        <v>6</v>
      </c>
      <c r="L142" s="21" t="str">
        <f aca="false">VLOOKUP(K142,clasif_filas!$A$2:$J$39,2,FALSE())</f>
        <v>Otros servicios</v>
      </c>
      <c r="M142" s="21" t="n">
        <f aca="false">VLOOKUP(K142,clasif_filas!$A$2:$J$39,3,FALSE())</f>
        <v>6</v>
      </c>
      <c r="N142" s="21" t="str">
        <f aca="false">VLOOKUP(K142,clasif_filas!$A$2:$J$39,4,FALSE())</f>
        <v>Otros servicios</v>
      </c>
      <c r="O142" s="21" t="n">
        <f aca="false">VLOOKUP(K142,clasif_filas!$A$2:$J$39,5,FALSE())</f>
        <v>99</v>
      </c>
      <c r="P142" s="21" t="str">
        <f aca="false">VLOOKUP(K142,clasif_filas!$A$2:$J$39,6,FALSE())</f>
        <v>No Bioeconomía</v>
      </c>
      <c r="Q142" s="21" t="n">
        <f aca="false">VLOOKUP(K142,clasif_filas!$A$2:$J$39,7,FALSE())</f>
        <v>6</v>
      </c>
      <c r="R142" s="21" t="str">
        <f aca="false">VLOOKUP(K142,clasif_filas!$A$2:$J$39,8,FALSE())</f>
        <v>Servicios comerciales de distribución; alojamiento, servicios de suministro de comidas y bebidas; servicios de transporte; y servicios de distribución de electricidad, gas y agua</v>
      </c>
      <c r="S142" s="21" t="n">
        <f aca="false">VLOOKUP(K142,clasif_filas!$A$2:$J$39,9,FALSE())</f>
        <v>3</v>
      </c>
      <c r="T142" s="61" t="str">
        <f aca="false">VLOOKUP(K142,clasif_filas!$A$2:$J$39,10,FALSE())</f>
        <v>No bioeconomía</v>
      </c>
    </row>
    <row r="143" customFormat="false" ht="25.55" hidden="false" customHeight="false" outlineLevel="0" collapsed="false">
      <c r="A143" s="29" t="s">
        <v>285</v>
      </c>
      <c r="B143" s="58" t="s">
        <v>1835</v>
      </c>
      <c r="C143" s="58" t="s">
        <v>1617</v>
      </c>
      <c r="D143" s="59" t="n">
        <v>1</v>
      </c>
      <c r="E143" s="60" t="s">
        <v>2177</v>
      </c>
      <c r="F143" s="60" t="s">
        <v>2178</v>
      </c>
      <c r="G143" s="1" t="s">
        <v>1602</v>
      </c>
      <c r="H143" s="1" t="n">
        <v>4</v>
      </c>
      <c r="I143" s="1" t="s">
        <v>1602</v>
      </c>
      <c r="J143" s="1" t="s">
        <v>1602</v>
      </c>
      <c r="K143" s="1" t="n">
        <v>6</v>
      </c>
      <c r="L143" s="21" t="str">
        <f aca="false">VLOOKUP(K143,clasif_filas!$A$2:$J$39,2,FALSE())</f>
        <v>Otros servicios</v>
      </c>
      <c r="M143" s="21" t="n">
        <f aca="false">VLOOKUP(K143,clasif_filas!$A$2:$J$39,3,FALSE())</f>
        <v>6</v>
      </c>
      <c r="N143" s="21" t="str">
        <f aca="false">VLOOKUP(K143,clasif_filas!$A$2:$J$39,4,FALSE())</f>
        <v>Otros servicios</v>
      </c>
      <c r="O143" s="21" t="n">
        <f aca="false">VLOOKUP(K143,clasif_filas!$A$2:$J$39,5,FALSE())</f>
        <v>99</v>
      </c>
      <c r="P143" s="21" t="str">
        <f aca="false">VLOOKUP(K143,clasif_filas!$A$2:$J$39,6,FALSE())</f>
        <v>No Bioeconomía</v>
      </c>
      <c r="Q143" s="21" t="n">
        <f aca="false">VLOOKUP(K143,clasif_filas!$A$2:$J$39,7,FALSE())</f>
        <v>6</v>
      </c>
      <c r="R143" s="21" t="str">
        <f aca="false">VLOOKUP(K143,clasif_filas!$A$2:$J$39,8,FALSE())</f>
        <v>Servicios comerciales de distribución; alojamiento, servicios de suministro de comidas y bebidas; servicios de transporte; y servicios de distribución de electricidad, gas y agua</v>
      </c>
      <c r="S143" s="21" t="n">
        <f aca="false">VLOOKUP(K143,clasif_filas!$A$2:$J$39,9,FALSE())</f>
        <v>3</v>
      </c>
      <c r="T143" s="61" t="str">
        <f aca="false">VLOOKUP(K143,clasif_filas!$A$2:$J$39,10,FALSE())</f>
        <v>No bioeconomía</v>
      </c>
    </row>
    <row r="144" customFormat="false" ht="25.55" hidden="false" customHeight="false" outlineLevel="0" collapsed="false">
      <c r="A144" s="29" t="s">
        <v>287</v>
      </c>
      <c r="B144" s="58" t="s">
        <v>1835</v>
      </c>
      <c r="C144" s="58" t="s">
        <v>1617</v>
      </c>
      <c r="D144" s="59" t="n">
        <v>1</v>
      </c>
      <c r="E144" s="60" t="s">
        <v>2179</v>
      </c>
      <c r="F144" s="60" t="s">
        <v>2180</v>
      </c>
      <c r="G144" s="1" t="s">
        <v>1602</v>
      </c>
      <c r="H144" s="1" t="n">
        <v>4</v>
      </c>
      <c r="I144" s="1" t="s">
        <v>1602</v>
      </c>
      <c r="J144" s="1" t="s">
        <v>1602</v>
      </c>
      <c r="K144" s="1" t="n">
        <v>6</v>
      </c>
      <c r="L144" s="21" t="str">
        <f aca="false">VLOOKUP(K144,clasif_filas!$A$2:$J$39,2,FALSE())</f>
        <v>Otros servicios</v>
      </c>
      <c r="M144" s="21" t="n">
        <f aca="false">VLOOKUP(K144,clasif_filas!$A$2:$J$39,3,FALSE())</f>
        <v>6</v>
      </c>
      <c r="N144" s="21" t="str">
        <f aca="false">VLOOKUP(K144,clasif_filas!$A$2:$J$39,4,FALSE())</f>
        <v>Otros servicios</v>
      </c>
      <c r="O144" s="21" t="n">
        <f aca="false">VLOOKUP(K144,clasif_filas!$A$2:$J$39,5,FALSE())</f>
        <v>99</v>
      </c>
      <c r="P144" s="21" t="str">
        <f aca="false">VLOOKUP(K144,clasif_filas!$A$2:$J$39,6,FALSE())</f>
        <v>No Bioeconomía</v>
      </c>
      <c r="Q144" s="21" t="n">
        <f aca="false">VLOOKUP(K144,clasif_filas!$A$2:$J$39,7,FALSE())</f>
        <v>6</v>
      </c>
      <c r="R144" s="21" t="str">
        <f aca="false">VLOOKUP(K144,clasif_filas!$A$2:$J$39,8,FALSE())</f>
        <v>Servicios comerciales de distribución; alojamiento, servicios de suministro de comidas y bebidas; servicios de transporte; y servicios de distribución de electricidad, gas y agua</v>
      </c>
      <c r="S144" s="21" t="n">
        <f aca="false">VLOOKUP(K144,clasif_filas!$A$2:$J$39,9,FALSE())</f>
        <v>3</v>
      </c>
      <c r="T144" s="61" t="str">
        <f aca="false">VLOOKUP(K144,clasif_filas!$A$2:$J$39,10,FALSE())</f>
        <v>No bioeconomía</v>
      </c>
    </row>
    <row r="145" customFormat="false" ht="14.25" hidden="false" customHeight="false" outlineLevel="0" collapsed="false">
      <c r="A145" s="29" t="s">
        <v>289</v>
      </c>
      <c r="B145" s="58" t="s">
        <v>1835</v>
      </c>
      <c r="C145" s="58" t="s">
        <v>1617</v>
      </c>
      <c r="D145" s="59" t="n">
        <v>1</v>
      </c>
      <c r="E145" s="60" t="s">
        <v>2181</v>
      </c>
      <c r="F145" s="60" t="s">
        <v>2182</v>
      </c>
      <c r="G145" s="1" t="s">
        <v>1602</v>
      </c>
      <c r="H145" s="1" t="n">
        <v>4</v>
      </c>
      <c r="I145" s="1" t="s">
        <v>1602</v>
      </c>
      <c r="J145" s="1" t="s">
        <v>1602</v>
      </c>
      <c r="K145" s="1" t="n">
        <v>6</v>
      </c>
      <c r="L145" s="21" t="str">
        <f aca="false">VLOOKUP(K145,clasif_filas!$A$2:$J$39,2,FALSE())</f>
        <v>Otros servicios</v>
      </c>
      <c r="M145" s="21" t="n">
        <f aca="false">VLOOKUP(K145,clasif_filas!$A$2:$J$39,3,FALSE())</f>
        <v>6</v>
      </c>
      <c r="N145" s="21" t="str">
        <f aca="false">VLOOKUP(K145,clasif_filas!$A$2:$J$39,4,FALSE())</f>
        <v>Otros servicios</v>
      </c>
      <c r="O145" s="21" t="n">
        <f aca="false">VLOOKUP(K145,clasif_filas!$A$2:$J$39,5,FALSE())</f>
        <v>99</v>
      </c>
      <c r="P145" s="21" t="str">
        <f aca="false">VLOOKUP(K145,clasif_filas!$A$2:$J$39,6,FALSE())</f>
        <v>No Bioeconomía</v>
      </c>
      <c r="Q145" s="21" t="n">
        <f aca="false">VLOOKUP(K145,clasif_filas!$A$2:$J$39,7,FALSE())</f>
        <v>6</v>
      </c>
      <c r="R145" s="21" t="str">
        <f aca="false">VLOOKUP(K145,clasif_filas!$A$2:$J$39,8,FALSE())</f>
        <v>Servicios comerciales de distribución; alojamiento, servicios de suministro de comidas y bebidas; servicios de transporte; y servicios de distribución de electricidad, gas y agua</v>
      </c>
      <c r="S145" s="21" t="n">
        <f aca="false">VLOOKUP(K145,clasif_filas!$A$2:$J$39,9,FALSE())</f>
        <v>3</v>
      </c>
      <c r="T145" s="61" t="str">
        <f aca="false">VLOOKUP(K145,clasif_filas!$A$2:$J$39,10,FALSE())</f>
        <v>No bioeconomía</v>
      </c>
    </row>
    <row r="146" customFormat="false" ht="25.55" hidden="false" customHeight="false" outlineLevel="0" collapsed="false">
      <c r="A146" s="29" t="s">
        <v>291</v>
      </c>
      <c r="B146" s="58" t="s">
        <v>1835</v>
      </c>
      <c r="C146" s="58" t="s">
        <v>1617</v>
      </c>
      <c r="D146" s="59" t="n">
        <v>1</v>
      </c>
      <c r="E146" s="60" t="s">
        <v>2183</v>
      </c>
      <c r="F146" s="60" t="s">
        <v>2184</v>
      </c>
      <c r="G146" s="1" t="s">
        <v>1602</v>
      </c>
      <c r="H146" s="1" t="n">
        <v>4</v>
      </c>
      <c r="I146" s="1" t="s">
        <v>1602</v>
      </c>
      <c r="J146" s="1" t="s">
        <v>1602</v>
      </c>
      <c r="K146" s="1" t="n">
        <v>6</v>
      </c>
      <c r="L146" s="21" t="str">
        <f aca="false">VLOOKUP(K146,clasif_filas!$A$2:$J$39,2,FALSE())</f>
        <v>Otros servicios</v>
      </c>
      <c r="M146" s="21" t="n">
        <f aca="false">VLOOKUP(K146,clasif_filas!$A$2:$J$39,3,FALSE())</f>
        <v>6</v>
      </c>
      <c r="N146" s="21" t="str">
        <f aca="false">VLOOKUP(K146,clasif_filas!$A$2:$J$39,4,FALSE())</f>
        <v>Otros servicios</v>
      </c>
      <c r="O146" s="21" t="n">
        <f aca="false">VLOOKUP(K146,clasif_filas!$A$2:$J$39,5,FALSE())</f>
        <v>99</v>
      </c>
      <c r="P146" s="21" t="str">
        <f aca="false">VLOOKUP(K146,clasif_filas!$A$2:$J$39,6,FALSE())</f>
        <v>No Bioeconomía</v>
      </c>
      <c r="Q146" s="21" t="n">
        <f aca="false">VLOOKUP(K146,clasif_filas!$A$2:$J$39,7,FALSE())</f>
        <v>6</v>
      </c>
      <c r="R146" s="21" t="str">
        <f aca="false">VLOOKUP(K146,clasif_filas!$A$2:$J$39,8,FALSE())</f>
        <v>Servicios comerciales de distribución; alojamiento, servicios de suministro de comidas y bebidas; servicios de transporte; y servicios de distribución de electricidad, gas y agua</v>
      </c>
      <c r="S146" s="21" t="n">
        <f aca="false">VLOOKUP(K146,clasif_filas!$A$2:$J$39,9,FALSE())</f>
        <v>3</v>
      </c>
      <c r="T146" s="61" t="str">
        <f aca="false">VLOOKUP(K146,clasif_filas!$A$2:$J$39,10,FALSE())</f>
        <v>No bioeconomía</v>
      </c>
    </row>
    <row r="147" customFormat="false" ht="14.25" hidden="false" customHeight="false" outlineLevel="0" collapsed="false">
      <c r="A147" s="29" t="s">
        <v>293</v>
      </c>
      <c r="B147" s="58" t="s">
        <v>1835</v>
      </c>
      <c r="C147" s="58" t="s">
        <v>1617</v>
      </c>
      <c r="D147" s="59" t="n">
        <v>1</v>
      </c>
      <c r="E147" s="60" t="s">
        <v>2185</v>
      </c>
      <c r="F147" s="60" t="s">
        <v>2186</v>
      </c>
      <c r="G147" s="1" t="s">
        <v>1602</v>
      </c>
      <c r="H147" s="1" t="n">
        <v>4</v>
      </c>
      <c r="I147" s="1" t="s">
        <v>1602</v>
      </c>
      <c r="J147" s="1" t="s">
        <v>1602</v>
      </c>
      <c r="K147" s="1" t="n">
        <v>6</v>
      </c>
      <c r="L147" s="21" t="str">
        <f aca="false">VLOOKUP(K147,clasif_filas!$A$2:$J$39,2,FALSE())</f>
        <v>Otros servicios</v>
      </c>
      <c r="M147" s="21" t="n">
        <f aca="false">VLOOKUP(K147,clasif_filas!$A$2:$J$39,3,FALSE())</f>
        <v>6</v>
      </c>
      <c r="N147" s="21" t="str">
        <f aca="false">VLOOKUP(K147,clasif_filas!$A$2:$J$39,4,FALSE())</f>
        <v>Otros servicios</v>
      </c>
      <c r="O147" s="21" t="n">
        <f aca="false">VLOOKUP(K147,clasif_filas!$A$2:$J$39,5,FALSE())</f>
        <v>99</v>
      </c>
      <c r="P147" s="21" t="str">
        <f aca="false">VLOOKUP(K147,clasif_filas!$A$2:$J$39,6,FALSE())</f>
        <v>No Bioeconomía</v>
      </c>
      <c r="Q147" s="21" t="n">
        <f aca="false">VLOOKUP(K147,clasif_filas!$A$2:$J$39,7,FALSE())</f>
        <v>6</v>
      </c>
      <c r="R147" s="21" t="str">
        <f aca="false">VLOOKUP(K147,clasif_filas!$A$2:$J$39,8,FALSE())</f>
        <v>Servicios comerciales de distribución; alojamiento, servicios de suministro de comidas y bebidas; servicios de transporte; y servicios de distribución de electricidad, gas y agua</v>
      </c>
      <c r="S147" s="21" t="n">
        <f aca="false">VLOOKUP(K147,clasif_filas!$A$2:$J$39,9,FALSE())</f>
        <v>3</v>
      </c>
      <c r="T147" s="61" t="str">
        <f aca="false">VLOOKUP(K147,clasif_filas!$A$2:$J$39,10,FALSE())</f>
        <v>No bioeconomía</v>
      </c>
    </row>
    <row r="148" customFormat="false" ht="14.25" hidden="false" customHeight="false" outlineLevel="0" collapsed="false">
      <c r="A148" s="29" t="s">
        <v>295</v>
      </c>
      <c r="B148" s="58" t="s">
        <v>1835</v>
      </c>
      <c r="C148" s="58" t="s">
        <v>1617</v>
      </c>
      <c r="D148" s="59" t="n">
        <v>1</v>
      </c>
      <c r="E148" s="60" t="s">
        <v>2187</v>
      </c>
      <c r="F148" s="60" t="s">
        <v>2188</v>
      </c>
      <c r="G148" s="1" t="s">
        <v>1602</v>
      </c>
      <c r="H148" s="1" t="n">
        <v>4</v>
      </c>
      <c r="I148" s="1" t="s">
        <v>1602</v>
      </c>
      <c r="J148" s="1" t="s">
        <v>1602</v>
      </c>
      <c r="K148" s="1" t="n">
        <v>6</v>
      </c>
      <c r="L148" s="21" t="str">
        <f aca="false">VLOOKUP(K148,clasif_filas!$A$2:$J$39,2,FALSE())</f>
        <v>Otros servicios</v>
      </c>
      <c r="M148" s="21" t="n">
        <f aca="false">VLOOKUP(K148,clasif_filas!$A$2:$J$39,3,FALSE())</f>
        <v>6</v>
      </c>
      <c r="N148" s="21" t="str">
        <f aca="false">VLOOKUP(K148,clasif_filas!$A$2:$J$39,4,FALSE())</f>
        <v>Otros servicios</v>
      </c>
      <c r="O148" s="21" t="n">
        <f aca="false">VLOOKUP(K148,clasif_filas!$A$2:$J$39,5,FALSE())</f>
        <v>99</v>
      </c>
      <c r="P148" s="21" t="str">
        <f aca="false">VLOOKUP(K148,clasif_filas!$A$2:$J$39,6,FALSE())</f>
        <v>No Bioeconomía</v>
      </c>
      <c r="Q148" s="21" t="n">
        <f aca="false">VLOOKUP(K148,clasif_filas!$A$2:$J$39,7,FALSE())</f>
        <v>6</v>
      </c>
      <c r="R148" s="21" t="str">
        <f aca="false">VLOOKUP(K148,clasif_filas!$A$2:$J$39,8,FALSE())</f>
        <v>Servicios comerciales de distribución; alojamiento, servicios de suministro de comidas y bebidas; servicios de transporte; y servicios de distribución de electricidad, gas y agua</v>
      </c>
      <c r="S148" s="21" t="n">
        <f aca="false">VLOOKUP(K148,clasif_filas!$A$2:$J$39,9,FALSE())</f>
        <v>3</v>
      </c>
      <c r="T148" s="61" t="str">
        <f aca="false">VLOOKUP(K148,clasif_filas!$A$2:$J$39,10,FALSE())</f>
        <v>No bioeconomía</v>
      </c>
    </row>
    <row r="149" customFormat="false" ht="14.25" hidden="false" customHeight="false" outlineLevel="0" collapsed="false">
      <c r="A149" s="29" t="s">
        <v>297</v>
      </c>
      <c r="B149" s="58" t="s">
        <v>1835</v>
      </c>
      <c r="C149" s="58" t="s">
        <v>1617</v>
      </c>
      <c r="D149" s="59" t="n">
        <v>1</v>
      </c>
      <c r="E149" s="60" t="s">
        <v>2189</v>
      </c>
      <c r="F149" s="60" t="s">
        <v>2190</v>
      </c>
      <c r="G149" s="1" t="s">
        <v>1602</v>
      </c>
      <c r="H149" s="1" t="n">
        <v>4</v>
      </c>
      <c r="I149" s="1" t="s">
        <v>1602</v>
      </c>
      <c r="J149" s="1" t="s">
        <v>1602</v>
      </c>
      <c r="K149" s="1" t="n">
        <v>6</v>
      </c>
      <c r="L149" s="21" t="str">
        <f aca="false">VLOOKUP(K149,clasif_filas!$A$2:$J$39,2,FALSE())</f>
        <v>Otros servicios</v>
      </c>
      <c r="M149" s="21" t="n">
        <f aca="false">VLOOKUP(K149,clasif_filas!$A$2:$J$39,3,FALSE())</f>
        <v>6</v>
      </c>
      <c r="N149" s="21" t="str">
        <f aca="false">VLOOKUP(K149,clasif_filas!$A$2:$J$39,4,FALSE())</f>
        <v>Otros servicios</v>
      </c>
      <c r="O149" s="21" t="n">
        <f aca="false">VLOOKUP(K149,clasif_filas!$A$2:$J$39,5,FALSE())</f>
        <v>99</v>
      </c>
      <c r="P149" s="21" t="str">
        <f aca="false">VLOOKUP(K149,clasif_filas!$A$2:$J$39,6,FALSE())</f>
        <v>No Bioeconomía</v>
      </c>
      <c r="Q149" s="21" t="n">
        <f aca="false">VLOOKUP(K149,clasif_filas!$A$2:$J$39,7,FALSE())</f>
        <v>6</v>
      </c>
      <c r="R149" s="21" t="str">
        <f aca="false">VLOOKUP(K149,clasif_filas!$A$2:$J$39,8,FALSE())</f>
        <v>Servicios comerciales de distribución; alojamiento, servicios de suministro de comidas y bebidas; servicios de transporte; y servicios de distribución de electricidad, gas y agua</v>
      </c>
      <c r="S149" s="21" t="n">
        <f aca="false">VLOOKUP(K149,clasif_filas!$A$2:$J$39,9,FALSE())</f>
        <v>3</v>
      </c>
      <c r="T149" s="61" t="str">
        <f aca="false">VLOOKUP(K149,clasif_filas!$A$2:$J$39,10,FALSE())</f>
        <v>No bioeconomía</v>
      </c>
    </row>
    <row r="150" customFormat="false" ht="14.25" hidden="false" customHeight="false" outlineLevel="0" collapsed="false">
      <c r="A150" s="29" t="s">
        <v>299</v>
      </c>
      <c r="B150" s="58" t="s">
        <v>1835</v>
      </c>
      <c r="C150" s="58" t="s">
        <v>1617</v>
      </c>
      <c r="D150" s="59" t="n">
        <v>1</v>
      </c>
      <c r="E150" s="60" t="s">
        <v>2191</v>
      </c>
      <c r="F150" s="60" t="s">
        <v>2192</v>
      </c>
      <c r="G150" s="1" t="s">
        <v>1602</v>
      </c>
      <c r="H150" s="1" t="n">
        <v>4</v>
      </c>
      <c r="I150" s="1" t="s">
        <v>1602</v>
      </c>
      <c r="J150" s="1" t="s">
        <v>1602</v>
      </c>
      <c r="K150" s="1" t="n">
        <v>6</v>
      </c>
      <c r="L150" s="21" t="str">
        <f aca="false">VLOOKUP(K150,clasif_filas!$A$2:$J$39,2,FALSE())</f>
        <v>Otros servicios</v>
      </c>
      <c r="M150" s="21" t="n">
        <f aca="false">VLOOKUP(K150,clasif_filas!$A$2:$J$39,3,FALSE())</f>
        <v>6</v>
      </c>
      <c r="N150" s="21" t="str">
        <f aca="false">VLOOKUP(K150,clasif_filas!$A$2:$J$39,4,FALSE())</f>
        <v>Otros servicios</v>
      </c>
      <c r="O150" s="21" t="n">
        <f aca="false">VLOOKUP(K150,clasif_filas!$A$2:$J$39,5,FALSE())</f>
        <v>99</v>
      </c>
      <c r="P150" s="21" t="str">
        <f aca="false">VLOOKUP(K150,clasif_filas!$A$2:$J$39,6,FALSE())</f>
        <v>No Bioeconomía</v>
      </c>
      <c r="Q150" s="21" t="n">
        <f aca="false">VLOOKUP(K150,clasif_filas!$A$2:$J$39,7,FALSE())</f>
        <v>6</v>
      </c>
      <c r="R150" s="21" t="str">
        <f aca="false">VLOOKUP(K150,clasif_filas!$A$2:$J$39,8,FALSE())</f>
        <v>Servicios comerciales de distribución; alojamiento, servicios de suministro de comidas y bebidas; servicios de transporte; y servicios de distribución de electricidad, gas y agua</v>
      </c>
      <c r="S150" s="21" t="n">
        <f aca="false">VLOOKUP(K150,clasif_filas!$A$2:$J$39,9,FALSE())</f>
        <v>3</v>
      </c>
      <c r="T150" s="61" t="str">
        <f aca="false">VLOOKUP(K150,clasif_filas!$A$2:$J$39,10,FALSE())</f>
        <v>No bioeconomía</v>
      </c>
    </row>
    <row r="151" customFormat="false" ht="14.25" hidden="false" customHeight="false" outlineLevel="0" collapsed="false">
      <c r="A151" s="29" t="s">
        <v>301</v>
      </c>
      <c r="B151" s="58" t="s">
        <v>1835</v>
      </c>
      <c r="C151" s="58" t="s">
        <v>1617</v>
      </c>
      <c r="D151" s="59" t="n">
        <v>1</v>
      </c>
      <c r="E151" s="60" t="s">
        <v>2193</v>
      </c>
      <c r="F151" s="60" t="s">
        <v>2194</v>
      </c>
      <c r="G151" s="1" t="s">
        <v>1936</v>
      </c>
      <c r="H151" s="1" t="n">
        <v>3</v>
      </c>
      <c r="I151" s="1" t="s">
        <v>1937</v>
      </c>
      <c r="J151" s="1" t="s">
        <v>1936</v>
      </c>
      <c r="K151" s="1" t="n">
        <v>63</v>
      </c>
      <c r="L151" s="21" t="str">
        <f aca="false">VLOOKUP(K151,clasif_filas!$A$2:$J$39,2,FALSE())</f>
        <v>Alojamiento, servicios de suministro de comidas y bebidas</v>
      </c>
      <c r="M151" s="21" t="n">
        <f aca="false">VLOOKUP(K151,clasif_filas!$A$2:$J$39,3,FALSE())</f>
        <v>63</v>
      </c>
      <c r="N151" s="21" t="str">
        <f aca="false">VLOOKUP(K151,clasif_filas!$A$2:$J$39,4,FALSE())</f>
        <v>Alojamiento, servicios de suministro de comidas y bebidas</v>
      </c>
      <c r="O151" s="21" t="n">
        <f aca="false">VLOOKUP(K151,clasif_filas!$A$2:$J$39,5,FALSE())</f>
        <v>6</v>
      </c>
      <c r="P151" s="21" t="str">
        <f aca="false">VLOOKUP(K151,clasif_filas!$A$2:$J$39,6,FALSE())</f>
        <v>Conocimiento, procesos y servicios relacionados</v>
      </c>
      <c r="Q151" s="21" t="n">
        <f aca="false">VLOOKUP(K151,clasif_filas!$A$2:$J$39,7,FALSE())</f>
        <v>6</v>
      </c>
      <c r="R151" s="21" t="str">
        <f aca="false">VLOOKUP(K151,clasif_filas!$A$2:$J$39,8,FALSE())</f>
        <v>Servicios comerciales de distribución; alojamiento, servicios de suministro de comidas y bebidas; servicios de transporte; y servicios de distribución de electricidad, gas y agua</v>
      </c>
      <c r="S151" s="21" t="n">
        <f aca="false">VLOOKUP(K151,clasif_filas!$A$2:$J$39,9,FALSE())</f>
        <v>2</v>
      </c>
      <c r="T151" s="61" t="str">
        <f aca="false">VLOOKUP(K151,clasif_filas!$A$2:$J$39,10,FALSE())</f>
        <v>Bioeconomía extendida</v>
      </c>
    </row>
    <row r="152" customFormat="false" ht="25.55" hidden="false" customHeight="false" outlineLevel="0" collapsed="false">
      <c r="A152" s="29" t="s">
        <v>303</v>
      </c>
      <c r="B152" s="58" t="s">
        <v>1835</v>
      </c>
      <c r="C152" s="58" t="s">
        <v>1617</v>
      </c>
      <c r="D152" s="59" t="n">
        <v>1</v>
      </c>
      <c r="E152" s="60" t="s">
        <v>2195</v>
      </c>
      <c r="F152" s="60" t="s">
        <v>2196</v>
      </c>
      <c r="G152" s="1" t="s">
        <v>1602</v>
      </c>
      <c r="H152" s="1" t="n">
        <v>4</v>
      </c>
      <c r="I152" s="1" t="s">
        <v>1602</v>
      </c>
      <c r="J152" s="1" t="s">
        <v>1602</v>
      </c>
      <c r="K152" s="1" t="n">
        <v>6</v>
      </c>
      <c r="L152" s="21" t="str">
        <f aca="false">VLOOKUP(K152,clasif_filas!$A$2:$J$39,2,FALSE())</f>
        <v>Otros servicios</v>
      </c>
      <c r="M152" s="21" t="n">
        <f aca="false">VLOOKUP(K152,clasif_filas!$A$2:$J$39,3,FALSE())</f>
        <v>6</v>
      </c>
      <c r="N152" s="21" t="str">
        <f aca="false">VLOOKUP(K152,clasif_filas!$A$2:$J$39,4,FALSE())</f>
        <v>Otros servicios</v>
      </c>
      <c r="O152" s="21" t="n">
        <f aca="false">VLOOKUP(K152,clasif_filas!$A$2:$J$39,5,FALSE())</f>
        <v>99</v>
      </c>
      <c r="P152" s="21" t="str">
        <f aca="false">VLOOKUP(K152,clasif_filas!$A$2:$J$39,6,FALSE())</f>
        <v>No Bioeconomía</v>
      </c>
      <c r="Q152" s="21" t="n">
        <f aca="false">VLOOKUP(K152,clasif_filas!$A$2:$J$39,7,FALSE())</f>
        <v>6</v>
      </c>
      <c r="R152" s="21" t="str">
        <f aca="false">VLOOKUP(K152,clasif_filas!$A$2:$J$39,8,FALSE())</f>
        <v>Servicios comerciales de distribución; alojamiento, servicios de suministro de comidas y bebidas; servicios de transporte; y servicios de distribución de electricidad, gas y agua</v>
      </c>
      <c r="S152" s="21" t="n">
        <f aca="false">VLOOKUP(K152,clasif_filas!$A$2:$J$39,9,FALSE())</f>
        <v>3</v>
      </c>
      <c r="T152" s="61" t="str">
        <f aca="false">VLOOKUP(K152,clasif_filas!$A$2:$J$39,10,FALSE())</f>
        <v>No bioeconomía</v>
      </c>
    </row>
    <row r="153" customFormat="false" ht="37.55" hidden="false" customHeight="false" outlineLevel="0" collapsed="false">
      <c r="A153" s="29" t="s">
        <v>305</v>
      </c>
      <c r="B153" s="58" t="s">
        <v>1835</v>
      </c>
      <c r="C153" s="58" t="s">
        <v>1617</v>
      </c>
      <c r="D153" s="59" t="n">
        <v>1</v>
      </c>
      <c r="E153" s="60" t="s">
        <v>2197</v>
      </c>
      <c r="F153" s="60" t="s">
        <v>2198</v>
      </c>
      <c r="G153" s="1" t="s">
        <v>1602</v>
      </c>
      <c r="H153" s="1" t="n">
        <v>4</v>
      </c>
      <c r="I153" s="1" t="s">
        <v>1602</v>
      </c>
      <c r="J153" s="1" t="s">
        <v>1602</v>
      </c>
      <c r="K153" s="1" t="n">
        <v>6</v>
      </c>
      <c r="L153" s="21" t="str">
        <f aca="false">VLOOKUP(K153,clasif_filas!$A$2:$J$39,2,FALSE())</f>
        <v>Otros servicios</v>
      </c>
      <c r="M153" s="21" t="n">
        <f aca="false">VLOOKUP(K153,clasif_filas!$A$2:$J$39,3,FALSE())</f>
        <v>6</v>
      </c>
      <c r="N153" s="21" t="str">
        <f aca="false">VLOOKUP(K153,clasif_filas!$A$2:$J$39,4,FALSE())</f>
        <v>Otros servicios</v>
      </c>
      <c r="O153" s="21" t="n">
        <f aca="false">VLOOKUP(K153,clasif_filas!$A$2:$J$39,5,FALSE())</f>
        <v>99</v>
      </c>
      <c r="P153" s="21" t="str">
        <f aca="false">VLOOKUP(K153,clasif_filas!$A$2:$J$39,6,FALSE())</f>
        <v>No Bioeconomía</v>
      </c>
      <c r="Q153" s="21" t="n">
        <f aca="false">VLOOKUP(K153,clasif_filas!$A$2:$J$39,7,FALSE())</f>
        <v>6</v>
      </c>
      <c r="R153" s="21" t="str">
        <f aca="false">VLOOKUP(K153,clasif_filas!$A$2:$J$39,8,FALSE())</f>
        <v>Servicios comerciales de distribución; alojamiento, servicios de suministro de comidas y bebidas; servicios de transporte; y servicios de distribución de electricidad, gas y agua</v>
      </c>
      <c r="S153" s="21" t="n">
        <f aca="false">VLOOKUP(K153,clasif_filas!$A$2:$J$39,9,FALSE())</f>
        <v>3</v>
      </c>
      <c r="T153" s="61" t="str">
        <f aca="false">VLOOKUP(K153,clasif_filas!$A$2:$J$39,10,FALSE())</f>
        <v>No bioeconomía</v>
      </c>
    </row>
    <row r="154" customFormat="false" ht="25.55" hidden="false" customHeight="false" outlineLevel="0" collapsed="false">
      <c r="A154" s="29" t="s">
        <v>307</v>
      </c>
      <c r="B154" s="58" t="s">
        <v>1835</v>
      </c>
      <c r="C154" s="58" t="s">
        <v>1617</v>
      </c>
      <c r="D154" s="59" t="n">
        <v>1</v>
      </c>
      <c r="E154" s="60" t="s">
        <v>2199</v>
      </c>
      <c r="F154" s="60" t="s">
        <v>2200</v>
      </c>
      <c r="G154" s="1" t="s">
        <v>1602</v>
      </c>
      <c r="H154" s="1" t="n">
        <v>4</v>
      </c>
      <c r="I154" s="1" t="s">
        <v>1602</v>
      </c>
      <c r="J154" s="1" t="s">
        <v>1602</v>
      </c>
      <c r="K154" s="1" t="n">
        <v>6</v>
      </c>
      <c r="L154" s="21" t="str">
        <f aca="false">VLOOKUP(K154,clasif_filas!$A$2:$J$39,2,FALSE())</f>
        <v>Otros servicios</v>
      </c>
      <c r="M154" s="21" t="n">
        <f aca="false">VLOOKUP(K154,clasif_filas!$A$2:$J$39,3,FALSE())</f>
        <v>6</v>
      </c>
      <c r="N154" s="21" t="str">
        <f aca="false">VLOOKUP(K154,clasif_filas!$A$2:$J$39,4,FALSE())</f>
        <v>Otros servicios</v>
      </c>
      <c r="O154" s="21" t="n">
        <f aca="false">VLOOKUP(K154,clasif_filas!$A$2:$J$39,5,FALSE())</f>
        <v>99</v>
      </c>
      <c r="P154" s="21" t="str">
        <f aca="false">VLOOKUP(K154,clasif_filas!$A$2:$J$39,6,FALSE())</f>
        <v>No Bioeconomía</v>
      </c>
      <c r="Q154" s="21" t="n">
        <f aca="false">VLOOKUP(K154,clasif_filas!$A$2:$J$39,7,FALSE())</f>
        <v>6</v>
      </c>
      <c r="R154" s="21" t="str">
        <f aca="false">VLOOKUP(K154,clasif_filas!$A$2:$J$39,8,FALSE())</f>
        <v>Servicios comerciales de distribución; alojamiento, servicios de suministro de comidas y bebidas; servicios de transporte; y servicios de distribución de electricidad, gas y agua</v>
      </c>
      <c r="S154" s="21" t="n">
        <f aca="false">VLOOKUP(K154,clasif_filas!$A$2:$J$39,9,FALSE())</f>
        <v>3</v>
      </c>
      <c r="T154" s="61" t="str">
        <f aca="false">VLOOKUP(K154,clasif_filas!$A$2:$J$39,10,FALSE())</f>
        <v>No bioeconomía</v>
      </c>
    </row>
    <row r="155" customFormat="false" ht="25.55" hidden="false" customHeight="false" outlineLevel="0" collapsed="false">
      <c r="A155" s="29" t="s">
        <v>309</v>
      </c>
      <c r="B155" s="58" t="s">
        <v>1835</v>
      </c>
      <c r="C155" s="58" t="s">
        <v>1617</v>
      </c>
      <c r="D155" s="59" t="n">
        <v>1</v>
      </c>
      <c r="E155" s="60" t="s">
        <v>2201</v>
      </c>
      <c r="F155" s="60" t="s">
        <v>2202</v>
      </c>
      <c r="G155" s="1" t="s">
        <v>1602</v>
      </c>
      <c r="H155" s="1" t="n">
        <v>4</v>
      </c>
      <c r="I155" s="1" t="s">
        <v>1602</v>
      </c>
      <c r="J155" s="1" t="s">
        <v>1602</v>
      </c>
      <c r="K155" s="1" t="n">
        <v>6</v>
      </c>
      <c r="L155" s="21" t="str">
        <f aca="false">VLOOKUP(K155,clasif_filas!$A$2:$J$39,2,FALSE())</f>
        <v>Otros servicios</v>
      </c>
      <c r="M155" s="21" t="n">
        <f aca="false">VLOOKUP(K155,clasif_filas!$A$2:$J$39,3,FALSE())</f>
        <v>6</v>
      </c>
      <c r="N155" s="21" t="str">
        <f aca="false">VLOOKUP(K155,clasif_filas!$A$2:$J$39,4,FALSE())</f>
        <v>Otros servicios</v>
      </c>
      <c r="O155" s="21" t="n">
        <f aca="false">VLOOKUP(K155,clasif_filas!$A$2:$J$39,5,FALSE())</f>
        <v>99</v>
      </c>
      <c r="P155" s="21" t="str">
        <f aca="false">VLOOKUP(K155,clasif_filas!$A$2:$J$39,6,FALSE())</f>
        <v>No Bioeconomía</v>
      </c>
      <c r="Q155" s="21" t="n">
        <f aca="false">VLOOKUP(K155,clasif_filas!$A$2:$J$39,7,FALSE())</f>
        <v>6</v>
      </c>
      <c r="R155" s="21" t="str">
        <f aca="false">VLOOKUP(K155,clasif_filas!$A$2:$J$39,8,FALSE())</f>
        <v>Servicios comerciales de distribución; alojamiento, servicios de suministro de comidas y bebidas; servicios de transporte; y servicios de distribución de electricidad, gas y agua</v>
      </c>
      <c r="S155" s="21" t="n">
        <f aca="false">VLOOKUP(K155,clasif_filas!$A$2:$J$39,9,FALSE())</f>
        <v>3</v>
      </c>
      <c r="T155" s="61" t="str">
        <f aca="false">VLOOKUP(K155,clasif_filas!$A$2:$J$39,10,FALSE())</f>
        <v>No bioeconomía</v>
      </c>
    </row>
    <row r="156" customFormat="false" ht="25.55" hidden="false" customHeight="false" outlineLevel="0" collapsed="false">
      <c r="A156" s="29" t="s">
        <v>311</v>
      </c>
      <c r="B156" s="58" t="s">
        <v>1835</v>
      </c>
      <c r="C156" s="58" t="s">
        <v>1617</v>
      </c>
      <c r="D156" s="59" t="n">
        <v>1</v>
      </c>
      <c r="E156" s="60" t="s">
        <v>2203</v>
      </c>
      <c r="F156" s="60" t="s">
        <v>2204</v>
      </c>
      <c r="G156" s="1" t="s">
        <v>1602</v>
      </c>
      <c r="H156" s="1" t="n">
        <v>4</v>
      </c>
      <c r="I156" s="1" t="s">
        <v>1602</v>
      </c>
      <c r="J156" s="1" t="s">
        <v>1602</v>
      </c>
      <c r="K156" s="1" t="n">
        <v>6</v>
      </c>
      <c r="L156" s="21" t="str">
        <f aca="false">VLOOKUP(K156,clasif_filas!$A$2:$J$39,2,FALSE())</f>
        <v>Otros servicios</v>
      </c>
      <c r="M156" s="21" t="n">
        <f aca="false">VLOOKUP(K156,clasif_filas!$A$2:$J$39,3,FALSE())</f>
        <v>6</v>
      </c>
      <c r="N156" s="21" t="str">
        <f aca="false">VLOOKUP(K156,clasif_filas!$A$2:$J$39,4,FALSE())</f>
        <v>Otros servicios</v>
      </c>
      <c r="O156" s="21" t="n">
        <f aca="false">VLOOKUP(K156,clasif_filas!$A$2:$J$39,5,FALSE())</f>
        <v>99</v>
      </c>
      <c r="P156" s="21" t="str">
        <f aca="false">VLOOKUP(K156,clasif_filas!$A$2:$J$39,6,FALSE())</f>
        <v>No Bioeconomía</v>
      </c>
      <c r="Q156" s="21" t="n">
        <f aca="false">VLOOKUP(K156,clasif_filas!$A$2:$J$39,7,FALSE())</f>
        <v>6</v>
      </c>
      <c r="R156" s="21" t="str">
        <f aca="false">VLOOKUP(K156,clasif_filas!$A$2:$J$39,8,FALSE())</f>
        <v>Servicios comerciales de distribución; alojamiento, servicios de suministro de comidas y bebidas; servicios de transporte; y servicios de distribución de electricidad, gas y agua</v>
      </c>
      <c r="S156" s="21" t="n">
        <f aca="false">VLOOKUP(K156,clasif_filas!$A$2:$J$39,9,FALSE())</f>
        <v>3</v>
      </c>
      <c r="T156" s="61" t="str">
        <f aca="false">VLOOKUP(K156,clasif_filas!$A$2:$J$39,10,FALSE())</f>
        <v>No bioeconomía</v>
      </c>
    </row>
    <row r="157" customFormat="false" ht="25.55" hidden="false" customHeight="false" outlineLevel="0" collapsed="false">
      <c r="A157" s="29" t="s">
        <v>313</v>
      </c>
      <c r="B157" s="58" t="s">
        <v>1835</v>
      </c>
      <c r="C157" s="58" t="s">
        <v>1617</v>
      </c>
      <c r="D157" s="59" t="n">
        <v>1</v>
      </c>
      <c r="E157" s="60" t="s">
        <v>2205</v>
      </c>
      <c r="F157" s="60" t="s">
        <v>2206</v>
      </c>
      <c r="G157" s="1" t="s">
        <v>1602</v>
      </c>
      <c r="H157" s="1" t="n">
        <v>4</v>
      </c>
      <c r="I157" s="1" t="s">
        <v>1602</v>
      </c>
      <c r="J157" s="1" t="s">
        <v>1602</v>
      </c>
      <c r="K157" s="1" t="n">
        <v>6</v>
      </c>
      <c r="L157" s="21" t="str">
        <f aca="false">VLOOKUP(K157,clasif_filas!$A$2:$J$39,2,FALSE())</f>
        <v>Otros servicios</v>
      </c>
      <c r="M157" s="21" t="n">
        <f aca="false">VLOOKUP(K157,clasif_filas!$A$2:$J$39,3,FALSE())</f>
        <v>6</v>
      </c>
      <c r="N157" s="21" t="str">
        <f aca="false">VLOOKUP(K157,clasif_filas!$A$2:$J$39,4,FALSE())</f>
        <v>Otros servicios</v>
      </c>
      <c r="O157" s="21" t="n">
        <f aca="false">VLOOKUP(K157,clasif_filas!$A$2:$J$39,5,FALSE())</f>
        <v>99</v>
      </c>
      <c r="P157" s="21" t="str">
        <f aca="false">VLOOKUP(K157,clasif_filas!$A$2:$J$39,6,FALSE())</f>
        <v>No Bioeconomía</v>
      </c>
      <c r="Q157" s="21" t="n">
        <f aca="false">VLOOKUP(K157,clasif_filas!$A$2:$J$39,7,FALSE())</f>
        <v>6</v>
      </c>
      <c r="R157" s="21" t="str">
        <f aca="false">VLOOKUP(K157,clasif_filas!$A$2:$J$39,8,FALSE())</f>
        <v>Servicios comerciales de distribución; alojamiento, servicios de suministro de comidas y bebidas; servicios de transporte; y servicios de distribución de electricidad, gas y agua</v>
      </c>
      <c r="S157" s="21" t="n">
        <f aca="false">VLOOKUP(K157,clasif_filas!$A$2:$J$39,9,FALSE())</f>
        <v>3</v>
      </c>
      <c r="T157" s="61" t="str">
        <f aca="false">VLOOKUP(K157,clasif_filas!$A$2:$J$39,10,FALSE())</f>
        <v>No bioeconomía</v>
      </c>
    </row>
    <row r="158" customFormat="false" ht="37.55" hidden="false" customHeight="false" outlineLevel="0" collapsed="false">
      <c r="A158" s="29" t="s">
        <v>315</v>
      </c>
      <c r="B158" s="58" t="s">
        <v>1835</v>
      </c>
      <c r="C158" s="58" t="s">
        <v>1617</v>
      </c>
      <c r="D158" s="59" t="n">
        <v>1</v>
      </c>
      <c r="E158" s="60" t="s">
        <v>2207</v>
      </c>
      <c r="F158" s="60" t="s">
        <v>2208</v>
      </c>
      <c r="G158" s="1" t="s">
        <v>1602</v>
      </c>
      <c r="H158" s="1" t="n">
        <v>4</v>
      </c>
      <c r="I158" s="1" t="s">
        <v>1602</v>
      </c>
      <c r="J158" s="1" t="s">
        <v>1602</v>
      </c>
      <c r="K158" s="1" t="n">
        <v>6</v>
      </c>
      <c r="L158" s="21" t="str">
        <f aca="false">VLOOKUP(K158,clasif_filas!$A$2:$J$39,2,FALSE())</f>
        <v>Otros servicios</v>
      </c>
      <c r="M158" s="21" t="n">
        <f aca="false">VLOOKUP(K158,clasif_filas!$A$2:$J$39,3,FALSE())</f>
        <v>6</v>
      </c>
      <c r="N158" s="21" t="str">
        <f aca="false">VLOOKUP(K158,clasif_filas!$A$2:$J$39,4,FALSE())</f>
        <v>Otros servicios</v>
      </c>
      <c r="O158" s="21" t="n">
        <f aca="false">VLOOKUP(K158,clasif_filas!$A$2:$J$39,5,FALSE())</f>
        <v>99</v>
      </c>
      <c r="P158" s="21" t="str">
        <f aca="false">VLOOKUP(K158,clasif_filas!$A$2:$J$39,6,FALSE())</f>
        <v>No Bioeconomía</v>
      </c>
      <c r="Q158" s="21" t="n">
        <f aca="false">VLOOKUP(K158,clasif_filas!$A$2:$J$39,7,FALSE())</f>
        <v>6</v>
      </c>
      <c r="R158" s="21" t="str">
        <f aca="false">VLOOKUP(K158,clasif_filas!$A$2:$J$39,8,FALSE())</f>
        <v>Servicios comerciales de distribución; alojamiento, servicios de suministro de comidas y bebidas; servicios de transporte; y servicios de distribución de electricidad, gas y agua</v>
      </c>
      <c r="S158" s="21" t="n">
        <f aca="false">VLOOKUP(K158,clasif_filas!$A$2:$J$39,9,FALSE())</f>
        <v>3</v>
      </c>
      <c r="T158" s="61" t="str">
        <f aca="false">VLOOKUP(K158,clasif_filas!$A$2:$J$39,10,FALSE())</f>
        <v>No bioeconomía</v>
      </c>
    </row>
    <row r="159" customFormat="false" ht="25.55" hidden="false" customHeight="false" outlineLevel="0" collapsed="false">
      <c r="A159" s="29" t="s">
        <v>317</v>
      </c>
      <c r="B159" s="58" t="s">
        <v>1835</v>
      </c>
      <c r="C159" s="58" t="s">
        <v>1617</v>
      </c>
      <c r="D159" s="59" t="n">
        <v>1</v>
      </c>
      <c r="E159" s="60" t="s">
        <v>2209</v>
      </c>
      <c r="F159" s="60" t="s">
        <v>2210</v>
      </c>
      <c r="G159" s="1" t="s">
        <v>1602</v>
      </c>
      <c r="H159" s="1" t="n">
        <v>4</v>
      </c>
      <c r="I159" s="1" t="s">
        <v>1602</v>
      </c>
      <c r="J159" s="1" t="s">
        <v>1602</v>
      </c>
      <c r="K159" s="1" t="n">
        <v>6</v>
      </c>
      <c r="L159" s="21" t="str">
        <f aca="false">VLOOKUP(K159,clasif_filas!$A$2:$J$39,2,FALSE())</f>
        <v>Otros servicios</v>
      </c>
      <c r="M159" s="21" t="n">
        <f aca="false">VLOOKUP(K159,clasif_filas!$A$2:$J$39,3,FALSE())</f>
        <v>6</v>
      </c>
      <c r="N159" s="21" t="str">
        <f aca="false">VLOOKUP(K159,clasif_filas!$A$2:$J$39,4,FALSE())</f>
        <v>Otros servicios</v>
      </c>
      <c r="O159" s="21" t="n">
        <f aca="false">VLOOKUP(K159,clasif_filas!$A$2:$J$39,5,FALSE())</f>
        <v>99</v>
      </c>
      <c r="P159" s="21" t="str">
        <f aca="false">VLOOKUP(K159,clasif_filas!$A$2:$J$39,6,FALSE())</f>
        <v>No Bioeconomía</v>
      </c>
      <c r="Q159" s="21" t="n">
        <f aca="false">VLOOKUP(K159,clasif_filas!$A$2:$J$39,7,FALSE())</f>
        <v>6</v>
      </c>
      <c r="R159" s="21" t="str">
        <f aca="false">VLOOKUP(K159,clasif_filas!$A$2:$J$39,8,FALSE())</f>
        <v>Servicios comerciales de distribución; alojamiento, servicios de suministro de comidas y bebidas; servicios de transporte; y servicios de distribución de electricidad, gas y agua</v>
      </c>
      <c r="S159" s="21" t="n">
        <f aca="false">VLOOKUP(K159,clasif_filas!$A$2:$J$39,9,FALSE())</f>
        <v>3</v>
      </c>
      <c r="T159" s="61" t="str">
        <f aca="false">VLOOKUP(K159,clasif_filas!$A$2:$J$39,10,FALSE())</f>
        <v>No bioeconomía</v>
      </c>
    </row>
    <row r="160" customFormat="false" ht="14.25" hidden="false" customHeight="false" outlineLevel="0" collapsed="false">
      <c r="A160" s="29" t="s">
        <v>319</v>
      </c>
      <c r="B160" s="58" t="s">
        <v>1835</v>
      </c>
      <c r="C160" s="58" t="s">
        <v>1617</v>
      </c>
      <c r="D160" s="59" t="n">
        <v>1</v>
      </c>
      <c r="E160" s="60" t="s">
        <v>2211</v>
      </c>
      <c r="F160" s="60" t="s">
        <v>2212</v>
      </c>
      <c r="G160" s="1" t="s">
        <v>1602</v>
      </c>
      <c r="H160" s="1" t="n">
        <v>4</v>
      </c>
      <c r="I160" s="1" t="s">
        <v>1602</v>
      </c>
      <c r="J160" s="1" t="s">
        <v>1602</v>
      </c>
      <c r="K160" s="1" t="n">
        <v>6</v>
      </c>
      <c r="L160" s="21" t="str">
        <f aca="false">VLOOKUP(K160,clasif_filas!$A$2:$J$39,2,FALSE())</f>
        <v>Otros servicios</v>
      </c>
      <c r="M160" s="21" t="n">
        <f aca="false">VLOOKUP(K160,clasif_filas!$A$2:$J$39,3,FALSE())</f>
        <v>6</v>
      </c>
      <c r="N160" s="21" t="str">
        <f aca="false">VLOOKUP(K160,clasif_filas!$A$2:$J$39,4,FALSE())</f>
        <v>Otros servicios</v>
      </c>
      <c r="O160" s="21" t="n">
        <f aca="false">VLOOKUP(K160,clasif_filas!$A$2:$J$39,5,FALSE())</f>
        <v>99</v>
      </c>
      <c r="P160" s="21" t="str">
        <f aca="false">VLOOKUP(K160,clasif_filas!$A$2:$J$39,6,FALSE())</f>
        <v>No Bioeconomía</v>
      </c>
      <c r="Q160" s="21" t="n">
        <f aca="false">VLOOKUP(K160,clasif_filas!$A$2:$J$39,7,FALSE())</f>
        <v>6</v>
      </c>
      <c r="R160" s="21" t="str">
        <f aca="false">VLOOKUP(K160,clasif_filas!$A$2:$J$39,8,FALSE())</f>
        <v>Servicios comerciales de distribución; alojamiento, servicios de suministro de comidas y bebidas; servicios de transporte; y servicios de distribución de electricidad, gas y agua</v>
      </c>
      <c r="S160" s="21" t="n">
        <f aca="false">VLOOKUP(K160,clasif_filas!$A$2:$J$39,9,FALSE())</f>
        <v>3</v>
      </c>
      <c r="T160" s="61" t="str">
        <f aca="false">VLOOKUP(K160,clasif_filas!$A$2:$J$39,10,FALSE())</f>
        <v>No bioeconomía</v>
      </c>
    </row>
    <row r="161" customFormat="false" ht="14.25" hidden="false" customHeight="false" outlineLevel="0" collapsed="false">
      <c r="A161" s="29" t="s">
        <v>321</v>
      </c>
      <c r="B161" s="58" t="s">
        <v>1835</v>
      </c>
      <c r="C161" s="58" t="s">
        <v>1617</v>
      </c>
      <c r="D161" s="59" t="n">
        <v>1</v>
      </c>
      <c r="E161" s="60" t="s">
        <v>2213</v>
      </c>
      <c r="F161" s="60" t="s">
        <v>2214</v>
      </c>
      <c r="G161" s="1" t="s">
        <v>1602</v>
      </c>
      <c r="H161" s="1" t="n">
        <v>4</v>
      </c>
      <c r="I161" s="1" t="s">
        <v>1602</v>
      </c>
      <c r="J161" s="1" t="s">
        <v>1602</v>
      </c>
      <c r="K161" s="1" t="n">
        <v>6</v>
      </c>
      <c r="L161" s="21" t="str">
        <f aca="false">VLOOKUP(K161,clasif_filas!$A$2:$J$39,2,FALSE())</f>
        <v>Otros servicios</v>
      </c>
      <c r="M161" s="21" t="n">
        <f aca="false">VLOOKUP(K161,clasif_filas!$A$2:$J$39,3,FALSE())</f>
        <v>6</v>
      </c>
      <c r="N161" s="21" t="str">
        <f aca="false">VLOOKUP(K161,clasif_filas!$A$2:$J$39,4,FALSE())</f>
        <v>Otros servicios</v>
      </c>
      <c r="O161" s="21" t="n">
        <f aca="false">VLOOKUP(K161,clasif_filas!$A$2:$J$39,5,FALSE())</f>
        <v>99</v>
      </c>
      <c r="P161" s="21" t="str">
        <f aca="false">VLOOKUP(K161,clasif_filas!$A$2:$J$39,6,FALSE())</f>
        <v>No Bioeconomía</v>
      </c>
      <c r="Q161" s="21" t="n">
        <f aca="false">VLOOKUP(K161,clasif_filas!$A$2:$J$39,7,FALSE())</f>
        <v>6</v>
      </c>
      <c r="R161" s="21" t="str">
        <f aca="false">VLOOKUP(K161,clasif_filas!$A$2:$J$39,8,FALSE())</f>
        <v>Servicios comerciales de distribución; alojamiento, servicios de suministro de comidas y bebidas; servicios de transporte; y servicios de distribución de electricidad, gas y agua</v>
      </c>
      <c r="S161" s="21" t="n">
        <f aca="false">VLOOKUP(K161,clasif_filas!$A$2:$J$39,9,FALSE())</f>
        <v>3</v>
      </c>
      <c r="T161" s="61" t="str">
        <f aca="false">VLOOKUP(K161,clasif_filas!$A$2:$J$39,10,FALSE())</f>
        <v>No bioeconomía</v>
      </c>
    </row>
    <row r="162" customFormat="false" ht="14.25" hidden="false" customHeight="false" outlineLevel="0" collapsed="false">
      <c r="A162" s="29" t="s">
        <v>323</v>
      </c>
      <c r="B162" s="58" t="s">
        <v>1835</v>
      </c>
      <c r="C162" s="58" t="s">
        <v>1617</v>
      </c>
      <c r="D162" s="59" t="n">
        <v>1</v>
      </c>
      <c r="E162" s="60" t="s">
        <v>2215</v>
      </c>
      <c r="F162" s="60" t="s">
        <v>2216</v>
      </c>
      <c r="G162" s="1" t="s">
        <v>1602</v>
      </c>
      <c r="H162" s="1" t="n">
        <v>4</v>
      </c>
      <c r="I162" s="1" t="s">
        <v>1602</v>
      </c>
      <c r="J162" s="1" t="s">
        <v>1602</v>
      </c>
      <c r="K162" s="1" t="n">
        <v>6</v>
      </c>
      <c r="L162" s="21" t="str">
        <f aca="false">VLOOKUP(K162,clasif_filas!$A$2:$J$39,2,FALSE())</f>
        <v>Otros servicios</v>
      </c>
      <c r="M162" s="21" t="n">
        <f aca="false">VLOOKUP(K162,clasif_filas!$A$2:$J$39,3,FALSE())</f>
        <v>6</v>
      </c>
      <c r="N162" s="21" t="str">
        <f aca="false">VLOOKUP(K162,clasif_filas!$A$2:$J$39,4,FALSE())</f>
        <v>Otros servicios</v>
      </c>
      <c r="O162" s="21" t="n">
        <f aca="false">VLOOKUP(K162,clasif_filas!$A$2:$J$39,5,FALSE())</f>
        <v>99</v>
      </c>
      <c r="P162" s="21" t="str">
        <f aca="false">VLOOKUP(K162,clasif_filas!$A$2:$J$39,6,FALSE())</f>
        <v>No Bioeconomía</v>
      </c>
      <c r="Q162" s="21" t="n">
        <f aca="false">VLOOKUP(K162,clasif_filas!$A$2:$J$39,7,FALSE())</f>
        <v>6</v>
      </c>
      <c r="R162" s="21" t="str">
        <f aca="false">VLOOKUP(K162,clasif_filas!$A$2:$J$39,8,FALSE())</f>
        <v>Servicios comerciales de distribución; alojamiento, servicios de suministro de comidas y bebidas; servicios de transporte; y servicios de distribución de electricidad, gas y agua</v>
      </c>
      <c r="S162" s="21" t="n">
        <f aca="false">VLOOKUP(K162,clasif_filas!$A$2:$J$39,9,FALSE())</f>
        <v>3</v>
      </c>
      <c r="T162" s="61" t="str">
        <f aca="false">VLOOKUP(K162,clasif_filas!$A$2:$J$39,10,FALSE())</f>
        <v>No bioeconomía</v>
      </c>
    </row>
    <row r="163" customFormat="false" ht="25.55" hidden="false" customHeight="false" outlineLevel="0" collapsed="false">
      <c r="A163" s="29" t="s">
        <v>325</v>
      </c>
      <c r="B163" s="58" t="s">
        <v>1835</v>
      </c>
      <c r="C163" s="58" t="s">
        <v>1617</v>
      </c>
      <c r="D163" s="59" t="n">
        <v>1</v>
      </c>
      <c r="E163" s="60" t="s">
        <v>2217</v>
      </c>
      <c r="F163" s="60" t="s">
        <v>2218</v>
      </c>
      <c r="G163" s="1" t="s">
        <v>1602</v>
      </c>
      <c r="H163" s="1" t="n">
        <v>4</v>
      </c>
      <c r="I163" s="1" t="s">
        <v>1602</v>
      </c>
      <c r="J163" s="1" t="s">
        <v>1602</v>
      </c>
      <c r="K163" s="1" t="n">
        <v>6</v>
      </c>
      <c r="L163" s="21" t="str">
        <f aca="false">VLOOKUP(K163,clasif_filas!$A$2:$J$39,2,FALSE())</f>
        <v>Otros servicios</v>
      </c>
      <c r="M163" s="21" t="n">
        <f aca="false">VLOOKUP(K163,clasif_filas!$A$2:$J$39,3,FALSE())</f>
        <v>6</v>
      </c>
      <c r="N163" s="21" t="str">
        <f aca="false">VLOOKUP(K163,clasif_filas!$A$2:$J$39,4,FALSE())</f>
        <v>Otros servicios</v>
      </c>
      <c r="O163" s="21" t="n">
        <f aca="false">VLOOKUP(K163,clasif_filas!$A$2:$J$39,5,FALSE())</f>
        <v>99</v>
      </c>
      <c r="P163" s="21" t="str">
        <f aca="false">VLOOKUP(K163,clasif_filas!$A$2:$J$39,6,FALSE())</f>
        <v>No Bioeconomía</v>
      </c>
      <c r="Q163" s="21" t="n">
        <f aca="false">VLOOKUP(K163,clasif_filas!$A$2:$J$39,7,FALSE())</f>
        <v>6</v>
      </c>
      <c r="R163" s="21" t="str">
        <f aca="false">VLOOKUP(K163,clasif_filas!$A$2:$J$39,8,FALSE())</f>
        <v>Servicios comerciales de distribución; alojamiento, servicios de suministro de comidas y bebidas; servicios de transporte; y servicios de distribución de electricidad, gas y agua</v>
      </c>
      <c r="S163" s="21" t="n">
        <f aca="false">VLOOKUP(K163,clasif_filas!$A$2:$J$39,9,FALSE())</f>
        <v>3</v>
      </c>
      <c r="T163" s="61" t="str">
        <f aca="false">VLOOKUP(K163,clasif_filas!$A$2:$J$39,10,FALSE())</f>
        <v>No bioeconomía</v>
      </c>
    </row>
    <row r="164" customFormat="false" ht="25.55" hidden="false" customHeight="false" outlineLevel="0" collapsed="false">
      <c r="A164" s="29" t="s">
        <v>327</v>
      </c>
      <c r="B164" s="58" t="s">
        <v>1835</v>
      </c>
      <c r="C164" s="58" t="s">
        <v>1617</v>
      </c>
      <c r="D164" s="59" t="n">
        <v>1</v>
      </c>
      <c r="E164" s="60" t="s">
        <v>2219</v>
      </c>
      <c r="F164" s="60" t="s">
        <v>2220</v>
      </c>
      <c r="G164" s="1" t="s">
        <v>1602</v>
      </c>
      <c r="H164" s="1" t="n">
        <v>4</v>
      </c>
      <c r="I164" s="1" t="s">
        <v>1602</v>
      </c>
      <c r="J164" s="1" t="s">
        <v>1602</v>
      </c>
      <c r="K164" s="1" t="n">
        <v>6</v>
      </c>
      <c r="L164" s="21" t="str">
        <f aca="false">VLOOKUP(K164,clasif_filas!$A$2:$J$39,2,FALSE())</f>
        <v>Otros servicios</v>
      </c>
      <c r="M164" s="21" t="n">
        <f aca="false">VLOOKUP(K164,clasif_filas!$A$2:$J$39,3,FALSE())</f>
        <v>6</v>
      </c>
      <c r="N164" s="21" t="str">
        <f aca="false">VLOOKUP(K164,clasif_filas!$A$2:$J$39,4,FALSE())</f>
        <v>Otros servicios</v>
      </c>
      <c r="O164" s="21" t="n">
        <f aca="false">VLOOKUP(K164,clasif_filas!$A$2:$J$39,5,FALSE())</f>
        <v>99</v>
      </c>
      <c r="P164" s="21" t="str">
        <f aca="false">VLOOKUP(K164,clasif_filas!$A$2:$J$39,6,FALSE())</f>
        <v>No Bioeconomía</v>
      </c>
      <c r="Q164" s="21" t="n">
        <f aca="false">VLOOKUP(K164,clasif_filas!$A$2:$J$39,7,FALSE())</f>
        <v>6</v>
      </c>
      <c r="R164" s="21" t="str">
        <f aca="false">VLOOKUP(K164,clasif_filas!$A$2:$J$39,8,FALSE())</f>
        <v>Servicios comerciales de distribución; alojamiento, servicios de suministro de comidas y bebidas; servicios de transporte; y servicios de distribución de electricidad, gas y agua</v>
      </c>
      <c r="S164" s="21" t="n">
        <f aca="false">VLOOKUP(K164,clasif_filas!$A$2:$J$39,9,FALSE())</f>
        <v>3</v>
      </c>
      <c r="T164" s="61" t="str">
        <f aca="false">VLOOKUP(K164,clasif_filas!$A$2:$J$39,10,FALSE())</f>
        <v>No bioeconomía</v>
      </c>
    </row>
    <row r="165" customFormat="false" ht="25.55" hidden="false" customHeight="false" outlineLevel="0" collapsed="false">
      <c r="A165" s="29" t="s">
        <v>329</v>
      </c>
      <c r="B165" s="58" t="s">
        <v>1835</v>
      </c>
      <c r="C165" s="58" t="s">
        <v>1617</v>
      </c>
      <c r="D165" s="59" t="n">
        <v>1</v>
      </c>
      <c r="E165" s="60" t="s">
        <v>2221</v>
      </c>
      <c r="F165" s="60" t="s">
        <v>2222</v>
      </c>
      <c r="G165" s="1" t="s">
        <v>1936</v>
      </c>
      <c r="H165" s="1" t="n">
        <v>3</v>
      </c>
      <c r="I165" s="1" t="s">
        <v>1937</v>
      </c>
      <c r="J165" s="1" t="s">
        <v>1936</v>
      </c>
      <c r="K165" s="1" t="n">
        <v>81</v>
      </c>
      <c r="L165" s="21" t="str">
        <f aca="false">VLOOKUP(K165,clasif_filas!$A$2:$J$39,2,FALSE())</f>
        <v>Servicios de investigación y desarrollo</v>
      </c>
      <c r="M165" s="21" t="n">
        <f aca="false">VLOOKUP(K165,clasif_filas!$A$2:$J$39,3,FALSE())</f>
        <v>81</v>
      </c>
      <c r="N165" s="21" t="str">
        <f aca="false">VLOOKUP(K165,clasif_filas!$A$2:$J$39,4,FALSE())</f>
        <v>Servicios de investigación y desarrollo</v>
      </c>
      <c r="O165" s="21" t="n">
        <f aca="false">VLOOKUP(K165,clasif_filas!$A$2:$J$39,5,FALSE())</f>
        <v>6</v>
      </c>
      <c r="P165" s="21" t="str">
        <f aca="false">VLOOKUP(K165,clasif_filas!$A$2:$J$39,6,FALSE())</f>
        <v>Conocimiento, procesos y servicios relacionados</v>
      </c>
      <c r="Q165" s="21" t="n">
        <f aca="false">VLOOKUP(K165,clasif_filas!$A$2:$J$39,7,FALSE())</f>
        <v>8</v>
      </c>
      <c r="R165" s="21" t="str">
        <f aca="false">VLOOKUP(K165,clasif_filas!$A$2:$J$39,8,FALSE())</f>
        <v>Servicios prestados a las empresas y servicios de producción</v>
      </c>
      <c r="S165" s="21" t="n">
        <f aca="false">VLOOKUP(K165,clasif_filas!$A$2:$J$39,9,FALSE())</f>
        <v>2</v>
      </c>
      <c r="T165" s="61" t="str">
        <f aca="false">VLOOKUP(K165,clasif_filas!$A$2:$J$39,10,FALSE())</f>
        <v>Bioeconomía extendida</v>
      </c>
    </row>
    <row r="166" customFormat="false" ht="25.55" hidden="false" customHeight="false" outlineLevel="0" collapsed="false">
      <c r="A166" s="29" t="s">
        <v>331</v>
      </c>
      <c r="B166" s="58" t="s">
        <v>1835</v>
      </c>
      <c r="C166" s="58" t="s">
        <v>1617</v>
      </c>
      <c r="D166" s="59" t="n">
        <v>1</v>
      </c>
      <c r="E166" s="60" t="s">
        <v>2223</v>
      </c>
      <c r="F166" s="60" t="s">
        <v>2224</v>
      </c>
      <c r="G166" s="1" t="s">
        <v>1602</v>
      </c>
      <c r="H166" s="1" t="n">
        <v>4</v>
      </c>
      <c r="I166" s="1" t="s">
        <v>1602</v>
      </c>
      <c r="J166" s="1" t="s">
        <v>1602</v>
      </c>
      <c r="K166" s="1" t="n">
        <v>6</v>
      </c>
      <c r="L166" s="21" t="str">
        <f aca="false">VLOOKUP(K166,clasif_filas!$A$2:$J$39,2,FALSE())</f>
        <v>Otros servicios</v>
      </c>
      <c r="M166" s="21" t="n">
        <f aca="false">VLOOKUP(K166,clasif_filas!$A$2:$J$39,3,FALSE())</f>
        <v>6</v>
      </c>
      <c r="N166" s="21" t="str">
        <f aca="false">VLOOKUP(K166,clasif_filas!$A$2:$J$39,4,FALSE())</f>
        <v>Otros servicios</v>
      </c>
      <c r="O166" s="21" t="n">
        <f aca="false">VLOOKUP(K166,clasif_filas!$A$2:$J$39,5,FALSE())</f>
        <v>99</v>
      </c>
      <c r="P166" s="21" t="str">
        <f aca="false">VLOOKUP(K166,clasif_filas!$A$2:$J$39,6,FALSE())</f>
        <v>No Bioeconomía</v>
      </c>
      <c r="Q166" s="21" t="n">
        <f aca="false">VLOOKUP(K166,clasif_filas!$A$2:$J$39,7,FALSE())</f>
        <v>6</v>
      </c>
      <c r="R166" s="21" t="str">
        <f aca="false">VLOOKUP(K166,clasif_filas!$A$2:$J$39,8,FALSE())</f>
        <v>Servicios comerciales de distribución; alojamiento, servicios de suministro de comidas y bebidas; servicios de transporte; y servicios de distribución de electricidad, gas y agua</v>
      </c>
      <c r="S166" s="21" t="n">
        <f aca="false">VLOOKUP(K166,clasif_filas!$A$2:$J$39,9,FALSE())</f>
        <v>3</v>
      </c>
      <c r="T166" s="61" t="str">
        <f aca="false">VLOOKUP(K166,clasif_filas!$A$2:$J$39,10,FALSE())</f>
        <v>No bioeconomía</v>
      </c>
    </row>
    <row r="167" customFormat="false" ht="14.25" hidden="false" customHeight="false" outlineLevel="0" collapsed="false">
      <c r="A167" s="29" t="s">
        <v>333</v>
      </c>
      <c r="B167" s="58" t="s">
        <v>1835</v>
      </c>
      <c r="C167" s="58" t="s">
        <v>1617</v>
      </c>
      <c r="D167" s="59" t="n">
        <v>1</v>
      </c>
      <c r="E167" s="60" t="s">
        <v>2225</v>
      </c>
      <c r="F167" s="60" t="s">
        <v>2226</v>
      </c>
      <c r="G167" s="1" t="s">
        <v>1936</v>
      </c>
      <c r="H167" s="1" t="n">
        <v>3</v>
      </c>
      <c r="I167" s="1" t="s">
        <v>1937</v>
      </c>
      <c r="J167" s="1" t="s">
        <v>1936</v>
      </c>
      <c r="K167" s="1" t="n">
        <v>86</v>
      </c>
      <c r="L167" s="21" t="str">
        <f aca="false">VLOOKUP(K167,clasif_filas!$A$2:$J$39,2,FALSE())</f>
        <v>Servicios de apoyo a la agricultura,la caza, la silvicutura, la pesca, la minería y los servicios públicos</v>
      </c>
      <c r="M167" s="21" t="n">
        <f aca="false">VLOOKUP(K167,clasif_filas!$A$2:$J$39,3,FALSE())</f>
        <v>86</v>
      </c>
      <c r="N167" s="21" t="str">
        <f aca="false">VLOOKUP(K167,clasif_filas!$A$2:$J$39,4,FALSE())</f>
        <v>Servicios de apoyo a la agricultura,la caza, la silvicutura, la pesca, la minería y los servicios públicos</v>
      </c>
      <c r="O167" s="21" t="n">
        <f aca="false">VLOOKUP(K167,clasif_filas!$A$2:$J$39,5,FALSE())</f>
        <v>6</v>
      </c>
      <c r="P167" s="21" t="str">
        <f aca="false">VLOOKUP(K167,clasif_filas!$A$2:$J$39,6,FALSE())</f>
        <v>Conocimiento, procesos y servicios relacionados</v>
      </c>
      <c r="Q167" s="21" t="n">
        <f aca="false">VLOOKUP(K167,clasif_filas!$A$2:$J$39,7,FALSE())</f>
        <v>8</v>
      </c>
      <c r="R167" s="21" t="str">
        <f aca="false">VLOOKUP(K167,clasif_filas!$A$2:$J$39,8,FALSE())</f>
        <v>Servicios prestados a las empresas y servicios de producción</v>
      </c>
      <c r="S167" s="21" t="n">
        <f aca="false">VLOOKUP(K167,clasif_filas!$A$2:$J$39,9,FALSE())</f>
        <v>1</v>
      </c>
      <c r="T167" s="61" t="s">
        <v>1938</v>
      </c>
    </row>
    <row r="168" customFormat="false" ht="25.55" hidden="false" customHeight="false" outlineLevel="0" collapsed="false">
      <c r="A168" s="29" t="s">
        <v>335</v>
      </c>
      <c r="B168" s="58" t="s">
        <v>1835</v>
      </c>
      <c r="C168" s="58" t="s">
        <v>1617</v>
      </c>
      <c r="D168" s="59" t="n">
        <v>1</v>
      </c>
      <c r="E168" s="60" t="s">
        <v>2227</v>
      </c>
      <c r="F168" s="60" t="s">
        <v>2228</v>
      </c>
      <c r="G168" s="1" t="s">
        <v>1602</v>
      </c>
      <c r="H168" s="1" t="n">
        <v>4</v>
      </c>
      <c r="I168" s="1" t="s">
        <v>1602</v>
      </c>
      <c r="J168" s="1" t="s">
        <v>1602</v>
      </c>
      <c r="K168" s="1" t="n">
        <v>6</v>
      </c>
      <c r="L168" s="21" t="str">
        <f aca="false">VLOOKUP(K168,clasif_filas!$A$2:$J$39,2,FALSE())</f>
        <v>Otros servicios</v>
      </c>
      <c r="M168" s="21" t="n">
        <f aca="false">VLOOKUP(K168,clasif_filas!$A$2:$J$39,3,FALSE())</f>
        <v>6</v>
      </c>
      <c r="N168" s="21" t="str">
        <f aca="false">VLOOKUP(K168,clasif_filas!$A$2:$J$39,4,FALSE())</f>
        <v>Otros servicios</v>
      </c>
      <c r="O168" s="21" t="n">
        <f aca="false">VLOOKUP(K168,clasif_filas!$A$2:$J$39,5,FALSE())</f>
        <v>99</v>
      </c>
      <c r="P168" s="21" t="str">
        <f aca="false">VLOOKUP(K168,clasif_filas!$A$2:$J$39,6,FALSE())</f>
        <v>No Bioeconomía</v>
      </c>
      <c r="Q168" s="21" t="n">
        <f aca="false">VLOOKUP(K168,clasif_filas!$A$2:$J$39,7,FALSE())</f>
        <v>6</v>
      </c>
      <c r="R168" s="21" t="str">
        <f aca="false">VLOOKUP(K168,clasif_filas!$A$2:$J$39,8,FALSE())</f>
        <v>Servicios comerciales de distribución; alojamiento, servicios de suministro de comidas y bebidas; servicios de transporte; y servicios de distribución de electricidad, gas y agua</v>
      </c>
      <c r="S168" s="21" t="n">
        <f aca="false">VLOOKUP(K168,clasif_filas!$A$2:$J$39,9,FALSE())</f>
        <v>3</v>
      </c>
      <c r="T168" s="61" t="str">
        <f aca="false">VLOOKUP(K168,clasif_filas!$A$2:$J$39,10,FALSE())</f>
        <v>No bioeconomía</v>
      </c>
    </row>
    <row r="169" customFormat="false" ht="37.55" hidden="false" customHeight="false" outlineLevel="0" collapsed="false">
      <c r="A169" s="29" t="s">
        <v>337</v>
      </c>
      <c r="B169" s="58" t="s">
        <v>1835</v>
      </c>
      <c r="C169" s="58" t="s">
        <v>1617</v>
      </c>
      <c r="D169" s="59" t="n">
        <v>1</v>
      </c>
      <c r="E169" s="60" t="s">
        <v>2229</v>
      </c>
      <c r="F169" s="60" t="s">
        <v>2230</v>
      </c>
      <c r="G169" s="1" t="s">
        <v>1602</v>
      </c>
      <c r="H169" s="1" t="n">
        <v>4</v>
      </c>
      <c r="I169" s="1" t="s">
        <v>1602</v>
      </c>
      <c r="J169" s="1" t="s">
        <v>1602</v>
      </c>
      <c r="K169" s="1" t="n">
        <v>6</v>
      </c>
      <c r="L169" s="21" t="str">
        <f aca="false">VLOOKUP(K169,clasif_filas!$A$2:$J$39,2,FALSE())</f>
        <v>Otros servicios</v>
      </c>
      <c r="M169" s="21" t="n">
        <f aca="false">VLOOKUP(K169,clasif_filas!$A$2:$J$39,3,FALSE())</f>
        <v>6</v>
      </c>
      <c r="N169" s="21" t="str">
        <f aca="false">VLOOKUP(K169,clasif_filas!$A$2:$J$39,4,FALSE())</f>
        <v>Otros servicios</v>
      </c>
      <c r="O169" s="21" t="n">
        <f aca="false">VLOOKUP(K169,clasif_filas!$A$2:$J$39,5,FALSE())</f>
        <v>99</v>
      </c>
      <c r="P169" s="21" t="str">
        <f aca="false">VLOOKUP(K169,clasif_filas!$A$2:$J$39,6,FALSE())</f>
        <v>No Bioeconomía</v>
      </c>
      <c r="Q169" s="21" t="n">
        <f aca="false">VLOOKUP(K169,clasif_filas!$A$2:$J$39,7,FALSE())</f>
        <v>6</v>
      </c>
      <c r="R169" s="21" t="str">
        <f aca="false">VLOOKUP(K169,clasif_filas!$A$2:$J$39,8,FALSE())</f>
        <v>Servicios comerciales de distribución; alojamiento, servicios de suministro de comidas y bebidas; servicios de transporte; y servicios de distribución de electricidad, gas y agua</v>
      </c>
      <c r="S169" s="21" t="n">
        <f aca="false">VLOOKUP(K169,clasif_filas!$A$2:$J$39,9,FALSE())</f>
        <v>3</v>
      </c>
      <c r="T169" s="61" t="str">
        <f aca="false">VLOOKUP(K169,clasif_filas!$A$2:$J$39,10,FALSE())</f>
        <v>No bioeconomía</v>
      </c>
    </row>
    <row r="170" customFormat="false" ht="25.55" hidden="false" customHeight="false" outlineLevel="0" collapsed="false">
      <c r="A170" s="29" t="s">
        <v>339</v>
      </c>
      <c r="B170" s="58" t="s">
        <v>1835</v>
      </c>
      <c r="C170" s="58" t="s">
        <v>1617</v>
      </c>
      <c r="D170" s="59" t="n">
        <v>1</v>
      </c>
      <c r="E170" s="60" t="s">
        <v>2231</v>
      </c>
      <c r="F170" s="60" t="s">
        <v>2232</v>
      </c>
      <c r="G170" s="1" t="s">
        <v>1602</v>
      </c>
      <c r="H170" s="1" t="n">
        <v>4</v>
      </c>
      <c r="I170" s="1" t="s">
        <v>1602</v>
      </c>
      <c r="J170" s="1" t="s">
        <v>1602</v>
      </c>
      <c r="K170" s="1" t="n">
        <v>6</v>
      </c>
      <c r="L170" s="21" t="str">
        <f aca="false">VLOOKUP(K170,clasif_filas!$A$2:$J$39,2,FALSE())</f>
        <v>Otros servicios</v>
      </c>
      <c r="M170" s="21" t="n">
        <f aca="false">VLOOKUP(K170,clasif_filas!$A$2:$J$39,3,FALSE())</f>
        <v>6</v>
      </c>
      <c r="N170" s="21" t="str">
        <f aca="false">VLOOKUP(K170,clasif_filas!$A$2:$J$39,4,FALSE())</f>
        <v>Otros servicios</v>
      </c>
      <c r="O170" s="21" t="n">
        <f aca="false">VLOOKUP(K170,clasif_filas!$A$2:$J$39,5,FALSE())</f>
        <v>99</v>
      </c>
      <c r="P170" s="21" t="str">
        <f aca="false">VLOOKUP(K170,clasif_filas!$A$2:$J$39,6,FALSE())</f>
        <v>No Bioeconomía</v>
      </c>
      <c r="Q170" s="21" t="n">
        <f aca="false">VLOOKUP(K170,clasif_filas!$A$2:$J$39,7,FALSE())</f>
        <v>6</v>
      </c>
      <c r="R170" s="21" t="str">
        <f aca="false">VLOOKUP(K170,clasif_filas!$A$2:$J$39,8,FALSE())</f>
        <v>Servicios comerciales de distribución; alojamiento, servicios de suministro de comidas y bebidas; servicios de transporte; y servicios de distribución de electricidad, gas y agua</v>
      </c>
      <c r="S170" s="21" t="n">
        <f aca="false">VLOOKUP(K170,clasif_filas!$A$2:$J$39,9,FALSE())</f>
        <v>3</v>
      </c>
      <c r="T170" s="61" t="str">
        <f aca="false">VLOOKUP(K170,clasif_filas!$A$2:$J$39,10,FALSE())</f>
        <v>No bioeconomía</v>
      </c>
    </row>
    <row r="171" customFormat="false" ht="37.55" hidden="false" customHeight="false" outlineLevel="0" collapsed="false">
      <c r="A171" s="29" t="s">
        <v>341</v>
      </c>
      <c r="B171" s="58" t="s">
        <v>1835</v>
      </c>
      <c r="C171" s="58" t="s">
        <v>1617</v>
      </c>
      <c r="D171" s="59" t="n">
        <v>1</v>
      </c>
      <c r="E171" s="60" t="s">
        <v>2233</v>
      </c>
      <c r="F171" s="60" t="s">
        <v>2234</v>
      </c>
      <c r="G171" s="1" t="s">
        <v>1602</v>
      </c>
      <c r="H171" s="1" t="n">
        <v>4</v>
      </c>
      <c r="I171" s="1" t="s">
        <v>1602</v>
      </c>
      <c r="J171" s="1" t="s">
        <v>1602</v>
      </c>
      <c r="K171" s="1" t="n">
        <v>6</v>
      </c>
      <c r="L171" s="21" t="str">
        <f aca="false">VLOOKUP(K171,clasif_filas!$A$2:$J$39,2,FALSE())</f>
        <v>Otros servicios</v>
      </c>
      <c r="M171" s="21" t="n">
        <f aca="false">VLOOKUP(K171,clasif_filas!$A$2:$J$39,3,FALSE())</f>
        <v>6</v>
      </c>
      <c r="N171" s="21" t="str">
        <f aca="false">VLOOKUP(K171,clasif_filas!$A$2:$J$39,4,FALSE())</f>
        <v>Otros servicios</v>
      </c>
      <c r="O171" s="21" t="n">
        <f aca="false">VLOOKUP(K171,clasif_filas!$A$2:$J$39,5,FALSE())</f>
        <v>99</v>
      </c>
      <c r="P171" s="21" t="str">
        <f aca="false">VLOOKUP(K171,clasif_filas!$A$2:$J$39,6,FALSE())</f>
        <v>No Bioeconomía</v>
      </c>
      <c r="Q171" s="21" t="n">
        <f aca="false">VLOOKUP(K171,clasif_filas!$A$2:$J$39,7,FALSE())</f>
        <v>6</v>
      </c>
      <c r="R171" s="21" t="str">
        <f aca="false">VLOOKUP(K171,clasif_filas!$A$2:$J$39,8,FALSE())</f>
        <v>Servicios comerciales de distribución; alojamiento, servicios de suministro de comidas y bebidas; servicios de transporte; y servicios de distribución de electricidad, gas y agua</v>
      </c>
      <c r="S171" s="21" t="n">
        <f aca="false">VLOOKUP(K171,clasif_filas!$A$2:$J$39,9,FALSE())</f>
        <v>3</v>
      </c>
      <c r="T171" s="61" t="str">
        <f aca="false">VLOOKUP(K171,clasif_filas!$A$2:$J$39,10,FALSE())</f>
        <v>No bioeconomía</v>
      </c>
    </row>
    <row r="172" customFormat="false" ht="25.55" hidden="false" customHeight="false" outlineLevel="0" collapsed="false">
      <c r="A172" s="29" t="s">
        <v>343</v>
      </c>
      <c r="B172" s="58" t="s">
        <v>1835</v>
      </c>
      <c r="C172" s="58" t="s">
        <v>1617</v>
      </c>
      <c r="D172" s="59" t="n">
        <v>1</v>
      </c>
      <c r="E172" s="60" t="s">
        <v>2235</v>
      </c>
      <c r="F172" s="60" t="s">
        <v>2236</v>
      </c>
      <c r="G172" s="1" t="s">
        <v>1602</v>
      </c>
      <c r="H172" s="1" t="n">
        <v>4</v>
      </c>
      <c r="I172" s="1" t="s">
        <v>1602</v>
      </c>
      <c r="J172" s="1" t="s">
        <v>1602</v>
      </c>
      <c r="K172" s="1" t="n">
        <v>6</v>
      </c>
      <c r="L172" s="21" t="str">
        <f aca="false">VLOOKUP(K172,clasif_filas!$A$2:$J$39,2,FALSE())</f>
        <v>Otros servicios</v>
      </c>
      <c r="M172" s="21" t="n">
        <f aca="false">VLOOKUP(K172,clasif_filas!$A$2:$J$39,3,FALSE())</f>
        <v>6</v>
      </c>
      <c r="N172" s="21" t="str">
        <f aca="false">VLOOKUP(K172,clasif_filas!$A$2:$J$39,4,FALSE())</f>
        <v>Otros servicios</v>
      </c>
      <c r="O172" s="21" t="n">
        <f aca="false">VLOOKUP(K172,clasif_filas!$A$2:$J$39,5,FALSE())</f>
        <v>99</v>
      </c>
      <c r="P172" s="21" t="str">
        <f aca="false">VLOOKUP(K172,clasif_filas!$A$2:$J$39,6,FALSE())</f>
        <v>No Bioeconomía</v>
      </c>
      <c r="Q172" s="21" t="n">
        <f aca="false">VLOOKUP(K172,clasif_filas!$A$2:$J$39,7,FALSE())</f>
        <v>6</v>
      </c>
      <c r="R172" s="21" t="str">
        <f aca="false">VLOOKUP(K172,clasif_filas!$A$2:$J$39,8,FALSE())</f>
        <v>Servicios comerciales de distribución; alojamiento, servicios de suministro de comidas y bebidas; servicios de transporte; y servicios de distribución de electricidad, gas y agua</v>
      </c>
      <c r="S172" s="21" t="n">
        <f aca="false">VLOOKUP(K172,clasif_filas!$A$2:$J$39,9,FALSE())</f>
        <v>3</v>
      </c>
      <c r="T172" s="61" t="str">
        <f aca="false">VLOOKUP(K172,clasif_filas!$A$2:$J$39,10,FALSE())</f>
        <v>No bioeconomía</v>
      </c>
    </row>
    <row r="173" customFormat="false" ht="25.55" hidden="false" customHeight="false" outlineLevel="0" collapsed="false">
      <c r="A173" s="29" t="s">
        <v>345</v>
      </c>
      <c r="B173" s="58" t="s">
        <v>1835</v>
      </c>
      <c r="C173" s="58" t="s">
        <v>1617</v>
      </c>
      <c r="D173" s="59" t="n">
        <v>1</v>
      </c>
      <c r="E173" s="60" t="s">
        <v>2237</v>
      </c>
      <c r="F173" s="60" t="s">
        <v>2238</v>
      </c>
      <c r="G173" s="1" t="s">
        <v>1602</v>
      </c>
      <c r="H173" s="1" t="n">
        <v>4</v>
      </c>
      <c r="I173" s="1" t="s">
        <v>1602</v>
      </c>
      <c r="J173" s="1" t="s">
        <v>1602</v>
      </c>
      <c r="K173" s="1" t="n">
        <v>6</v>
      </c>
      <c r="L173" s="21" t="str">
        <f aca="false">VLOOKUP(K173,clasif_filas!$A$2:$J$39,2,FALSE())</f>
        <v>Otros servicios</v>
      </c>
      <c r="M173" s="21" t="n">
        <f aca="false">VLOOKUP(K173,clasif_filas!$A$2:$J$39,3,FALSE())</f>
        <v>6</v>
      </c>
      <c r="N173" s="21" t="str">
        <f aca="false">VLOOKUP(K173,clasif_filas!$A$2:$J$39,4,FALSE())</f>
        <v>Otros servicios</v>
      </c>
      <c r="O173" s="21" t="n">
        <f aca="false">VLOOKUP(K173,clasif_filas!$A$2:$J$39,5,FALSE())</f>
        <v>99</v>
      </c>
      <c r="P173" s="21" t="str">
        <f aca="false">VLOOKUP(K173,clasif_filas!$A$2:$J$39,6,FALSE())</f>
        <v>No Bioeconomía</v>
      </c>
      <c r="Q173" s="21" t="n">
        <f aca="false">VLOOKUP(K173,clasif_filas!$A$2:$J$39,7,FALSE())</f>
        <v>6</v>
      </c>
      <c r="R173" s="21" t="str">
        <f aca="false">VLOOKUP(K173,clasif_filas!$A$2:$J$39,8,FALSE())</f>
        <v>Servicios comerciales de distribución; alojamiento, servicios de suministro de comidas y bebidas; servicios de transporte; y servicios de distribución de electricidad, gas y agua</v>
      </c>
      <c r="S173" s="21" t="n">
        <f aca="false">VLOOKUP(K173,clasif_filas!$A$2:$J$39,9,FALSE())</f>
        <v>3</v>
      </c>
      <c r="T173" s="61" t="str">
        <f aca="false">VLOOKUP(K173,clasif_filas!$A$2:$J$39,10,FALSE())</f>
        <v>No bioeconomía</v>
      </c>
    </row>
    <row r="174" customFormat="false" ht="25.55" hidden="false" customHeight="false" outlineLevel="0" collapsed="false">
      <c r="A174" s="29" t="s">
        <v>347</v>
      </c>
      <c r="B174" s="58" t="s">
        <v>1835</v>
      </c>
      <c r="C174" s="58" t="s">
        <v>1617</v>
      </c>
      <c r="D174" s="59" t="n">
        <v>1</v>
      </c>
      <c r="E174" s="60" t="s">
        <v>2239</v>
      </c>
      <c r="F174" s="60" t="s">
        <v>2240</v>
      </c>
      <c r="G174" s="1" t="s">
        <v>1602</v>
      </c>
      <c r="H174" s="1" t="n">
        <v>4</v>
      </c>
      <c r="I174" s="1" t="s">
        <v>1602</v>
      </c>
      <c r="J174" s="1" t="s">
        <v>1602</v>
      </c>
      <c r="K174" s="1" t="n">
        <v>6</v>
      </c>
      <c r="L174" s="21" t="str">
        <f aca="false">VLOOKUP(K174,clasif_filas!$A$2:$J$39,2,FALSE())</f>
        <v>Otros servicios</v>
      </c>
      <c r="M174" s="21" t="n">
        <f aca="false">VLOOKUP(K174,clasif_filas!$A$2:$J$39,3,FALSE())</f>
        <v>6</v>
      </c>
      <c r="N174" s="21" t="str">
        <f aca="false">VLOOKUP(K174,clasif_filas!$A$2:$J$39,4,FALSE())</f>
        <v>Otros servicios</v>
      </c>
      <c r="O174" s="21" t="n">
        <f aca="false">VLOOKUP(K174,clasif_filas!$A$2:$J$39,5,FALSE())</f>
        <v>99</v>
      </c>
      <c r="P174" s="21" t="str">
        <f aca="false">VLOOKUP(K174,clasif_filas!$A$2:$J$39,6,FALSE())</f>
        <v>No Bioeconomía</v>
      </c>
      <c r="Q174" s="21" t="n">
        <f aca="false">VLOOKUP(K174,clasif_filas!$A$2:$J$39,7,FALSE())</f>
        <v>6</v>
      </c>
      <c r="R174" s="21" t="str">
        <f aca="false">VLOOKUP(K174,clasif_filas!$A$2:$J$39,8,FALSE())</f>
        <v>Servicios comerciales de distribución; alojamiento, servicios de suministro de comidas y bebidas; servicios de transporte; y servicios de distribución de electricidad, gas y agua</v>
      </c>
      <c r="S174" s="21" t="n">
        <f aca="false">VLOOKUP(K174,clasif_filas!$A$2:$J$39,9,FALSE())</f>
        <v>3</v>
      </c>
      <c r="T174" s="61" t="str">
        <f aca="false">VLOOKUP(K174,clasif_filas!$A$2:$J$39,10,FALSE())</f>
        <v>No bioeconomía</v>
      </c>
    </row>
    <row r="175" customFormat="false" ht="14.25" hidden="false" customHeight="false" outlineLevel="0" collapsed="false">
      <c r="A175" s="29" t="s">
        <v>349</v>
      </c>
      <c r="B175" s="58" t="s">
        <v>1835</v>
      </c>
      <c r="C175" s="58" t="s">
        <v>1617</v>
      </c>
      <c r="D175" s="59" t="n">
        <v>1</v>
      </c>
      <c r="E175" s="60" t="s">
        <v>2241</v>
      </c>
      <c r="F175" s="60" t="s">
        <v>2242</v>
      </c>
      <c r="G175" s="1" t="s">
        <v>1602</v>
      </c>
      <c r="H175" s="1" t="n">
        <v>4</v>
      </c>
      <c r="I175" s="1" t="s">
        <v>1602</v>
      </c>
      <c r="J175" s="1" t="s">
        <v>1602</v>
      </c>
      <c r="K175" s="1" t="n">
        <v>6</v>
      </c>
      <c r="L175" s="21" t="str">
        <f aca="false">VLOOKUP(K175,clasif_filas!$A$2:$J$39,2,FALSE())</f>
        <v>Otros servicios</v>
      </c>
      <c r="M175" s="21" t="n">
        <f aca="false">VLOOKUP(K175,clasif_filas!$A$2:$J$39,3,FALSE())</f>
        <v>6</v>
      </c>
      <c r="N175" s="21" t="str">
        <f aca="false">VLOOKUP(K175,clasif_filas!$A$2:$J$39,4,FALSE())</f>
        <v>Otros servicios</v>
      </c>
      <c r="O175" s="21" t="n">
        <f aca="false">VLOOKUP(K175,clasif_filas!$A$2:$J$39,5,FALSE())</f>
        <v>99</v>
      </c>
      <c r="P175" s="21" t="str">
        <f aca="false">VLOOKUP(K175,clasif_filas!$A$2:$J$39,6,FALSE())</f>
        <v>No Bioeconomía</v>
      </c>
      <c r="Q175" s="21" t="n">
        <f aca="false">VLOOKUP(K175,clasif_filas!$A$2:$J$39,7,FALSE())</f>
        <v>6</v>
      </c>
      <c r="R175" s="21" t="str">
        <f aca="false">VLOOKUP(K175,clasif_filas!$A$2:$J$39,8,FALSE())</f>
        <v>Servicios comerciales de distribución; alojamiento, servicios de suministro de comidas y bebidas; servicios de transporte; y servicios de distribución de electricidad, gas y agua</v>
      </c>
      <c r="S175" s="21" t="n">
        <f aca="false">VLOOKUP(K175,clasif_filas!$A$2:$J$39,9,FALSE())</f>
        <v>3</v>
      </c>
      <c r="T175" s="61" t="str">
        <f aca="false">VLOOKUP(K175,clasif_filas!$A$2:$J$39,10,FALSE())</f>
        <v>No bioeconomía</v>
      </c>
    </row>
    <row r="176" customFormat="false" ht="25.55" hidden="false" customHeight="false" outlineLevel="0" collapsed="false">
      <c r="A176" s="29" t="s">
        <v>351</v>
      </c>
      <c r="B176" s="58" t="s">
        <v>1835</v>
      </c>
      <c r="C176" s="58" t="s">
        <v>1617</v>
      </c>
      <c r="D176" s="59" t="n">
        <v>1</v>
      </c>
      <c r="E176" s="60" t="s">
        <v>2243</v>
      </c>
      <c r="F176" s="60" t="s">
        <v>2244</v>
      </c>
      <c r="G176" s="1" t="s">
        <v>1602</v>
      </c>
      <c r="H176" s="1" t="n">
        <v>4</v>
      </c>
      <c r="I176" s="1" t="s">
        <v>1602</v>
      </c>
      <c r="J176" s="1" t="s">
        <v>1602</v>
      </c>
      <c r="K176" s="1" t="n">
        <v>6</v>
      </c>
      <c r="L176" s="21" t="str">
        <f aca="false">VLOOKUP(K176,clasif_filas!$A$2:$J$39,2,FALSE())</f>
        <v>Otros servicios</v>
      </c>
      <c r="M176" s="21" t="n">
        <f aca="false">VLOOKUP(K176,clasif_filas!$A$2:$J$39,3,FALSE())</f>
        <v>6</v>
      </c>
      <c r="N176" s="21" t="str">
        <f aca="false">VLOOKUP(K176,clasif_filas!$A$2:$J$39,4,FALSE())</f>
        <v>Otros servicios</v>
      </c>
      <c r="O176" s="21" t="n">
        <f aca="false">VLOOKUP(K176,clasif_filas!$A$2:$J$39,5,FALSE())</f>
        <v>99</v>
      </c>
      <c r="P176" s="21" t="str">
        <f aca="false">VLOOKUP(K176,clasif_filas!$A$2:$J$39,6,FALSE())</f>
        <v>No Bioeconomía</v>
      </c>
      <c r="Q176" s="21" t="n">
        <f aca="false">VLOOKUP(K176,clasif_filas!$A$2:$J$39,7,FALSE())</f>
        <v>6</v>
      </c>
      <c r="R176" s="21" t="str">
        <f aca="false">VLOOKUP(K176,clasif_filas!$A$2:$J$39,8,FALSE())</f>
        <v>Servicios comerciales de distribución; alojamiento, servicios de suministro de comidas y bebidas; servicios de transporte; y servicios de distribución de electricidad, gas y agua</v>
      </c>
      <c r="S176" s="21" t="n">
        <f aca="false">VLOOKUP(K176,clasif_filas!$A$2:$J$39,9,FALSE())</f>
        <v>3</v>
      </c>
      <c r="T176" s="61" t="str">
        <f aca="false">VLOOKUP(K176,clasif_filas!$A$2:$J$39,10,FALSE())</f>
        <v>No bioeconomía</v>
      </c>
    </row>
    <row r="177" customFormat="false" ht="37.55" hidden="false" customHeight="false" outlineLevel="0" collapsed="false">
      <c r="A177" s="29" t="s">
        <v>353</v>
      </c>
      <c r="B177" s="58" t="s">
        <v>1835</v>
      </c>
      <c r="C177" s="58" t="s">
        <v>1617</v>
      </c>
      <c r="D177" s="59" t="n">
        <v>1</v>
      </c>
      <c r="E177" s="60" t="s">
        <v>2245</v>
      </c>
      <c r="F177" s="60" t="s">
        <v>2246</v>
      </c>
      <c r="G177" s="1" t="s">
        <v>1602</v>
      </c>
      <c r="H177" s="1" t="n">
        <v>4</v>
      </c>
      <c r="I177" s="1" t="s">
        <v>1602</v>
      </c>
      <c r="J177" s="1" t="s">
        <v>1602</v>
      </c>
      <c r="K177" s="1" t="n">
        <v>6</v>
      </c>
      <c r="L177" s="21" t="str">
        <f aca="false">VLOOKUP(K177,clasif_filas!$A$2:$J$39,2,FALSE())</f>
        <v>Otros servicios</v>
      </c>
      <c r="M177" s="21" t="n">
        <f aca="false">VLOOKUP(K177,clasif_filas!$A$2:$J$39,3,FALSE())</f>
        <v>6</v>
      </c>
      <c r="N177" s="21" t="str">
        <f aca="false">VLOOKUP(K177,clasif_filas!$A$2:$J$39,4,FALSE())</f>
        <v>Otros servicios</v>
      </c>
      <c r="O177" s="21" t="n">
        <f aca="false">VLOOKUP(K177,clasif_filas!$A$2:$J$39,5,FALSE())</f>
        <v>99</v>
      </c>
      <c r="P177" s="21" t="str">
        <f aca="false">VLOOKUP(K177,clasif_filas!$A$2:$J$39,6,FALSE())</f>
        <v>No Bioeconomía</v>
      </c>
      <c r="Q177" s="21" t="n">
        <f aca="false">VLOOKUP(K177,clasif_filas!$A$2:$J$39,7,FALSE())</f>
        <v>6</v>
      </c>
      <c r="R177" s="21" t="str">
        <f aca="false">VLOOKUP(K177,clasif_filas!$A$2:$J$39,8,FALSE())</f>
        <v>Servicios comerciales de distribución; alojamiento, servicios de suministro de comidas y bebidas; servicios de transporte; y servicios de distribución de electricidad, gas y agua</v>
      </c>
      <c r="S177" s="21" t="n">
        <f aca="false">VLOOKUP(K177,clasif_filas!$A$2:$J$39,9,FALSE())</f>
        <v>3</v>
      </c>
      <c r="T177" s="61" t="str">
        <f aca="false">VLOOKUP(K177,clasif_filas!$A$2:$J$39,10,FALSE())</f>
        <v>No bioeconomía</v>
      </c>
    </row>
    <row r="178" customFormat="false" ht="14.25" hidden="false" customHeight="false" outlineLevel="0" collapsed="false">
      <c r="A178" s="29" t="s">
        <v>355</v>
      </c>
      <c r="B178" s="58" t="s">
        <v>1835</v>
      </c>
      <c r="C178" s="58" t="s">
        <v>1617</v>
      </c>
      <c r="D178" s="59" t="n">
        <v>1</v>
      </c>
      <c r="E178" s="60" t="s">
        <v>2247</v>
      </c>
      <c r="F178" s="60" t="s">
        <v>2248</v>
      </c>
      <c r="G178" s="1" t="s">
        <v>1602</v>
      </c>
      <c r="H178" s="1" t="n">
        <v>4</v>
      </c>
      <c r="I178" s="1" t="s">
        <v>1602</v>
      </c>
      <c r="J178" s="1" t="s">
        <v>1602</v>
      </c>
      <c r="K178" s="1" t="n">
        <v>6</v>
      </c>
      <c r="L178" s="21" t="str">
        <f aca="false">VLOOKUP(K178,clasif_filas!$A$2:$J$39,2,FALSE())</f>
        <v>Otros servicios</v>
      </c>
      <c r="M178" s="21" t="n">
        <f aca="false">VLOOKUP(K178,clasif_filas!$A$2:$J$39,3,FALSE())</f>
        <v>6</v>
      </c>
      <c r="N178" s="21" t="str">
        <f aca="false">VLOOKUP(K178,clasif_filas!$A$2:$J$39,4,FALSE())</f>
        <v>Otros servicios</v>
      </c>
      <c r="O178" s="21" t="n">
        <f aca="false">VLOOKUP(K178,clasif_filas!$A$2:$J$39,5,FALSE())</f>
        <v>99</v>
      </c>
      <c r="P178" s="21" t="str">
        <f aca="false">VLOOKUP(K178,clasif_filas!$A$2:$J$39,6,FALSE())</f>
        <v>No Bioeconomía</v>
      </c>
      <c r="Q178" s="21" t="n">
        <f aca="false">VLOOKUP(K178,clasif_filas!$A$2:$J$39,7,FALSE())</f>
        <v>6</v>
      </c>
      <c r="R178" s="21" t="str">
        <f aca="false">VLOOKUP(K178,clasif_filas!$A$2:$J$39,8,FALSE())</f>
        <v>Servicios comerciales de distribución; alojamiento, servicios de suministro de comidas y bebidas; servicios de transporte; y servicios de distribución de electricidad, gas y agua</v>
      </c>
      <c r="S178" s="21" t="n">
        <f aca="false">VLOOKUP(K178,clasif_filas!$A$2:$J$39,9,FALSE())</f>
        <v>3</v>
      </c>
      <c r="T178" s="61" t="str">
        <f aca="false">VLOOKUP(K178,clasif_filas!$A$2:$J$39,10,FALSE())</f>
        <v>No bioeconomía</v>
      </c>
    </row>
    <row r="179" customFormat="false" ht="14.25" hidden="false" customHeight="false" outlineLevel="0" collapsed="false">
      <c r="A179" s="29" t="s">
        <v>357</v>
      </c>
      <c r="B179" s="58" t="s">
        <v>1835</v>
      </c>
      <c r="C179" s="58" t="s">
        <v>1617</v>
      </c>
      <c r="D179" s="59" t="n">
        <v>1</v>
      </c>
      <c r="E179" s="60" t="s">
        <v>2249</v>
      </c>
      <c r="F179" s="60" t="s">
        <v>2250</v>
      </c>
      <c r="G179" s="1" t="s">
        <v>1602</v>
      </c>
      <c r="H179" s="1" t="n">
        <v>4</v>
      </c>
      <c r="I179" s="1" t="s">
        <v>1602</v>
      </c>
      <c r="J179" s="1" t="s">
        <v>1602</v>
      </c>
      <c r="K179" s="1" t="n">
        <v>6</v>
      </c>
      <c r="L179" s="21" t="str">
        <f aca="false">VLOOKUP(K179,clasif_filas!$A$2:$J$39,2,FALSE())</f>
        <v>Otros servicios</v>
      </c>
      <c r="M179" s="21" t="n">
        <f aca="false">VLOOKUP(K179,clasif_filas!$A$2:$J$39,3,FALSE())</f>
        <v>6</v>
      </c>
      <c r="N179" s="21" t="str">
        <f aca="false">VLOOKUP(K179,clasif_filas!$A$2:$J$39,4,FALSE())</f>
        <v>Otros servicios</v>
      </c>
      <c r="O179" s="21" t="n">
        <f aca="false">VLOOKUP(K179,clasif_filas!$A$2:$J$39,5,FALSE())</f>
        <v>99</v>
      </c>
      <c r="P179" s="21" t="str">
        <f aca="false">VLOOKUP(K179,clasif_filas!$A$2:$J$39,6,FALSE())</f>
        <v>No Bioeconomía</v>
      </c>
      <c r="Q179" s="21" t="n">
        <f aca="false">VLOOKUP(K179,clasif_filas!$A$2:$J$39,7,FALSE())</f>
        <v>6</v>
      </c>
      <c r="R179" s="21" t="str">
        <f aca="false">VLOOKUP(K179,clasif_filas!$A$2:$J$39,8,FALSE())</f>
        <v>Servicios comerciales de distribución; alojamiento, servicios de suministro de comidas y bebidas; servicios de transporte; y servicios de distribución de electricidad, gas y agua</v>
      </c>
      <c r="S179" s="21" t="n">
        <f aca="false">VLOOKUP(K179,clasif_filas!$A$2:$J$39,9,FALSE())</f>
        <v>3</v>
      </c>
      <c r="T179" s="61" t="str">
        <f aca="false">VLOOKUP(K179,clasif_filas!$A$2:$J$39,10,FALSE())</f>
        <v>No bioeconomía</v>
      </c>
    </row>
    <row r="180" customFormat="false" ht="37.55" hidden="false" customHeight="false" outlineLevel="0" collapsed="false">
      <c r="A180" s="29" t="s">
        <v>359</v>
      </c>
      <c r="B180" s="58" t="s">
        <v>1835</v>
      </c>
      <c r="C180" s="58" t="s">
        <v>1617</v>
      </c>
      <c r="D180" s="59" t="n">
        <v>1</v>
      </c>
      <c r="E180" s="60" t="s">
        <v>2251</v>
      </c>
      <c r="F180" s="60" t="s">
        <v>2252</v>
      </c>
      <c r="G180" s="1" t="s">
        <v>1602</v>
      </c>
      <c r="H180" s="1" t="n">
        <v>4</v>
      </c>
      <c r="I180" s="1" t="s">
        <v>1602</v>
      </c>
      <c r="J180" s="1" t="s">
        <v>1602</v>
      </c>
      <c r="K180" s="1" t="n">
        <v>6</v>
      </c>
      <c r="L180" s="21" t="str">
        <f aca="false">VLOOKUP(K180,clasif_filas!$A$2:$J$39,2,FALSE())</f>
        <v>Otros servicios</v>
      </c>
      <c r="M180" s="21" t="n">
        <f aca="false">VLOOKUP(K180,clasif_filas!$A$2:$J$39,3,FALSE())</f>
        <v>6</v>
      </c>
      <c r="N180" s="21" t="str">
        <f aca="false">VLOOKUP(K180,clasif_filas!$A$2:$J$39,4,FALSE())</f>
        <v>Otros servicios</v>
      </c>
      <c r="O180" s="21" t="n">
        <f aca="false">VLOOKUP(K180,clasif_filas!$A$2:$J$39,5,FALSE())</f>
        <v>99</v>
      </c>
      <c r="P180" s="21" t="str">
        <f aca="false">VLOOKUP(K180,clasif_filas!$A$2:$J$39,6,FALSE())</f>
        <v>No Bioeconomía</v>
      </c>
      <c r="Q180" s="21" t="n">
        <f aca="false">VLOOKUP(K180,clasif_filas!$A$2:$J$39,7,FALSE())</f>
        <v>6</v>
      </c>
      <c r="R180" s="21" t="str">
        <f aca="false">VLOOKUP(K180,clasif_filas!$A$2:$J$39,8,FALSE())</f>
        <v>Servicios comerciales de distribución; alojamiento, servicios de suministro de comidas y bebidas; servicios de transporte; y servicios de distribución de electricidad, gas y agua</v>
      </c>
      <c r="S180" s="21" t="n">
        <f aca="false">VLOOKUP(K180,clasif_filas!$A$2:$J$39,9,FALSE())</f>
        <v>3</v>
      </c>
      <c r="T180" s="61" t="str">
        <f aca="false">VLOOKUP(K180,clasif_filas!$A$2:$J$39,10,FALSE())</f>
        <v>No bioeconomía</v>
      </c>
    </row>
    <row r="181" customFormat="false" ht="14.25" hidden="false" customHeight="false" outlineLevel="0" collapsed="false">
      <c r="A181" s="29" t="s">
        <v>361</v>
      </c>
      <c r="B181" s="58" t="s">
        <v>1835</v>
      </c>
      <c r="C181" s="58" t="s">
        <v>1617</v>
      </c>
      <c r="D181" s="59" t="n">
        <v>1</v>
      </c>
      <c r="E181" s="60" t="s">
        <v>2253</v>
      </c>
      <c r="F181" s="60" t="s">
        <v>2254</v>
      </c>
      <c r="G181" s="1" t="s">
        <v>1602</v>
      </c>
      <c r="H181" s="1" t="n">
        <v>4</v>
      </c>
      <c r="I181" s="1" t="s">
        <v>1602</v>
      </c>
      <c r="J181" s="1" t="s">
        <v>1602</v>
      </c>
      <c r="K181" s="1" t="n">
        <v>6</v>
      </c>
      <c r="L181" s="21" t="str">
        <f aca="false">VLOOKUP(K181,clasif_filas!$A$2:$J$39,2,FALSE())</f>
        <v>Otros servicios</v>
      </c>
      <c r="M181" s="21" t="n">
        <f aca="false">VLOOKUP(K181,clasif_filas!$A$2:$J$39,3,FALSE())</f>
        <v>6</v>
      </c>
      <c r="N181" s="21" t="str">
        <f aca="false">VLOOKUP(K181,clasif_filas!$A$2:$J$39,4,FALSE())</f>
        <v>Otros servicios</v>
      </c>
      <c r="O181" s="21" t="n">
        <f aca="false">VLOOKUP(K181,clasif_filas!$A$2:$J$39,5,FALSE())</f>
        <v>99</v>
      </c>
      <c r="P181" s="21" t="str">
        <f aca="false">VLOOKUP(K181,clasif_filas!$A$2:$J$39,6,FALSE())</f>
        <v>No Bioeconomía</v>
      </c>
      <c r="Q181" s="21" t="n">
        <f aca="false">VLOOKUP(K181,clasif_filas!$A$2:$J$39,7,FALSE())</f>
        <v>6</v>
      </c>
      <c r="R181" s="21" t="str">
        <f aca="false">VLOOKUP(K181,clasif_filas!$A$2:$J$39,8,FALSE())</f>
        <v>Servicios comerciales de distribución; alojamiento, servicios de suministro de comidas y bebidas; servicios de transporte; y servicios de distribución de electricidad, gas y agua</v>
      </c>
      <c r="S181" s="21" t="n">
        <f aca="false">VLOOKUP(K181,clasif_filas!$A$2:$J$39,9,FALSE())</f>
        <v>3</v>
      </c>
      <c r="T181" s="61" t="str">
        <f aca="false">VLOOKUP(K181,clasif_filas!$A$2:$J$39,10,FALSE())</f>
        <v>No bioeconomía</v>
      </c>
    </row>
    <row r="182" customFormat="false" ht="14.25" hidden="false" customHeight="false" outlineLevel="0" collapsed="false">
      <c r="A182" s="29" t="s">
        <v>363</v>
      </c>
      <c r="B182" s="58" t="s">
        <v>1835</v>
      </c>
      <c r="C182" s="58" t="s">
        <v>1617</v>
      </c>
      <c r="D182" s="59" t="n">
        <v>1</v>
      </c>
      <c r="E182" s="60" t="s">
        <v>2255</v>
      </c>
      <c r="F182" s="60" t="s">
        <v>2256</v>
      </c>
      <c r="G182" s="1" t="s">
        <v>1602</v>
      </c>
      <c r="H182" s="1" t="n">
        <v>4</v>
      </c>
      <c r="I182" s="1" t="s">
        <v>1602</v>
      </c>
      <c r="J182" s="1" t="s">
        <v>1602</v>
      </c>
      <c r="K182" s="1" t="n">
        <v>6</v>
      </c>
      <c r="L182" s="21" t="str">
        <f aca="false">VLOOKUP(K182,clasif_filas!$A$2:$J$39,2,FALSE())</f>
        <v>Otros servicios</v>
      </c>
      <c r="M182" s="21" t="n">
        <f aca="false">VLOOKUP(K182,clasif_filas!$A$2:$J$39,3,FALSE())</f>
        <v>6</v>
      </c>
      <c r="N182" s="21" t="str">
        <f aca="false">VLOOKUP(K182,clasif_filas!$A$2:$J$39,4,FALSE())</f>
        <v>Otros servicios</v>
      </c>
      <c r="O182" s="21" t="n">
        <f aca="false">VLOOKUP(K182,clasif_filas!$A$2:$J$39,5,FALSE())</f>
        <v>99</v>
      </c>
      <c r="P182" s="21" t="str">
        <f aca="false">VLOOKUP(K182,clasif_filas!$A$2:$J$39,6,FALSE())</f>
        <v>No Bioeconomía</v>
      </c>
      <c r="Q182" s="21" t="n">
        <f aca="false">VLOOKUP(K182,clasif_filas!$A$2:$J$39,7,FALSE())</f>
        <v>6</v>
      </c>
      <c r="R182" s="21" t="str">
        <f aca="false">VLOOKUP(K182,clasif_filas!$A$2:$J$39,8,FALSE())</f>
        <v>Servicios comerciales de distribución; alojamiento, servicios de suministro de comidas y bebidas; servicios de transporte; y servicios de distribución de electricidad, gas y agua</v>
      </c>
      <c r="S182" s="21" t="n">
        <f aca="false">VLOOKUP(K182,clasif_filas!$A$2:$J$39,9,FALSE())</f>
        <v>3</v>
      </c>
      <c r="T182" s="61" t="str">
        <f aca="false">VLOOKUP(K182,clasif_filas!$A$2:$J$39,10,FALSE())</f>
        <v>No bioeconomía</v>
      </c>
    </row>
    <row r="183" customFormat="false" ht="14.25" hidden="false" customHeight="false" outlineLevel="0" collapsed="false">
      <c r="A183" s="29" t="s">
        <v>365</v>
      </c>
      <c r="B183" s="58" t="s">
        <v>1835</v>
      </c>
      <c r="C183" s="58" t="s">
        <v>1617</v>
      </c>
      <c r="D183" s="59" t="n">
        <v>1</v>
      </c>
      <c r="E183" s="60" t="s">
        <v>2257</v>
      </c>
      <c r="F183" s="60" t="s">
        <v>2258</v>
      </c>
      <c r="G183" s="1" t="s">
        <v>1602</v>
      </c>
      <c r="H183" s="1" t="n">
        <v>4</v>
      </c>
      <c r="I183" s="1" t="s">
        <v>1602</v>
      </c>
      <c r="J183" s="1" t="s">
        <v>1602</v>
      </c>
      <c r="K183" s="1" t="n">
        <v>6</v>
      </c>
      <c r="L183" s="21" t="str">
        <f aca="false">VLOOKUP(K183,clasif_filas!$A$2:$J$39,2,FALSE())</f>
        <v>Otros servicios</v>
      </c>
      <c r="M183" s="21" t="n">
        <f aca="false">VLOOKUP(K183,clasif_filas!$A$2:$J$39,3,FALSE())</f>
        <v>6</v>
      </c>
      <c r="N183" s="21" t="str">
        <f aca="false">VLOOKUP(K183,clasif_filas!$A$2:$J$39,4,FALSE())</f>
        <v>Otros servicios</v>
      </c>
      <c r="O183" s="21" t="n">
        <f aca="false">VLOOKUP(K183,clasif_filas!$A$2:$J$39,5,FALSE())</f>
        <v>99</v>
      </c>
      <c r="P183" s="21" t="str">
        <f aca="false">VLOOKUP(K183,clasif_filas!$A$2:$J$39,6,FALSE())</f>
        <v>No Bioeconomía</v>
      </c>
      <c r="Q183" s="21" t="n">
        <f aca="false">VLOOKUP(K183,clasif_filas!$A$2:$J$39,7,FALSE())</f>
        <v>6</v>
      </c>
      <c r="R183" s="21" t="str">
        <f aca="false">VLOOKUP(K183,clasif_filas!$A$2:$J$39,8,FALSE())</f>
        <v>Servicios comerciales de distribución; alojamiento, servicios de suministro de comidas y bebidas; servicios de transporte; y servicios de distribución de electricidad, gas y agua</v>
      </c>
      <c r="S183" s="21" t="n">
        <f aca="false">VLOOKUP(K183,clasif_filas!$A$2:$J$39,9,FALSE())</f>
        <v>3</v>
      </c>
      <c r="T183" s="61" t="str">
        <f aca="false">VLOOKUP(K183,clasif_filas!$A$2:$J$39,10,FALSE())</f>
        <v>No bioeconomía</v>
      </c>
    </row>
    <row r="184" customFormat="false" ht="25.55" hidden="false" customHeight="false" outlineLevel="0" collapsed="false">
      <c r="A184" s="29" t="s">
        <v>367</v>
      </c>
      <c r="B184" s="58" t="s">
        <v>1835</v>
      </c>
      <c r="C184" s="58" t="s">
        <v>1617</v>
      </c>
      <c r="D184" s="59" t="n">
        <v>1</v>
      </c>
      <c r="E184" s="60" t="s">
        <v>2259</v>
      </c>
      <c r="F184" s="60" t="s">
        <v>2260</v>
      </c>
      <c r="G184" s="1" t="s">
        <v>1602</v>
      </c>
      <c r="H184" s="1" t="n">
        <v>4</v>
      </c>
      <c r="I184" s="1" t="s">
        <v>1602</v>
      </c>
      <c r="J184" s="1" t="s">
        <v>1602</v>
      </c>
      <c r="K184" s="1" t="n">
        <v>6</v>
      </c>
      <c r="L184" s="21" t="str">
        <f aca="false">VLOOKUP(K184,clasif_filas!$A$2:$J$39,2,FALSE())</f>
        <v>Otros servicios</v>
      </c>
      <c r="M184" s="21" t="n">
        <f aca="false">VLOOKUP(K184,clasif_filas!$A$2:$J$39,3,FALSE())</f>
        <v>6</v>
      </c>
      <c r="N184" s="21" t="str">
        <f aca="false">VLOOKUP(K184,clasif_filas!$A$2:$J$39,4,FALSE())</f>
        <v>Otros servicios</v>
      </c>
      <c r="O184" s="21" t="n">
        <f aca="false">VLOOKUP(K184,clasif_filas!$A$2:$J$39,5,FALSE())</f>
        <v>99</v>
      </c>
      <c r="P184" s="21" t="str">
        <f aca="false">VLOOKUP(K184,clasif_filas!$A$2:$J$39,6,FALSE())</f>
        <v>No Bioeconomía</v>
      </c>
      <c r="Q184" s="21" t="n">
        <f aca="false">VLOOKUP(K184,clasif_filas!$A$2:$J$39,7,FALSE())</f>
        <v>6</v>
      </c>
      <c r="R184" s="21" t="str">
        <f aca="false">VLOOKUP(K184,clasif_filas!$A$2:$J$39,8,FALSE())</f>
        <v>Servicios comerciales de distribución; alojamiento, servicios de suministro de comidas y bebidas; servicios de transporte; y servicios de distribución de electricidad, gas y agua</v>
      </c>
      <c r="S184" s="21" t="n">
        <f aca="false">VLOOKUP(K184,clasif_filas!$A$2:$J$39,9,FALSE())</f>
        <v>3</v>
      </c>
      <c r="T184" s="61" t="str">
        <f aca="false">VLOOKUP(K184,clasif_filas!$A$2:$J$39,10,FALSE())</f>
        <v>No bioeconomía</v>
      </c>
    </row>
    <row r="185" customFormat="false" ht="25.55" hidden="false" customHeight="false" outlineLevel="0" collapsed="false">
      <c r="A185" s="29" t="s">
        <v>369</v>
      </c>
      <c r="B185" s="58" t="s">
        <v>1835</v>
      </c>
      <c r="C185" s="58" t="s">
        <v>1617</v>
      </c>
      <c r="D185" s="59" t="n">
        <v>1</v>
      </c>
      <c r="E185" s="60" t="s">
        <v>2261</v>
      </c>
      <c r="F185" s="60" t="s">
        <v>2262</v>
      </c>
      <c r="G185" s="1" t="s">
        <v>1602</v>
      </c>
      <c r="H185" s="1" t="n">
        <v>4</v>
      </c>
      <c r="I185" s="1" t="s">
        <v>1602</v>
      </c>
      <c r="J185" s="1" t="s">
        <v>1602</v>
      </c>
      <c r="K185" s="1" t="n">
        <v>6</v>
      </c>
      <c r="L185" s="21" t="str">
        <f aca="false">VLOOKUP(K185,clasif_filas!$A$2:$J$39,2,FALSE())</f>
        <v>Otros servicios</v>
      </c>
      <c r="M185" s="21" t="n">
        <f aca="false">VLOOKUP(K185,clasif_filas!$A$2:$J$39,3,FALSE())</f>
        <v>6</v>
      </c>
      <c r="N185" s="21" t="str">
        <f aca="false">VLOOKUP(K185,clasif_filas!$A$2:$J$39,4,FALSE())</f>
        <v>Otros servicios</v>
      </c>
      <c r="O185" s="21" t="n">
        <f aca="false">VLOOKUP(K185,clasif_filas!$A$2:$J$39,5,FALSE())</f>
        <v>99</v>
      </c>
      <c r="P185" s="21" t="str">
        <f aca="false">VLOOKUP(K185,clasif_filas!$A$2:$J$39,6,FALSE())</f>
        <v>No Bioeconomía</v>
      </c>
      <c r="Q185" s="21" t="n">
        <f aca="false">VLOOKUP(K185,clasif_filas!$A$2:$J$39,7,FALSE())</f>
        <v>6</v>
      </c>
      <c r="R185" s="21" t="str">
        <f aca="false">VLOOKUP(K185,clasif_filas!$A$2:$J$39,8,FALSE())</f>
        <v>Servicios comerciales de distribución; alojamiento, servicios de suministro de comidas y bebidas; servicios de transporte; y servicios de distribución de electricidad, gas y agua</v>
      </c>
      <c r="S185" s="21" t="n">
        <f aca="false">VLOOKUP(K185,clasif_filas!$A$2:$J$39,9,FALSE())</f>
        <v>3</v>
      </c>
      <c r="T185" s="61" t="str">
        <f aca="false">VLOOKUP(K185,clasif_filas!$A$2:$J$39,10,FALSE())</f>
        <v>No bioeconomía</v>
      </c>
    </row>
    <row r="186" customFormat="false" ht="25.55" hidden="false" customHeight="false" outlineLevel="0" collapsed="false">
      <c r="A186" s="29" t="s">
        <v>371</v>
      </c>
      <c r="B186" s="58" t="s">
        <v>1835</v>
      </c>
      <c r="C186" s="58" t="s">
        <v>1617</v>
      </c>
      <c r="D186" s="59" t="n">
        <v>1</v>
      </c>
      <c r="E186" s="60" t="s">
        <v>2263</v>
      </c>
      <c r="F186" s="60" t="s">
        <v>2264</v>
      </c>
      <c r="G186" s="1" t="s">
        <v>1602</v>
      </c>
      <c r="H186" s="1" t="n">
        <v>4</v>
      </c>
      <c r="I186" s="1" t="s">
        <v>1602</v>
      </c>
      <c r="J186" s="1" t="s">
        <v>1602</v>
      </c>
      <c r="K186" s="1" t="n">
        <v>6</v>
      </c>
      <c r="L186" s="21" t="str">
        <f aca="false">VLOOKUP(K186,clasif_filas!$A$2:$J$39,2,FALSE())</f>
        <v>Otros servicios</v>
      </c>
      <c r="M186" s="21" t="n">
        <f aca="false">VLOOKUP(K186,clasif_filas!$A$2:$J$39,3,FALSE())</f>
        <v>6</v>
      </c>
      <c r="N186" s="21" t="str">
        <f aca="false">VLOOKUP(K186,clasif_filas!$A$2:$J$39,4,FALSE())</f>
        <v>Otros servicios</v>
      </c>
      <c r="O186" s="21" t="n">
        <f aca="false">VLOOKUP(K186,clasif_filas!$A$2:$J$39,5,FALSE())</f>
        <v>99</v>
      </c>
      <c r="P186" s="21" t="str">
        <f aca="false">VLOOKUP(K186,clasif_filas!$A$2:$J$39,6,FALSE())</f>
        <v>No Bioeconomía</v>
      </c>
      <c r="Q186" s="21" t="n">
        <f aca="false">VLOOKUP(K186,clasif_filas!$A$2:$J$39,7,FALSE())</f>
        <v>6</v>
      </c>
      <c r="R186" s="21" t="str">
        <f aca="false">VLOOKUP(K186,clasif_filas!$A$2:$J$39,8,FALSE())</f>
        <v>Servicios comerciales de distribución; alojamiento, servicios de suministro de comidas y bebidas; servicios de transporte; y servicios de distribución de electricidad, gas y agua</v>
      </c>
      <c r="S186" s="21" t="n">
        <f aca="false">VLOOKUP(K186,clasif_filas!$A$2:$J$39,9,FALSE())</f>
        <v>3</v>
      </c>
      <c r="T186" s="61" t="str">
        <f aca="false">VLOOKUP(K186,clasif_filas!$A$2:$J$39,10,FALSE())</f>
        <v>No bioeconomía</v>
      </c>
    </row>
    <row r="187" customFormat="false" ht="37.55" hidden="false" customHeight="false" outlineLevel="0" collapsed="false">
      <c r="A187" s="29" t="s">
        <v>373</v>
      </c>
      <c r="B187" s="58" t="s">
        <v>1835</v>
      </c>
      <c r="C187" s="58" t="s">
        <v>1617</v>
      </c>
      <c r="D187" s="59" t="n">
        <v>1</v>
      </c>
      <c r="E187" s="60" t="s">
        <v>2265</v>
      </c>
      <c r="F187" s="60" t="s">
        <v>2266</v>
      </c>
      <c r="G187" s="1" t="s">
        <v>1602</v>
      </c>
      <c r="H187" s="1" t="n">
        <v>4</v>
      </c>
      <c r="I187" s="1" t="s">
        <v>1602</v>
      </c>
      <c r="J187" s="1" t="s">
        <v>1602</v>
      </c>
      <c r="K187" s="1" t="n">
        <v>6</v>
      </c>
      <c r="L187" s="21" t="str">
        <f aca="false">VLOOKUP(K187,clasif_filas!$A$2:$J$39,2,FALSE())</f>
        <v>Otros servicios</v>
      </c>
      <c r="M187" s="21" t="n">
        <f aca="false">VLOOKUP(K187,clasif_filas!$A$2:$J$39,3,FALSE())</f>
        <v>6</v>
      </c>
      <c r="N187" s="21" t="str">
        <f aca="false">VLOOKUP(K187,clasif_filas!$A$2:$J$39,4,FALSE())</f>
        <v>Otros servicios</v>
      </c>
      <c r="O187" s="21" t="n">
        <f aca="false">VLOOKUP(K187,clasif_filas!$A$2:$J$39,5,FALSE())</f>
        <v>99</v>
      </c>
      <c r="P187" s="21" t="str">
        <f aca="false">VLOOKUP(K187,clasif_filas!$A$2:$J$39,6,FALSE())</f>
        <v>No Bioeconomía</v>
      </c>
      <c r="Q187" s="21" t="n">
        <f aca="false">VLOOKUP(K187,clasif_filas!$A$2:$J$39,7,FALSE())</f>
        <v>6</v>
      </c>
      <c r="R187" s="21" t="str">
        <f aca="false">VLOOKUP(K187,clasif_filas!$A$2:$J$39,8,FALSE())</f>
        <v>Servicios comerciales de distribución; alojamiento, servicios de suministro de comidas y bebidas; servicios de transporte; y servicios de distribución de electricidad, gas y agua</v>
      </c>
      <c r="S187" s="21" t="n">
        <f aca="false">VLOOKUP(K187,clasif_filas!$A$2:$J$39,9,FALSE())</f>
        <v>3</v>
      </c>
      <c r="T187" s="61" t="str">
        <f aca="false">VLOOKUP(K187,clasif_filas!$A$2:$J$39,10,FALSE())</f>
        <v>No bioeconomía</v>
      </c>
    </row>
    <row r="188" customFormat="false" ht="14.25" hidden="false" customHeight="false" outlineLevel="0" collapsed="false">
      <c r="A188" s="29" t="s">
        <v>375</v>
      </c>
      <c r="B188" s="58" t="s">
        <v>1835</v>
      </c>
      <c r="C188" s="58" t="s">
        <v>1617</v>
      </c>
      <c r="D188" s="59" t="n">
        <v>1</v>
      </c>
      <c r="E188" s="60" t="s">
        <v>2267</v>
      </c>
      <c r="F188" s="60" t="s">
        <v>2268</v>
      </c>
      <c r="G188" s="1" t="s">
        <v>1602</v>
      </c>
      <c r="H188" s="1" t="n">
        <v>4</v>
      </c>
      <c r="I188" s="1" t="s">
        <v>1602</v>
      </c>
      <c r="J188" s="1" t="s">
        <v>1602</v>
      </c>
      <c r="K188" s="1" t="n">
        <v>6</v>
      </c>
      <c r="L188" s="21" t="str">
        <f aca="false">VLOOKUP(K188,clasif_filas!$A$2:$J$39,2,FALSE())</f>
        <v>Otros servicios</v>
      </c>
      <c r="M188" s="21" t="n">
        <f aca="false">VLOOKUP(K188,clasif_filas!$A$2:$J$39,3,FALSE())</f>
        <v>6</v>
      </c>
      <c r="N188" s="21" t="str">
        <f aca="false">VLOOKUP(K188,clasif_filas!$A$2:$J$39,4,FALSE())</f>
        <v>Otros servicios</v>
      </c>
      <c r="O188" s="21" t="n">
        <f aca="false">VLOOKUP(K188,clasif_filas!$A$2:$J$39,5,FALSE())</f>
        <v>99</v>
      </c>
      <c r="P188" s="21" t="str">
        <f aca="false">VLOOKUP(K188,clasif_filas!$A$2:$J$39,6,FALSE())</f>
        <v>No Bioeconomía</v>
      </c>
      <c r="Q188" s="21" t="n">
        <f aca="false">VLOOKUP(K188,clasif_filas!$A$2:$J$39,7,FALSE())</f>
        <v>6</v>
      </c>
      <c r="R188" s="21" t="str">
        <f aca="false">VLOOKUP(K188,clasif_filas!$A$2:$J$39,8,FALSE())</f>
        <v>Servicios comerciales de distribución; alojamiento, servicios de suministro de comidas y bebidas; servicios de transporte; y servicios de distribución de electricidad, gas y agua</v>
      </c>
      <c r="S188" s="21" t="n">
        <f aca="false">VLOOKUP(K188,clasif_filas!$A$2:$J$39,9,FALSE())</f>
        <v>3</v>
      </c>
      <c r="T188" s="61" t="str">
        <f aca="false">VLOOKUP(K188,clasif_filas!$A$2:$J$39,10,FALSE())</f>
        <v>No bioeconomía</v>
      </c>
    </row>
    <row r="189" customFormat="false" ht="14.25" hidden="false" customHeight="false" outlineLevel="0" collapsed="false">
      <c r="A189" s="29" t="s">
        <v>377</v>
      </c>
      <c r="B189" s="58" t="s">
        <v>1835</v>
      </c>
      <c r="C189" s="58" t="s">
        <v>1617</v>
      </c>
      <c r="D189" s="59" t="n">
        <v>1</v>
      </c>
      <c r="E189" s="60" t="s">
        <v>2269</v>
      </c>
      <c r="F189" s="60" t="s">
        <v>2270</v>
      </c>
      <c r="G189" s="1" t="s">
        <v>1602</v>
      </c>
      <c r="H189" s="1" t="n">
        <v>4</v>
      </c>
      <c r="I189" s="1" t="s">
        <v>1602</v>
      </c>
      <c r="J189" s="1" t="s">
        <v>1602</v>
      </c>
      <c r="K189" s="1" t="n">
        <v>6</v>
      </c>
      <c r="L189" s="21" t="str">
        <f aca="false">VLOOKUP(K189,clasif_filas!$A$2:$J$39,2,FALSE())</f>
        <v>Otros servicios</v>
      </c>
      <c r="M189" s="21" t="n">
        <f aca="false">VLOOKUP(K189,clasif_filas!$A$2:$J$39,3,FALSE())</f>
        <v>6</v>
      </c>
      <c r="N189" s="21" t="str">
        <f aca="false">VLOOKUP(K189,clasif_filas!$A$2:$J$39,4,FALSE())</f>
        <v>Otros servicios</v>
      </c>
      <c r="O189" s="21" t="n">
        <f aca="false">VLOOKUP(K189,clasif_filas!$A$2:$J$39,5,FALSE())</f>
        <v>99</v>
      </c>
      <c r="P189" s="21" t="str">
        <f aca="false">VLOOKUP(K189,clasif_filas!$A$2:$J$39,6,FALSE())</f>
        <v>No Bioeconomía</v>
      </c>
      <c r="Q189" s="21" t="n">
        <f aca="false">VLOOKUP(K189,clasif_filas!$A$2:$J$39,7,FALSE())</f>
        <v>6</v>
      </c>
      <c r="R189" s="21" t="str">
        <f aca="false">VLOOKUP(K189,clasif_filas!$A$2:$J$39,8,FALSE())</f>
        <v>Servicios comerciales de distribución; alojamiento, servicios de suministro de comidas y bebidas; servicios de transporte; y servicios de distribución de electricidad, gas y agua</v>
      </c>
      <c r="S189" s="21" t="n">
        <f aca="false">VLOOKUP(K189,clasif_filas!$A$2:$J$39,9,FALSE())</f>
        <v>3</v>
      </c>
      <c r="T189" s="61" t="str">
        <f aca="false">VLOOKUP(K189,clasif_filas!$A$2:$J$39,10,FALSE())</f>
        <v>No bioeconomía</v>
      </c>
    </row>
    <row r="190" customFormat="false" ht="14.25" hidden="false" customHeight="false" outlineLevel="0" collapsed="false">
      <c r="A190" s="29" t="s">
        <v>380</v>
      </c>
      <c r="B190" s="58" t="s">
        <v>1837</v>
      </c>
      <c r="C190" s="58" t="str">
        <f aca="false">VLOOKUP(B190, AT_FILAS!$A$2:$C$8,2,FALSE())</f>
        <v>Ajuste CIF/FOB</v>
      </c>
      <c r="D190" s="59" t="n">
        <f aca="false">VLOOKUP(B190, AT_FILAS!$A$2:$C$8,3,FALSE())</f>
        <v>3</v>
      </c>
      <c r="E190" s="64" t="s">
        <v>2271</v>
      </c>
      <c r="F190" s="65" t="s">
        <v>2272</v>
      </c>
      <c r="G190" s="1" t="s">
        <v>1602</v>
      </c>
      <c r="H190" s="1" t="n">
        <v>4</v>
      </c>
      <c r="I190" s="1" t="s">
        <v>1602</v>
      </c>
      <c r="J190" s="1" t="s">
        <v>1602</v>
      </c>
      <c r="K190" s="66" t="s">
        <v>1631</v>
      </c>
      <c r="L190" s="21" t="s">
        <v>1631</v>
      </c>
      <c r="M190" s="21" t="s">
        <v>1631</v>
      </c>
      <c r="N190" s="21" t="s">
        <v>1631</v>
      </c>
      <c r="O190" s="21" t="s">
        <v>1631</v>
      </c>
      <c r="P190" s="21" t="s">
        <v>1631</v>
      </c>
      <c r="Q190" s="21" t="s">
        <v>1631</v>
      </c>
      <c r="R190" s="21" t="s">
        <v>1631</v>
      </c>
      <c r="S190" s="21" t="s">
        <v>1631</v>
      </c>
      <c r="T190" s="61" t="s">
        <v>1631</v>
      </c>
    </row>
    <row r="191" customFormat="false" ht="25.55" hidden="false" customHeight="false" outlineLevel="0" collapsed="false">
      <c r="A191" s="29" t="s">
        <v>383</v>
      </c>
      <c r="B191" s="58" t="s">
        <v>1838</v>
      </c>
      <c r="C191" s="58" t="str">
        <f aca="false">VLOOKUP(B191, AT_FILAS!$A$2:$C$8,2,FALSE())</f>
        <v>Compras directas en el exterior por residentes</v>
      </c>
      <c r="D191" s="59" t="n">
        <f aca="false">VLOOKUP(B191, AT_FILAS!$A$2:$C$8,3,FALSE())</f>
        <v>4</v>
      </c>
      <c r="E191" s="60" t="s">
        <v>2273</v>
      </c>
      <c r="F191" s="65" t="s">
        <v>2274</v>
      </c>
      <c r="G191" s="1" t="s">
        <v>1602</v>
      </c>
      <c r="H191" s="1" t="n">
        <v>4</v>
      </c>
      <c r="I191" s="1" t="s">
        <v>1602</v>
      </c>
      <c r="J191" s="1" t="s">
        <v>1602</v>
      </c>
      <c r="K191" s="66" t="s">
        <v>1631</v>
      </c>
      <c r="L191" s="21" t="s">
        <v>1631</v>
      </c>
      <c r="M191" s="21" t="s">
        <v>1631</v>
      </c>
      <c r="N191" s="21" t="s">
        <v>1631</v>
      </c>
      <c r="O191" s="21" t="s">
        <v>1631</v>
      </c>
      <c r="P191" s="21" t="s">
        <v>1631</v>
      </c>
      <c r="Q191" s="21" t="s">
        <v>1631</v>
      </c>
      <c r="R191" s="21" t="s">
        <v>1631</v>
      </c>
      <c r="S191" s="21" t="s">
        <v>1631</v>
      </c>
      <c r="T191" s="61" t="s">
        <v>1631</v>
      </c>
    </row>
    <row r="192" customFormat="false" ht="25.55" hidden="false" customHeight="false" outlineLevel="0" collapsed="false">
      <c r="A192" s="29" t="s">
        <v>385</v>
      </c>
      <c r="B192" s="58" t="s">
        <v>1838</v>
      </c>
      <c r="C192" s="58" t="str">
        <f aca="false">VLOOKUP(B192, AT_FILAS!$A$2:$C$8,2,FALSE())</f>
        <v>Compras directas en el exterior por residentes</v>
      </c>
      <c r="D192" s="59" t="n">
        <f aca="false">VLOOKUP(B192, AT_FILAS!$A$2:$C$8,3,FALSE())</f>
        <v>4</v>
      </c>
      <c r="E192" s="60" t="s">
        <v>2275</v>
      </c>
      <c r="F192" s="65" t="s">
        <v>2276</v>
      </c>
      <c r="G192" s="1" t="s">
        <v>1602</v>
      </c>
      <c r="H192" s="1" t="n">
        <v>4</v>
      </c>
      <c r="I192" s="1" t="s">
        <v>1602</v>
      </c>
      <c r="J192" s="1" t="s">
        <v>1602</v>
      </c>
      <c r="K192" s="66" t="s">
        <v>1631</v>
      </c>
      <c r="L192" s="21" t="s">
        <v>1631</v>
      </c>
      <c r="M192" s="21" t="s">
        <v>1631</v>
      </c>
      <c r="N192" s="21" t="s">
        <v>1631</v>
      </c>
      <c r="O192" s="21" t="s">
        <v>1631</v>
      </c>
      <c r="P192" s="21" t="s">
        <v>1631</v>
      </c>
      <c r="Q192" s="21" t="s">
        <v>1631</v>
      </c>
      <c r="R192" s="21" t="s">
        <v>1631</v>
      </c>
      <c r="S192" s="21" t="s">
        <v>1631</v>
      </c>
      <c r="T192" s="61" t="s">
        <v>1631</v>
      </c>
    </row>
    <row r="193" customFormat="false" ht="25.55" hidden="false" customHeight="false" outlineLevel="0" collapsed="false">
      <c r="A193" s="29" t="s">
        <v>387</v>
      </c>
      <c r="B193" s="58" t="s">
        <v>1838</v>
      </c>
      <c r="C193" s="58" t="str">
        <f aca="false">VLOOKUP(B193, AT_FILAS!$A$2:$C$8,2,FALSE())</f>
        <v>Compras directas en el exterior por residentes</v>
      </c>
      <c r="D193" s="59" t="n">
        <f aca="false">VLOOKUP(B193, AT_FILAS!$A$2:$C$8,3,FALSE())</f>
        <v>4</v>
      </c>
      <c r="E193" s="60" t="s">
        <v>2277</v>
      </c>
      <c r="F193" s="65" t="s">
        <v>2278</v>
      </c>
      <c r="G193" s="1" t="s">
        <v>1602</v>
      </c>
      <c r="H193" s="1" t="n">
        <v>4</v>
      </c>
      <c r="I193" s="1" t="s">
        <v>1602</v>
      </c>
      <c r="J193" s="1" t="s">
        <v>1602</v>
      </c>
      <c r="K193" s="66" t="s">
        <v>1631</v>
      </c>
      <c r="L193" s="21" t="s">
        <v>1631</v>
      </c>
      <c r="M193" s="21" t="s">
        <v>1631</v>
      </c>
      <c r="N193" s="21" t="s">
        <v>1631</v>
      </c>
      <c r="O193" s="21" t="s">
        <v>1631</v>
      </c>
      <c r="P193" s="21" t="s">
        <v>1631</v>
      </c>
      <c r="Q193" s="21" t="s">
        <v>1631</v>
      </c>
      <c r="R193" s="21" t="s">
        <v>1631</v>
      </c>
      <c r="S193" s="21" t="s">
        <v>1631</v>
      </c>
      <c r="T193" s="61" t="s">
        <v>1631</v>
      </c>
    </row>
    <row r="194" customFormat="false" ht="25.55" hidden="false" customHeight="false" outlineLevel="0" collapsed="false">
      <c r="A194" s="29" t="s">
        <v>389</v>
      </c>
      <c r="B194" s="58" t="s">
        <v>1838</v>
      </c>
      <c r="C194" s="58" t="str">
        <f aca="false">VLOOKUP(B194, AT_FILAS!$A$2:$C$8,2,FALSE())</f>
        <v>Compras directas en el exterior por residentes</v>
      </c>
      <c r="D194" s="59" t="n">
        <f aca="false">VLOOKUP(B194, AT_FILAS!$A$2:$C$8,3,FALSE())</f>
        <v>4</v>
      </c>
      <c r="E194" s="60" t="s">
        <v>2279</v>
      </c>
      <c r="F194" s="65" t="s">
        <v>2280</v>
      </c>
      <c r="G194" s="1" t="s">
        <v>1602</v>
      </c>
      <c r="H194" s="1" t="n">
        <v>4</v>
      </c>
      <c r="I194" s="1" t="s">
        <v>1602</v>
      </c>
      <c r="J194" s="1" t="s">
        <v>1602</v>
      </c>
      <c r="K194" s="66" t="s">
        <v>1631</v>
      </c>
      <c r="L194" s="21" t="s">
        <v>1631</v>
      </c>
      <c r="M194" s="21" t="s">
        <v>1631</v>
      </c>
      <c r="N194" s="21" t="s">
        <v>1631</v>
      </c>
      <c r="O194" s="21" t="s">
        <v>1631</v>
      </c>
      <c r="P194" s="21" t="s">
        <v>1631</v>
      </c>
      <c r="Q194" s="21" t="s">
        <v>1631</v>
      </c>
      <c r="R194" s="21" t="s">
        <v>1631</v>
      </c>
      <c r="S194" s="21" t="s">
        <v>1631</v>
      </c>
      <c r="T194" s="61" t="s">
        <v>1631</v>
      </c>
    </row>
    <row r="195" customFormat="false" ht="14.25" hidden="false" customHeight="false" outlineLevel="0" collapsed="false">
      <c r="A195" s="51" t="s">
        <v>393</v>
      </c>
      <c r="B195" s="52" t="s">
        <v>1836</v>
      </c>
      <c r="C195" s="53" t="str">
        <f aca="false">VLOOKUP(B195, AT_FILAS!$A$2:$C$8,2,FALSE())</f>
        <v>Consumo intermedio</v>
      </c>
      <c r="D195" s="53" t="n">
        <f aca="false">VLOOKUP(B195, AT_FILAS!$A$2:$C$8,3,FALSE())</f>
        <v>2</v>
      </c>
      <c r="E195" s="55" t="s">
        <v>1862</v>
      </c>
      <c r="F195" s="55" t="s">
        <v>1863</v>
      </c>
      <c r="G195" s="56" t="s">
        <v>1864</v>
      </c>
      <c r="H195" s="56" t="n">
        <v>1</v>
      </c>
      <c r="I195" s="56" t="s">
        <v>1865</v>
      </c>
      <c r="J195" s="56" t="s">
        <v>1866</v>
      </c>
      <c r="K195" s="56" t="n">
        <v>1</v>
      </c>
      <c r="L195" s="56" t="str">
        <f aca="false">VLOOKUP(K195,clasif_filas!$A$2:$J$39,2,FALSE())</f>
        <v>Productos de la agricultura, la horticultura y la jardinería comercial</v>
      </c>
      <c r="M195" s="56" t="n">
        <f aca="false">VLOOKUP(K195,clasif_filas!$A$2:$J$39,3,FALSE())</f>
        <v>1</v>
      </c>
      <c r="N195" s="56" t="str">
        <f aca="false">VLOOKUP(K195,clasif_filas!$A$2:$J$39,4,FALSE())</f>
        <v>Productos de la agricultura, la horticultura y la jardinería comercial</v>
      </c>
      <c r="O195" s="56" t="n">
        <f aca="false">VLOOKUP(K195,clasif_filas!$A$2:$J$39,5,FALSE())</f>
        <v>1</v>
      </c>
      <c r="P195" s="56" t="str">
        <f aca="false">VLOOKUP(K195,clasif_filas!$A$2:$J$39,6,FALSE())</f>
        <v>Biomasa que se cultiva para producir alimentos, forrajes, fibras y energía</v>
      </c>
      <c r="Q195" s="56" t="n">
        <f aca="false">VLOOKUP(K195,clasif_filas!$A$2:$J$39,7,FALSE())</f>
        <v>0</v>
      </c>
      <c r="R195" s="56" t="str">
        <f aca="false">VLOOKUP(K195,clasif_filas!$A$2:$J$39,8,FALSE())</f>
        <v>Productos de la agricultura, la silvicultura yla pesca</v>
      </c>
      <c r="S195" s="56" t="n">
        <f aca="false">VLOOKUP(K195,clasif_filas!$A$2:$J$39,9,FALSE())</f>
        <v>1</v>
      </c>
      <c r="T195" s="57" t="str">
        <f aca="false">VLOOKUP(K195,clasif_filas!$A$2:$J$39,10,FALSE())</f>
        <v>Bioeconomía</v>
      </c>
    </row>
    <row r="196" customFormat="false" ht="14.25" hidden="false" customHeight="false" outlineLevel="0" collapsed="false">
      <c r="A196" s="29" t="s">
        <v>395</v>
      </c>
      <c r="B196" s="67" t="s">
        <v>1836</v>
      </c>
      <c r="C196" s="58" t="str">
        <f aca="false">VLOOKUP(B196, AT_FILAS!$A$2:$C$8,2,FALSE())</f>
        <v>Consumo intermedio</v>
      </c>
      <c r="D196" s="58" t="n">
        <f aca="false">VLOOKUP(B196, AT_FILAS!$A$2:$C$8,3,FALSE())</f>
        <v>2</v>
      </c>
      <c r="E196" s="60" t="s">
        <v>1867</v>
      </c>
      <c r="F196" s="60" t="s">
        <v>1868</v>
      </c>
      <c r="G196" s="21" t="s">
        <v>1864</v>
      </c>
      <c r="H196" s="21" t="n">
        <v>1</v>
      </c>
      <c r="I196" s="21" t="s">
        <v>1865</v>
      </c>
      <c r="J196" s="21" t="s">
        <v>1866</v>
      </c>
      <c r="K196" s="21" t="n">
        <v>1</v>
      </c>
      <c r="L196" s="21" t="str">
        <f aca="false">VLOOKUP(K196,clasif_filas!$A$2:$J$39,2,FALSE())</f>
        <v>Productos de la agricultura, la horticultura y la jardinería comercial</v>
      </c>
      <c r="M196" s="21" t="n">
        <f aca="false">VLOOKUP(K196,clasif_filas!$A$2:$J$39,3,FALSE())</f>
        <v>1</v>
      </c>
      <c r="N196" s="21" t="str">
        <f aca="false">VLOOKUP(K196,clasif_filas!$A$2:$J$39,4,FALSE())</f>
        <v>Productos de la agricultura, la horticultura y la jardinería comercial</v>
      </c>
      <c r="O196" s="21" t="n">
        <f aca="false">VLOOKUP(K196,clasif_filas!$A$2:$J$39,5,FALSE())</f>
        <v>1</v>
      </c>
      <c r="P196" s="21" t="str">
        <f aca="false">VLOOKUP(K196,clasif_filas!$A$2:$J$39,6,FALSE())</f>
        <v>Biomasa que se cultiva para producir alimentos, forrajes, fibras y energía</v>
      </c>
      <c r="Q196" s="21" t="n">
        <f aca="false">VLOOKUP(K196,clasif_filas!$A$2:$J$39,7,FALSE())</f>
        <v>0</v>
      </c>
      <c r="R196" s="21" t="str">
        <f aca="false">VLOOKUP(K196,clasif_filas!$A$2:$J$39,8,FALSE())</f>
        <v>Productos de la agricultura, la silvicultura yla pesca</v>
      </c>
      <c r="S196" s="21" t="n">
        <f aca="false">VLOOKUP(K196,clasif_filas!$A$2:$J$39,9,FALSE())</f>
        <v>1</v>
      </c>
      <c r="T196" s="61" t="str">
        <f aca="false">VLOOKUP(K196,clasif_filas!$A$2:$J$39,10,FALSE())</f>
        <v>Bioeconomía</v>
      </c>
    </row>
    <row r="197" customFormat="false" ht="14.25" hidden="false" customHeight="false" outlineLevel="0" collapsed="false">
      <c r="A197" s="29" t="s">
        <v>397</v>
      </c>
      <c r="B197" s="67" t="s">
        <v>1836</v>
      </c>
      <c r="C197" s="58" t="str">
        <f aca="false">VLOOKUP(B197, AT_FILAS!$A$2:$C$8,2,FALSE())</f>
        <v>Consumo intermedio</v>
      </c>
      <c r="D197" s="58" t="n">
        <f aca="false">VLOOKUP(B197, AT_FILAS!$A$2:$C$8,3,FALSE())</f>
        <v>2</v>
      </c>
      <c r="E197" s="60" t="s">
        <v>1869</v>
      </c>
      <c r="F197" s="60" t="s">
        <v>1870</v>
      </c>
      <c r="G197" s="1" t="s">
        <v>1871</v>
      </c>
      <c r="H197" s="1" t="n">
        <v>1</v>
      </c>
      <c r="I197" s="1" t="s">
        <v>1865</v>
      </c>
      <c r="J197" s="1" t="s">
        <v>1866</v>
      </c>
      <c r="K197" s="21" t="n">
        <v>1</v>
      </c>
      <c r="L197" s="21" t="str">
        <f aca="false">VLOOKUP(K197,clasif_filas!$A$2:$J$39,2,FALSE())</f>
        <v>Productos de la agricultura, la horticultura y la jardinería comercial</v>
      </c>
      <c r="M197" s="21" t="n">
        <f aca="false">VLOOKUP(K197,clasif_filas!$A$2:$J$39,3,FALSE())</f>
        <v>1</v>
      </c>
      <c r="N197" s="21" t="str">
        <f aca="false">VLOOKUP(K197,clasif_filas!$A$2:$J$39,4,FALSE())</f>
        <v>Productos de la agricultura, la horticultura y la jardinería comercial</v>
      </c>
      <c r="O197" s="21" t="n">
        <f aca="false">VLOOKUP(K197,clasif_filas!$A$2:$J$39,5,FALSE())</f>
        <v>1</v>
      </c>
      <c r="P197" s="21" t="str">
        <f aca="false">VLOOKUP(K197,clasif_filas!$A$2:$J$39,6,FALSE())</f>
        <v>Biomasa que se cultiva para producir alimentos, forrajes, fibras y energía</v>
      </c>
      <c r="Q197" s="21" t="n">
        <f aca="false">VLOOKUP(K197,clasif_filas!$A$2:$J$39,7,FALSE())</f>
        <v>0</v>
      </c>
      <c r="R197" s="21" t="str">
        <f aca="false">VLOOKUP(K197,clasif_filas!$A$2:$J$39,8,FALSE())</f>
        <v>Productos de la agricultura, la silvicultura yla pesca</v>
      </c>
      <c r="S197" s="21" t="n">
        <f aca="false">VLOOKUP(K197,clasif_filas!$A$2:$J$39,9,FALSE())</f>
        <v>1</v>
      </c>
      <c r="T197" s="61" t="str">
        <f aca="false">VLOOKUP(K197,clasif_filas!$A$2:$J$39,10,FALSE())</f>
        <v>Bioeconomía</v>
      </c>
    </row>
    <row r="198" customFormat="false" ht="14.25" hidden="false" customHeight="false" outlineLevel="0" collapsed="false">
      <c r="A198" s="29" t="s">
        <v>399</v>
      </c>
      <c r="B198" s="67" t="s">
        <v>1836</v>
      </c>
      <c r="C198" s="58" t="str">
        <f aca="false">VLOOKUP(B198, AT_FILAS!$A$2:$C$8,2,FALSE())</f>
        <v>Consumo intermedio</v>
      </c>
      <c r="D198" s="58" t="n">
        <f aca="false">VLOOKUP(B198, AT_FILAS!$A$2:$C$8,3,FALSE())</f>
        <v>2</v>
      </c>
      <c r="E198" s="60" t="s">
        <v>1872</v>
      </c>
      <c r="F198" s="60" t="s">
        <v>1873</v>
      </c>
      <c r="G198" s="1" t="s">
        <v>1874</v>
      </c>
      <c r="H198" s="1" t="n">
        <v>1</v>
      </c>
      <c r="I198" s="1" t="s">
        <v>1865</v>
      </c>
      <c r="J198" s="1" t="s">
        <v>1866</v>
      </c>
      <c r="K198" s="21" t="n">
        <v>1</v>
      </c>
      <c r="L198" s="21" t="str">
        <f aca="false">VLOOKUP(K198,clasif_filas!$A$2:$J$39,2,FALSE())</f>
        <v>Productos de la agricultura, la horticultura y la jardinería comercial</v>
      </c>
      <c r="M198" s="21" t="n">
        <f aca="false">VLOOKUP(K198,clasif_filas!$A$2:$J$39,3,FALSE())</f>
        <v>1</v>
      </c>
      <c r="N198" s="21" t="str">
        <f aca="false">VLOOKUP(K198,clasif_filas!$A$2:$J$39,4,FALSE())</f>
        <v>Productos de la agricultura, la horticultura y la jardinería comercial</v>
      </c>
      <c r="O198" s="21" t="n">
        <f aca="false">VLOOKUP(K198,clasif_filas!$A$2:$J$39,5,FALSE())</f>
        <v>1</v>
      </c>
      <c r="P198" s="21" t="str">
        <f aca="false">VLOOKUP(K198,clasif_filas!$A$2:$J$39,6,FALSE())</f>
        <v>Biomasa que se cultiva para producir alimentos, forrajes, fibras y energía</v>
      </c>
      <c r="Q198" s="21" t="n">
        <f aca="false">VLOOKUP(K198,clasif_filas!$A$2:$J$39,7,FALSE())</f>
        <v>0</v>
      </c>
      <c r="R198" s="21" t="str">
        <f aca="false">VLOOKUP(K198,clasif_filas!$A$2:$J$39,8,FALSE())</f>
        <v>Productos de la agricultura, la silvicultura yla pesca</v>
      </c>
      <c r="S198" s="21" t="n">
        <f aca="false">VLOOKUP(K198,clasif_filas!$A$2:$J$39,9,FALSE())</f>
        <v>1</v>
      </c>
      <c r="T198" s="61" t="str">
        <f aca="false">VLOOKUP(K198,clasif_filas!$A$2:$J$39,10,FALSE())</f>
        <v>Bioeconomía</v>
      </c>
    </row>
    <row r="199" customFormat="false" ht="14.25" hidden="false" customHeight="false" outlineLevel="0" collapsed="false">
      <c r="A199" s="29" t="s">
        <v>401</v>
      </c>
      <c r="B199" s="67" t="s">
        <v>1836</v>
      </c>
      <c r="C199" s="58" t="str">
        <f aca="false">VLOOKUP(B199, AT_FILAS!$A$2:$C$8,2,FALSE())</f>
        <v>Consumo intermedio</v>
      </c>
      <c r="D199" s="58" t="n">
        <f aca="false">VLOOKUP(B199, AT_FILAS!$A$2:$C$8,3,FALSE())</f>
        <v>2</v>
      </c>
      <c r="E199" s="60" t="s">
        <v>1875</v>
      </c>
      <c r="F199" s="60" t="s">
        <v>1876</v>
      </c>
      <c r="G199" s="21" t="s">
        <v>1864</v>
      </c>
      <c r="H199" s="21" t="n">
        <v>1</v>
      </c>
      <c r="I199" s="21" t="s">
        <v>1865</v>
      </c>
      <c r="J199" s="21" t="s">
        <v>1866</v>
      </c>
      <c r="K199" s="21" t="n">
        <v>1</v>
      </c>
      <c r="L199" s="21" t="str">
        <f aca="false">VLOOKUP(K199,clasif_filas!$A$2:$J$39,2,FALSE())</f>
        <v>Productos de la agricultura, la horticultura y la jardinería comercial</v>
      </c>
      <c r="M199" s="21" t="n">
        <f aca="false">VLOOKUP(K199,clasif_filas!$A$2:$J$39,3,FALSE())</f>
        <v>1</v>
      </c>
      <c r="N199" s="21" t="str">
        <f aca="false">VLOOKUP(K199,clasif_filas!$A$2:$J$39,4,FALSE())</f>
        <v>Productos de la agricultura, la horticultura y la jardinería comercial</v>
      </c>
      <c r="O199" s="21" t="n">
        <f aca="false">VLOOKUP(K199,clasif_filas!$A$2:$J$39,5,FALSE())</f>
        <v>1</v>
      </c>
      <c r="P199" s="21" t="str">
        <f aca="false">VLOOKUP(K199,clasif_filas!$A$2:$J$39,6,FALSE())</f>
        <v>Biomasa que se cultiva para producir alimentos, forrajes, fibras y energía</v>
      </c>
      <c r="Q199" s="21" t="n">
        <f aca="false">VLOOKUP(K199,clasif_filas!$A$2:$J$39,7,FALSE())</f>
        <v>0</v>
      </c>
      <c r="R199" s="21" t="str">
        <f aca="false">VLOOKUP(K199,clasif_filas!$A$2:$J$39,8,FALSE())</f>
        <v>Productos de la agricultura, la silvicultura yla pesca</v>
      </c>
      <c r="S199" s="21" t="n">
        <f aca="false">VLOOKUP(K199,clasif_filas!$A$2:$J$39,9,FALSE())</f>
        <v>1</v>
      </c>
      <c r="T199" s="61" t="str">
        <f aca="false">VLOOKUP(K199,clasif_filas!$A$2:$J$39,10,FALSE())</f>
        <v>Bioeconomía</v>
      </c>
    </row>
    <row r="200" customFormat="false" ht="14.25" hidden="false" customHeight="false" outlineLevel="0" collapsed="false">
      <c r="A200" s="29" t="s">
        <v>403</v>
      </c>
      <c r="B200" s="67" t="s">
        <v>1836</v>
      </c>
      <c r="C200" s="58" t="str">
        <f aca="false">VLOOKUP(B200, AT_FILAS!$A$2:$C$8,2,FALSE())</f>
        <v>Consumo intermedio</v>
      </c>
      <c r="D200" s="58" t="n">
        <f aca="false">VLOOKUP(B200, AT_FILAS!$A$2:$C$8,3,FALSE())</f>
        <v>2</v>
      </c>
      <c r="E200" s="60" t="s">
        <v>1877</v>
      </c>
      <c r="F200" s="60" t="s">
        <v>1878</v>
      </c>
      <c r="G200" s="21" t="s">
        <v>1864</v>
      </c>
      <c r="H200" s="21" t="n">
        <v>1</v>
      </c>
      <c r="I200" s="21" t="s">
        <v>1865</v>
      </c>
      <c r="J200" s="21" t="s">
        <v>1866</v>
      </c>
      <c r="K200" s="21" t="n">
        <v>1</v>
      </c>
      <c r="L200" s="21" t="str">
        <f aca="false">VLOOKUP(K200,clasif_filas!$A$2:$J$39,2,FALSE())</f>
        <v>Productos de la agricultura, la horticultura y la jardinería comercial</v>
      </c>
      <c r="M200" s="21" t="n">
        <f aca="false">VLOOKUP(K200,clasif_filas!$A$2:$J$39,3,FALSE())</f>
        <v>1</v>
      </c>
      <c r="N200" s="21" t="str">
        <f aca="false">VLOOKUP(K200,clasif_filas!$A$2:$J$39,4,FALSE())</f>
        <v>Productos de la agricultura, la horticultura y la jardinería comercial</v>
      </c>
      <c r="O200" s="21" t="n">
        <f aca="false">VLOOKUP(K200,clasif_filas!$A$2:$J$39,5,FALSE())</f>
        <v>1</v>
      </c>
      <c r="P200" s="21" t="str">
        <f aca="false">VLOOKUP(K200,clasif_filas!$A$2:$J$39,6,FALSE())</f>
        <v>Biomasa que se cultiva para producir alimentos, forrajes, fibras y energía</v>
      </c>
      <c r="Q200" s="21" t="n">
        <f aca="false">VLOOKUP(K200,clasif_filas!$A$2:$J$39,7,FALSE())</f>
        <v>0</v>
      </c>
      <c r="R200" s="21" t="str">
        <f aca="false">VLOOKUP(K200,clasif_filas!$A$2:$J$39,8,FALSE())</f>
        <v>Productos de la agricultura, la silvicultura yla pesca</v>
      </c>
      <c r="S200" s="21" t="n">
        <f aca="false">VLOOKUP(K200,clasif_filas!$A$2:$J$39,9,FALSE())</f>
        <v>1</v>
      </c>
      <c r="T200" s="61" t="str">
        <f aca="false">VLOOKUP(K200,clasif_filas!$A$2:$J$39,10,FALSE())</f>
        <v>Bioeconomía</v>
      </c>
    </row>
    <row r="201" customFormat="false" ht="14.25" hidden="false" customHeight="false" outlineLevel="0" collapsed="false">
      <c r="A201" s="29" t="s">
        <v>405</v>
      </c>
      <c r="B201" s="67" t="s">
        <v>1836</v>
      </c>
      <c r="C201" s="58" t="str">
        <f aca="false">VLOOKUP(B201, AT_FILAS!$A$2:$C$8,2,FALSE())</f>
        <v>Consumo intermedio</v>
      </c>
      <c r="D201" s="58" t="n">
        <f aca="false">VLOOKUP(B201, AT_FILAS!$A$2:$C$8,3,FALSE())</f>
        <v>2</v>
      </c>
      <c r="E201" s="60" t="s">
        <v>1879</v>
      </c>
      <c r="F201" s="60" t="s">
        <v>1880</v>
      </c>
      <c r="G201" s="1" t="s">
        <v>1871</v>
      </c>
      <c r="H201" s="1" t="n">
        <v>1</v>
      </c>
      <c r="I201" s="1" t="s">
        <v>1865</v>
      </c>
      <c r="J201" s="1" t="s">
        <v>1866</v>
      </c>
      <c r="K201" s="21" t="n">
        <v>1</v>
      </c>
      <c r="L201" s="21" t="str">
        <f aca="false">VLOOKUP(K201,clasif_filas!$A$2:$J$39,2,FALSE())</f>
        <v>Productos de la agricultura, la horticultura y la jardinería comercial</v>
      </c>
      <c r="M201" s="21" t="n">
        <f aca="false">VLOOKUP(K201,clasif_filas!$A$2:$J$39,3,FALSE())</f>
        <v>1</v>
      </c>
      <c r="N201" s="21" t="str">
        <f aca="false">VLOOKUP(K201,clasif_filas!$A$2:$J$39,4,FALSE())</f>
        <v>Productos de la agricultura, la horticultura y la jardinería comercial</v>
      </c>
      <c r="O201" s="21" t="n">
        <f aca="false">VLOOKUP(K201,clasif_filas!$A$2:$J$39,5,FALSE())</f>
        <v>1</v>
      </c>
      <c r="P201" s="21" t="str">
        <f aca="false">VLOOKUP(K201,clasif_filas!$A$2:$J$39,6,FALSE())</f>
        <v>Biomasa que se cultiva para producir alimentos, forrajes, fibras y energía</v>
      </c>
      <c r="Q201" s="21" t="n">
        <f aca="false">VLOOKUP(K201,clasif_filas!$A$2:$J$39,7,FALSE())</f>
        <v>0</v>
      </c>
      <c r="R201" s="21" t="str">
        <f aca="false">VLOOKUP(K201,clasif_filas!$A$2:$J$39,8,FALSE())</f>
        <v>Productos de la agricultura, la silvicultura yla pesca</v>
      </c>
      <c r="S201" s="21" t="n">
        <f aca="false">VLOOKUP(K201,clasif_filas!$A$2:$J$39,9,FALSE())</f>
        <v>1</v>
      </c>
      <c r="T201" s="61" t="str">
        <f aca="false">VLOOKUP(K201,clasif_filas!$A$2:$J$39,10,FALSE())</f>
        <v>Bioeconomía</v>
      </c>
    </row>
    <row r="202" customFormat="false" ht="14.25" hidden="false" customHeight="false" outlineLevel="0" collapsed="false">
      <c r="A202" s="29" t="s">
        <v>407</v>
      </c>
      <c r="B202" s="67" t="s">
        <v>1836</v>
      </c>
      <c r="C202" s="58" t="str">
        <f aca="false">VLOOKUP(B202, AT_FILAS!$A$2:$C$8,2,FALSE())</f>
        <v>Consumo intermedio</v>
      </c>
      <c r="D202" s="58" t="n">
        <f aca="false">VLOOKUP(B202, AT_FILAS!$A$2:$C$8,3,FALSE())</f>
        <v>2</v>
      </c>
      <c r="E202" s="60" t="s">
        <v>1881</v>
      </c>
      <c r="F202" s="60" t="s">
        <v>1882</v>
      </c>
      <c r="G202" s="1" t="s">
        <v>1883</v>
      </c>
      <c r="H202" s="1" t="n">
        <v>1</v>
      </c>
      <c r="I202" s="1" t="s">
        <v>1865</v>
      </c>
      <c r="J202" s="1" t="s">
        <v>1866</v>
      </c>
      <c r="K202" s="21" t="n">
        <v>1</v>
      </c>
      <c r="L202" s="21" t="str">
        <f aca="false">VLOOKUP(K202,clasif_filas!$A$2:$J$39,2,FALSE())</f>
        <v>Productos de la agricultura, la horticultura y la jardinería comercial</v>
      </c>
      <c r="M202" s="21" t="n">
        <f aca="false">VLOOKUP(K202,clasif_filas!$A$2:$J$39,3,FALSE())</f>
        <v>1</v>
      </c>
      <c r="N202" s="21" t="str">
        <f aca="false">VLOOKUP(K202,clasif_filas!$A$2:$J$39,4,FALSE())</f>
        <v>Productos de la agricultura, la horticultura y la jardinería comercial</v>
      </c>
      <c r="O202" s="21" t="n">
        <f aca="false">VLOOKUP(K202,clasif_filas!$A$2:$J$39,5,FALSE())</f>
        <v>1</v>
      </c>
      <c r="P202" s="21" t="str">
        <f aca="false">VLOOKUP(K202,clasif_filas!$A$2:$J$39,6,FALSE())</f>
        <v>Biomasa que se cultiva para producir alimentos, forrajes, fibras y energía</v>
      </c>
      <c r="Q202" s="21" t="n">
        <f aca="false">VLOOKUP(K202,clasif_filas!$A$2:$J$39,7,FALSE())</f>
        <v>0</v>
      </c>
      <c r="R202" s="21" t="str">
        <f aca="false">VLOOKUP(K202,clasif_filas!$A$2:$J$39,8,FALSE())</f>
        <v>Productos de la agricultura, la silvicultura yla pesca</v>
      </c>
      <c r="S202" s="21" t="n">
        <f aca="false">VLOOKUP(K202,clasif_filas!$A$2:$J$39,9,FALSE())</f>
        <v>1</v>
      </c>
      <c r="T202" s="61" t="str">
        <f aca="false">VLOOKUP(K202,clasif_filas!$A$2:$J$39,10,FALSE())</f>
        <v>Bioeconomía</v>
      </c>
    </row>
    <row r="203" customFormat="false" ht="14.25" hidden="false" customHeight="false" outlineLevel="0" collapsed="false">
      <c r="A203" s="29" t="s">
        <v>409</v>
      </c>
      <c r="B203" s="67" t="s">
        <v>1836</v>
      </c>
      <c r="C203" s="58" t="str">
        <f aca="false">VLOOKUP(B203, AT_FILAS!$A$2:$C$8,2,FALSE())</f>
        <v>Consumo intermedio</v>
      </c>
      <c r="D203" s="58" t="n">
        <f aca="false">VLOOKUP(B203, AT_FILAS!$A$2:$C$8,3,FALSE())</f>
        <v>2</v>
      </c>
      <c r="E203" s="60" t="s">
        <v>1884</v>
      </c>
      <c r="F203" s="60" t="s">
        <v>1885</v>
      </c>
      <c r="G203" s="1" t="s">
        <v>1883</v>
      </c>
      <c r="H203" s="1" t="n">
        <v>1</v>
      </c>
      <c r="I203" s="1" t="s">
        <v>1865</v>
      </c>
      <c r="J203" s="1" t="s">
        <v>1866</v>
      </c>
      <c r="K203" s="21" t="n">
        <v>1</v>
      </c>
      <c r="L203" s="21" t="str">
        <f aca="false">VLOOKUP(K203,clasif_filas!$A$2:$J$39,2,FALSE())</f>
        <v>Productos de la agricultura, la horticultura y la jardinería comercial</v>
      </c>
      <c r="M203" s="21" t="n">
        <f aca="false">VLOOKUP(K203,clasif_filas!$A$2:$J$39,3,FALSE())</f>
        <v>1</v>
      </c>
      <c r="N203" s="21" t="str">
        <f aca="false">VLOOKUP(K203,clasif_filas!$A$2:$J$39,4,FALSE())</f>
        <v>Productos de la agricultura, la horticultura y la jardinería comercial</v>
      </c>
      <c r="O203" s="21" t="n">
        <f aca="false">VLOOKUP(K203,clasif_filas!$A$2:$J$39,5,FALSE())</f>
        <v>1</v>
      </c>
      <c r="P203" s="21" t="str">
        <f aca="false">VLOOKUP(K203,clasif_filas!$A$2:$J$39,6,FALSE())</f>
        <v>Biomasa que se cultiva para producir alimentos, forrajes, fibras y energía</v>
      </c>
      <c r="Q203" s="21" t="n">
        <f aca="false">VLOOKUP(K203,clasif_filas!$A$2:$J$39,7,FALSE())</f>
        <v>0</v>
      </c>
      <c r="R203" s="21" t="str">
        <f aca="false">VLOOKUP(K203,clasif_filas!$A$2:$J$39,8,FALSE())</f>
        <v>Productos de la agricultura, la silvicultura yla pesca</v>
      </c>
      <c r="S203" s="21" t="n">
        <f aca="false">VLOOKUP(K203,clasif_filas!$A$2:$J$39,9,FALSE())</f>
        <v>1</v>
      </c>
      <c r="T203" s="61" t="str">
        <f aca="false">VLOOKUP(K203,clasif_filas!$A$2:$J$39,10,FALSE())</f>
        <v>Bioeconomía</v>
      </c>
    </row>
    <row r="204" customFormat="false" ht="14.25" hidden="false" customHeight="false" outlineLevel="0" collapsed="false">
      <c r="A204" s="29" t="s">
        <v>411</v>
      </c>
      <c r="B204" s="67" t="s">
        <v>1836</v>
      </c>
      <c r="C204" s="58" t="str">
        <f aca="false">VLOOKUP(B204, AT_FILAS!$A$2:$C$8,2,FALSE())</f>
        <v>Consumo intermedio</v>
      </c>
      <c r="D204" s="58" t="n">
        <f aca="false">VLOOKUP(B204, AT_FILAS!$A$2:$C$8,3,FALSE())</f>
        <v>2</v>
      </c>
      <c r="E204" s="60" t="s">
        <v>1886</v>
      </c>
      <c r="F204" s="60" t="s">
        <v>1887</v>
      </c>
      <c r="G204" s="1" t="s">
        <v>1883</v>
      </c>
      <c r="H204" s="1" t="n">
        <v>1</v>
      </c>
      <c r="I204" s="1" t="s">
        <v>1865</v>
      </c>
      <c r="J204" s="1" t="s">
        <v>1866</v>
      </c>
      <c r="K204" s="21" t="n">
        <v>1</v>
      </c>
      <c r="L204" s="21" t="str">
        <f aca="false">VLOOKUP(K204,clasif_filas!$A$2:$J$39,2,FALSE())</f>
        <v>Productos de la agricultura, la horticultura y la jardinería comercial</v>
      </c>
      <c r="M204" s="21" t="n">
        <f aca="false">VLOOKUP(K204,clasif_filas!$A$2:$J$39,3,FALSE())</f>
        <v>1</v>
      </c>
      <c r="N204" s="21" t="str">
        <f aca="false">VLOOKUP(K204,clasif_filas!$A$2:$J$39,4,FALSE())</f>
        <v>Productos de la agricultura, la horticultura y la jardinería comercial</v>
      </c>
      <c r="O204" s="21" t="n">
        <f aca="false">VLOOKUP(K204,clasif_filas!$A$2:$J$39,5,FALSE())</f>
        <v>1</v>
      </c>
      <c r="P204" s="21" t="str">
        <f aca="false">VLOOKUP(K204,clasif_filas!$A$2:$J$39,6,FALSE())</f>
        <v>Biomasa que se cultiva para producir alimentos, forrajes, fibras y energía</v>
      </c>
      <c r="Q204" s="21" t="n">
        <f aca="false">VLOOKUP(K204,clasif_filas!$A$2:$J$39,7,FALSE())</f>
        <v>0</v>
      </c>
      <c r="R204" s="21" t="str">
        <f aca="false">VLOOKUP(K204,clasif_filas!$A$2:$J$39,8,FALSE())</f>
        <v>Productos de la agricultura, la silvicultura yla pesca</v>
      </c>
      <c r="S204" s="21" t="n">
        <f aca="false">VLOOKUP(K204,clasif_filas!$A$2:$J$39,9,FALSE())</f>
        <v>1</v>
      </c>
      <c r="T204" s="61" t="str">
        <f aca="false">VLOOKUP(K204,clasif_filas!$A$2:$J$39,10,FALSE())</f>
        <v>Bioeconomía</v>
      </c>
    </row>
    <row r="205" customFormat="false" ht="14.25" hidden="false" customHeight="false" outlineLevel="0" collapsed="false">
      <c r="A205" s="29" t="s">
        <v>413</v>
      </c>
      <c r="B205" s="67" t="s">
        <v>1836</v>
      </c>
      <c r="C205" s="58" t="str">
        <f aca="false">VLOOKUP(B205, AT_FILAS!$A$2:$C$8,2,FALSE())</f>
        <v>Consumo intermedio</v>
      </c>
      <c r="D205" s="58" t="n">
        <f aca="false">VLOOKUP(B205, AT_FILAS!$A$2:$C$8,3,FALSE())</f>
        <v>2</v>
      </c>
      <c r="E205" s="60" t="s">
        <v>1888</v>
      </c>
      <c r="F205" s="60" t="s">
        <v>1889</v>
      </c>
      <c r="G205" s="1" t="s">
        <v>1871</v>
      </c>
      <c r="H205" s="1" t="n">
        <v>1</v>
      </c>
      <c r="I205" s="1" t="s">
        <v>1865</v>
      </c>
      <c r="J205" s="1" t="s">
        <v>1866</v>
      </c>
      <c r="K205" s="21" t="n">
        <v>1</v>
      </c>
      <c r="L205" s="21" t="str">
        <f aca="false">VLOOKUP(K205,clasif_filas!$A$2:$J$39,2,FALSE())</f>
        <v>Productos de la agricultura, la horticultura y la jardinería comercial</v>
      </c>
      <c r="M205" s="21" t="n">
        <f aca="false">VLOOKUP(K205,clasif_filas!$A$2:$J$39,3,FALSE())</f>
        <v>1</v>
      </c>
      <c r="N205" s="21" t="str">
        <f aca="false">VLOOKUP(K205,clasif_filas!$A$2:$J$39,4,FALSE())</f>
        <v>Productos de la agricultura, la horticultura y la jardinería comercial</v>
      </c>
      <c r="O205" s="21" t="n">
        <f aca="false">VLOOKUP(K205,clasif_filas!$A$2:$J$39,5,FALSE())</f>
        <v>1</v>
      </c>
      <c r="P205" s="21" t="str">
        <f aca="false">VLOOKUP(K205,clasif_filas!$A$2:$J$39,6,FALSE())</f>
        <v>Biomasa que se cultiva para producir alimentos, forrajes, fibras y energía</v>
      </c>
      <c r="Q205" s="21" t="n">
        <f aca="false">VLOOKUP(K205,clasif_filas!$A$2:$J$39,7,FALSE())</f>
        <v>0</v>
      </c>
      <c r="R205" s="21" t="str">
        <f aca="false">VLOOKUP(K205,clasif_filas!$A$2:$J$39,8,FALSE())</f>
        <v>Productos de la agricultura, la silvicultura yla pesca</v>
      </c>
      <c r="S205" s="21" t="n">
        <f aca="false">VLOOKUP(K205,clasif_filas!$A$2:$J$39,9,FALSE())</f>
        <v>1</v>
      </c>
      <c r="T205" s="61" t="str">
        <f aca="false">VLOOKUP(K205,clasif_filas!$A$2:$J$39,10,FALSE())</f>
        <v>Bioeconomía</v>
      </c>
    </row>
    <row r="206" customFormat="false" ht="14.25" hidden="false" customHeight="false" outlineLevel="0" collapsed="false">
      <c r="A206" s="29" t="s">
        <v>415</v>
      </c>
      <c r="B206" s="67" t="s">
        <v>1836</v>
      </c>
      <c r="C206" s="58" t="str">
        <f aca="false">VLOOKUP(B206, AT_FILAS!$A$2:$C$8,2,FALSE())</f>
        <v>Consumo intermedio</v>
      </c>
      <c r="D206" s="58" t="n">
        <f aca="false">VLOOKUP(B206, AT_FILAS!$A$2:$C$8,3,FALSE())</f>
        <v>2</v>
      </c>
      <c r="E206" s="60" t="s">
        <v>1890</v>
      </c>
      <c r="F206" s="60" t="s">
        <v>1891</v>
      </c>
      <c r="G206" s="1" t="s">
        <v>1871</v>
      </c>
      <c r="H206" s="1" t="n">
        <v>1</v>
      </c>
      <c r="I206" s="1" t="s">
        <v>1865</v>
      </c>
      <c r="J206" s="1" t="s">
        <v>1866</v>
      </c>
      <c r="K206" s="21" t="n">
        <v>1</v>
      </c>
      <c r="L206" s="21" t="str">
        <f aca="false">VLOOKUP(K206,clasif_filas!$A$2:$J$39,2,FALSE())</f>
        <v>Productos de la agricultura, la horticultura y la jardinería comercial</v>
      </c>
      <c r="M206" s="21" t="n">
        <f aca="false">VLOOKUP(K206,clasif_filas!$A$2:$J$39,3,FALSE())</f>
        <v>1</v>
      </c>
      <c r="N206" s="21" t="str">
        <f aca="false">VLOOKUP(K206,clasif_filas!$A$2:$J$39,4,FALSE())</f>
        <v>Productos de la agricultura, la horticultura y la jardinería comercial</v>
      </c>
      <c r="O206" s="21" t="n">
        <f aca="false">VLOOKUP(K206,clasif_filas!$A$2:$J$39,5,FALSE())</f>
        <v>1</v>
      </c>
      <c r="P206" s="21" t="str">
        <f aca="false">VLOOKUP(K206,clasif_filas!$A$2:$J$39,6,FALSE())</f>
        <v>Biomasa que se cultiva para producir alimentos, forrajes, fibras y energía</v>
      </c>
      <c r="Q206" s="21" t="n">
        <f aca="false">VLOOKUP(K206,clasif_filas!$A$2:$J$39,7,FALSE())</f>
        <v>0</v>
      </c>
      <c r="R206" s="21" t="str">
        <f aca="false">VLOOKUP(K206,clasif_filas!$A$2:$J$39,8,FALSE())</f>
        <v>Productos de la agricultura, la silvicultura yla pesca</v>
      </c>
      <c r="S206" s="21" t="n">
        <f aca="false">VLOOKUP(K206,clasif_filas!$A$2:$J$39,9,FALSE())</f>
        <v>1</v>
      </c>
      <c r="T206" s="61" t="str">
        <f aca="false">VLOOKUP(K206,clasif_filas!$A$2:$J$39,10,FALSE())</f>
        <v>Bioeconomía</v>
      </c>
    </row>
    <row r="207" customFormat="false" ht="14.25" hidden="false" customHeight="false" outlineLevel="0" collapsed="false">
      <c r="A207" s="29" t="s">
        <v>417</v>
      </c>
      <c r="B207" s="67" t="s">
        <v>1836</v>
      </c>
      <c r="C207" s="58" t="str">
        <f aca="false">VLOOKUP(B207, AT_FILAS!$A$2:$C$8,2,FALSE())</f>
        <v>Consumo intermedio</v>
      </c>
      <c r="D207" s="58" t="n">
        <f aca="false">VLOOKUP(B207, AT_FILAS!$A$2:$C$8,3,FALSE())</f>
        <v>2</v>
      </c>
      <c r="E207" s="60" t="s">
        <v>1892</v>
      </c>
      <c r="F207" s="60" t="s">
        <v>1893</v>
      </c>
      <c r="G207" s="1" t="s">
        <v>1871</v>
      </c>
      <c r="H207" s="1" t="n">
        <v>1</v>
      </c>
      <c r="I207" s="1" t="s">
        <v>1865</v>
      </c>
      <c r="J207" s="1" t="s">
        <v>1866</v>
      </c>
      <c r="K207" s="21" t="n">
        <v>1</v>
      </c>
      <c r="L207" s="21" t="str">
        <f aca="false">VLOOKUP(K207,clasif_filas!$A$2:$J$39,2,FALSE())</f>
        <v>Productos de la agricultura, la horticultura y la jardinería comercial</v>
      </c>
      <c r="M207" s="21" t="n">
        <f aca="false">VLOOKUP(K207,clasif_filas!$A$2:$J$39,3,FALSE())</f>
        <v>1</v>
      </c>
      <c r="N207" s="21" t="str">
        <f aca="false">VLOOKUP(K207,clasif_filas!$A$2:$J$39,4,FALSE())</f>
        <v>Productos de la agricultura, la horticultura y la jardinería comercial</v>
      </c>
      <c r="O207" s="21" t="n">
        <f aca="false">VLOOKUP(K207,clasif_filas!$A$2:$J$39,5,FALSE())</f>
        <v>1</v>
      </c>
      <c r="P207" s="21" t="str">
        <f aca="false">VLOOKUP(K207,clasif_filas!$A$2:$J$39,6,FALSE())</f>
        <v>Biomasa que se cultiva para producir alimentos, forrajes, fibras y energía</v>
      </c>
      <c r="Q207" s="21" t="n">
        <f aca="false">VLOOKUP(K207,clasif_filas!$A$2:$J$39,7,FALSE())</f>
        <v>0</v>
      </c>
      <c r="R207" s="21" t="str">
        <f aca="false">VLOOKUP(K207,clasif_filas!$A$2:$J$39,8,FALSE())</f>
        <v>Productos de la agricultura, la silvicultura yla pesca</v>
      </c>
      <c r="S207" s="21" t="n">
        <f aca="false">VLOOKUP(K207,clasif_filas!$A$2:$J$39,9,FALSE())</f>
        <v>1</v>
      </c>
      <c r="T207" s="61" t="str">
        <f aca="false">VLOOKUP(K207,clasif_filas!$A$2:$J$39,10,FALSE())</f>
        <v>Bioeconomía</v>
      </c>
    </row>
    <row r="208" customFormat="false" ht="14.25" hidden="false" customHeight="false" outlineLevel="0" collapsed="false">
      <c r="A208" s="29" t="s">
        <v>419</v>
      </c>
      <c r="B208" s="67" t="s">
        <v>1836</v>
      </c>
      <c r="C208" s="58" t="str">
        <f aca="false">VLOOKUP(B208, AT_FILAS!$A$2:$C$8,2,FALSE())</f>
        <v>Consumo intermedio</v>
      </c>
      <c r="D208" s="58" t="n">
        <f aca="false">VLOOKUP(B208, AT_FILAS!$A$2:$C$8,3,FALSE())</f>
        <v>2</v>
      </c>
      <c r="E208" s="60" t="s">
        <v>1894</v>
      </c>
      <c r="F208" s="60" t="s">
        <v>1895</v>
      </c>
      <c r="G208" s="1" t="s">
        <v>1871</v>
      </c>
      <c r="H208" s="1" t="n">
        <v>1</v>
      </c>
      <c r="I208" s="1" t="s">
        <v>1865</v>
      </c>
      <c r="J208" s="1" t="s">
        <v>1866</v>
      </c>
      <c r="K208" s="21" t="n">
        <v>1</v>
      </c>
      <c r="L208" s="21" t="str">
        <f aca="false">VLOOKUP(K208,clasif_filas!$A$2:$J$39,2,FALSE())</f>
        <v>Productos de la agricultura, la horticultura y la jardinería comercial</v>
      </c>
      <c r="M208" s="21" t="n">
        <f aca="false">VLOOKUP(K208,clasif_filas!$A$2:$J$39,3,FALSE())</f>
        <v>1</v>
      </c>
      <c r="N208" s="21" t="str">
        <f aca="false">VLOOKUP(K208,clasif_filas!$A$2:$J$39,4,FALSE())</f>
        <v>Productos de la agricultura, la horticultura y la jardinería comercial</v>
      </c>
      <c r="O208" s="21" t="n">
        <f aca="false">VLOOKUP(K208,clasif_filas!$A$2:$J$39,5,FALSE())</f>
        <v>1</v>
      </c>
      <c r="P208" s="21" t="str">
        <f aca="false">VLOOKUP(K208,clasif_filas!$A$2:$J$39,6,FALSE())</f>
        <v>Biomasa que se cultiva para producir alimentos, forrajes, fibras y energía</v>
      </c>
      <c r="Q208" s="21" t="n">
        <f aca="false">VLOOKUP(K208,clasif_filas!$A$2:$J$39,7,FALSE())</f>
        <v>0</v>
      </c>
      <c r="R208" s="21" t="str">
        <f aca="false">VLOOKUP(K208,clasif_filas!$A$2:$J$39,8,FALSE())</f>
        <v>Productos de la agricultura, la silvicultura yla pesca</v>
      </c>
      <c r="S208" s="21" t="n">
        <f aca="false">VLOOKUP(K208,clasif_filas!$A$2:$J$39,9,FALSE())</f>
        <v>1</v>
      </c>
      <c r="T208" s="61" t="str">
        <f aca="false">VLOOKUP(K208,clasif_filas!$A$2:$J$39,10,FALSE())</f>
        <v>Bioeconomía</v>
      </c>
    </row>
    <row r="209" customFormat="false" ht="14.25" hidden="false" customHeight="false" outlineLevel="0" collapsed="false">
      <c r="A209" s="29" t="s">
        <v>421</v>
      </c>
      <c r="B209" s="67" t="s">
        <v>1836</v>
      </c>
      <c r="C209" s="58" t="str">
        <f aca="false">VLOOKUP(B209, AT_FILAS!$A$2:$C$8,2,FALSE())</f>
        <v>Consumo intermedio</v>
      </c>
      <c r="D209" s="58" t="n">
        <f aca="false">VLOOKUP(B209, AT_FILAS!$A$2:$C$8,3,FALSE())</f>
        <v>2</v>
      </c>
      <c r="E209" s="60" t="s">
        <v>1896</v>
      </c>
      <c r="F209" s="60" t="s">
        <v>1897</v>
      </c>
      <c r="G209" s="1" t="s">
        <v>1871</v>
      </c>
      <c r="H209" s="1" t="n">
        <v>1</v>
      </c>
      <c r="I209" s="1" t="s">
        <v>1865</v>
      </c>
      <c r="J209" s="1" t="s">
        <v>1866</v>
      </c>
      <c r="K209" s="21" t="n">
        <v>1</v>
      </c>
      <c r="L209" s="21" t="str">
        <f aca="false">VLOOKUP(K209,clasif_filas!$A$2:$J$39,2,FALSE())</f>
        <v>Productos de la agricultura, la horticultura y la jardinería comercial</v>
      </c>
      <c r="M209" s="21" t="n">
        <f aca="false">VLOOKUP(K209,clasif_filas!$A$2:$J$39,3,FALSE())</f>
        <v>1</v>
      </c>
      <c r="N209" s="21" t="str">
        <f aca="false">VLOOKUP(K209,clasif_filas!$A$2:$J$39,4,FALSE())</f>
        <v>Productos de la agricultura, la horticultura y la jardinería comercial</v>
      </c>
      <c r="O209" s="21" t="n">
        <f aca="false">VLOOKUP(K209,clasif_filas!$A$2:$J$39,5,FALSE())</f>
        <v>1</v>
      </c>
      <c r="P209" s="21" t="str">
        <f aca="false">VLOOKUP(K209,clasif_filas!$A$2:$J$39,6,FALSE())</f>
        <v>Biomasa que se cultiva para producir alimentos, forrajes, fibras y energía</v>
      </c>
      <c r="Q209" s="21" t="n">
        <f aca="false">VLOOKUP(K209,clasif_filas!$A$2:$J$39,7,FALSE())</f>
        <v>0</v>
      </c>
      <c r="R209" s="21" t="str">
        <f aca="false">VLOOKUP(K209,clasif_filas!$A$2:$J$39,8,FALSE())</f>
        <v>Productos de la agricultura, la silvicultura yla pesca</v>
      </c>
      <c r="S209" s="21" t="n">
        <f aca="false">VLOOKUP(K209,clasif_filas!$A$2:$J$39,9,FALSE())</f>
        <v>1</v>
      </c>
      <c r="T209" s="61" t="str">
        <f aca="false">VLOOKUP(K209,clasif_filas!$A$2:$J$39,10,FALSE())</f>
        <v>Bioeconomía</v>
      </c>
    </row>
    <row r="210" customFormat="false" ht="14.25" hidden="false" customHeight="false" outlineLevel="0" collapsed="false">
      <c r="A210" s="29" t="s">
        <v>423</v>
      </c>
      <c r="B210" s="67" t="s">
        <v>1836</v>
      </c>
      <c r="C210" s="58" t="str">
        <f aca="false">VLOOKUP(B210, AT_FILAS!$A$2:$C$8,2,FALSE())</f>
        <v>Consumo intermedio</v>
      </c>
      <c r="D210" s="58" t="n">
        <f aca="false">VLOOKUP(B210, AT_FILAS!$A$2:$C$8,3,FALSE())</f>
        <v>2</v>
      </c>
      <c r="E210" s="60" t="s">
        <v>1898</v>
      </c>
      <c r="F210" s="60" t="s">
        <v>1899</v>
      </c>
      <c r="G210" s="1" t="s">
        <v>1883</v>
      </c>
      <c r="H210" s="1" t="n">
        <v>1</v>
      </c>
      <c r="I210" s="1" t="s">
        <v>1865</v>
      </c>
      <c r="J210" s="1" t="s">
        <v>1866</v>
      </c>
      <c r="K210" s="21" t="n">
        <v>1</v>
      </c>
      <c r="L210" s="21" t="str">
        <f aca="false">VLOOKUP(K210,clasif_filas!$A$2:$J$39,2,FALSE())</f>
        <v>Productos de la agricultura, la horticultura y la jardinería comercial</v>
      </c>
      <c r="M210" s="21" t="n">
        <f aca="false">VLOOKUP(K210,clasif_filas!$A$2:$J$39,3,FALSE())</f>
        <v>1</v>
      </c>
      <c r="N210" s="21" t="str">
        <f aca="false">VLOOKUP(K210,clasif_filas!$A$2:$J$39,4,FALSE())</f>
        <v>Productos de la agricultura, la horticultura y la jardinería comercial</v>
      </c>
      <c r="O210" s="21" t="n">
        <f aca="false">VLOOKUP(K210,clasif_filas!$A$2:$J$39,5,FALSE())</f>
        <v>1</v>
      </c>
      <c r="P210" s="21" t="str">
        <f aca="false">VLOOKUP(K210,clasif_filas!$A$2:$J$39,6,FALSE())</f>
        <v>Biomasa que se cultiva para producir alimentos, forrajes, fibras y energía</v>
      </c>
      <c r="Q210" s="21" t="n">
        <f aca="false">VLOOKUP(K210,clasif_filas!$A$2:$J$39,7,FALSE())</f>
        <v>0</v>
      </c>
      <c r="R210" s="21" t="str">
        <f aca="false">VLOOKUP(K210,clasif_filas!$A$2:$J$39,8,FALSE())</f>
        <v>Productos de la agricultura, la silvicultura yla pesca</v>
      </c>
      <c r="S210" s="21" t="n">
        <f aca="false">VLOOKUP(K210,clasif_filas!$A$2:$J$39,9,FALSE())</f>
        <v>1</v>
      </c>
      <c r="T210" s="61" t="str">
        <f aca="false">VLOOKUP(K210,clasif_filas!$A$2:$J$39,10,FALSE())</f>
        <v>Bioeconomía</v>
      </c>
    </row>
    <row r="211" customFormat="false" ht="14.25" hidden="false" customHeight="false" outlineLevel="0" collapsed="false">
      <c r="A211" s="29" t="s">
        <v>425</v>
      </c>
      <c r="B211" s="67" t="s">
        <v>1836</v>
      </c>
      <c r="C211" s="58" t="str">
        <f aca="false">VLOOKUP(B211, AT_FILAS!$A$2:$C$8,2,FALSE())</f>
        <v>Consumo intermedio</v>
      </c>
      <c r="D211" s="58" t="n">
        <f aca="false">VLOOKUP(B211, AT_FILAS!$A$2:$C$8,3,FALSE())</f>
        <v>2</v>
      </c>
      <c r="E211" s="60" t="s">
        <v>1900</v>
      </c>
      <c r="F211" s="60" t="s">
        <v>1901</v>
      </c>
      <c r="G211" s="1" t="s">
        <v>1883</v>
      </c>
      <c r="H211" s="1" t="n">
        <v>1</v>
      </c>
      <c r="I211" s="1" t="s">
        <v>1865</v>
      </c>
      <c r="J211" s="1" t="s">
        <v>1866</v>
      </c>
      <c r="K211" s="21" t="n">
        <v>1</v>
      </c>
      <c r="L211" s="21" t="str">
        <f aca="false">VLOOKUP(K211,clasif_filas!$A$2:$J$39,2,FALSE())</f>
        <v>Productos de la agricultura, la horticultura y la jardinería comercial</v>
      </c>
      <c r="M211" s="21" t="n">
        <f aca="false">VLOOKUP(K211,clasif_filas!$A$2:$J$39,3,FALSE())</f>
        <v>1</v>
      </c>
      <c r="N211" s="21" t="str">
        <f aca="false">VLOOKUP(K211,clasif_filas!$A$2:$J$39,4,FALSE())</f>
        <v>Productos de la agricultura, la horticultura y la jardinería comercial</v>
      </c>
      <c r="O211" s="21" t="n">
        <f aca="false">VLOOKUP(K211,clasif_filas!$A$2:$J$39,5,FALSE())</f>
        <v>1</v>
      </c>
      <c r="P211" s="21" t="str">
        <f aca="false">VLOOKUP(K211,clasif_filas!$A$2:$J$39,6,FALSE())</f>
        <v>Biomasa que se cultiva para producir alimentos, forrajes, fibras y energía</v>
      </c>
      <c r="Q211" s="21" t="n">
        <f aca="false">VLOOKUP(K211,clasif_filas!$A$2:$J$39,7,FALSE())</f>
        <v>0</v>
      </c>
      <c r="R211" s="21" t="str">
        <f aca="false">VLOOKUP(K211,clasif_filas!$A$2:$J$39,8,FALSE())</f>
        <v>Productos de la agricultura, la silvicultura yla pesca</v>
      </c>
      <c r="S211" s="21" t="n">
        <f aca="false">VLOOKUP(K211,clasif_filas!$A$2:$J$39,9,FALSE())</f>
        <v>1</v>
      </c>
      <c r="T211" s="61" t="str">
        <f aca="false">VLOOKUP(K211,clasif_filas!$A$2:$J$39,10,FALSE())</f>
        <v>Bioeconomía</v>
      </c>
    </row>
    <row r="212" customFormat="false" ht="14.25" hidden="false" customHeight="false" outlineLevel="0" collapsed="false">
      <c r="A212" s="29" t="s">
        <v>427</v>
      </c>
      <c r="B212" s="67" t="s">
        <v>1836</v>
      </c>
      <c r="C212" s="58" t="str">
        <f aca="false">VLOOKUP(B212, AT_FILAS!$A$2:$C$8,2,FALSE())</f>
        <v>Consumo intermedio</v>
      </c>
      <c r="D212" s="58" t="n">
        <f aca="false">VLOOKUP(B212, AT_FILAS!$A$2:$C$8,3,FALSE())</f>
        <v>2</v>
      </c>
      <c r="E212" s="60" t="s">
        <v>1902</v>
      </c>
      <c r="F212" s="60" t="s">
        <v>1903</v>
      </c>
      <c r="G212" s="1" t="s">
        <v>1883</v>
      </c>
      <c r="H212" s="1" t="n">
        <v>1</v>
      </c>
      <c r="I212" s="1" t="s">
        <v>1865</v>
      </c>
      <c r="J212" s="1" t="s">
        <v>1866</v>
      </c>
      <c r="K212" s="17" t="n">
        <v>1</v>
      </c>
      <c r="L212" s="21" t="str">
        <f aca="false">VLOOKUP(K212,clasif_filas!$A$2:$J$39,2,FALSE())</f>
        <v>Productos de la agricultura, la horticultura y la jardinería comercial</v>
      </c>
      <c r="M212" s="21" t="n">
        <f aca="false">VLOOKUP(K212,clasif_filas!$A$2:$J$39,3,FALSE())</f>
        <v>1</v>
      </c>
      <c r="N212" s="21" t="str">
        <f aca="false">VLOOKUP(K212,clasif_filas!$A$2:$J$39,4,FALSE())</f>
        <v>Productos de la agricultura, la horticultura y la jardinería comercial</v>
      </c>
      <c r="O212" s="21" t="n">
        <f aca="false">VLOOKUP(K212,clasif_filas!$A$2:$J$39,5,FALSE())</f>
        <v>1</v>
      </c>
      <c r="P212" s="21" t="str">
        <f aca="false">VLOOKUP(K212,clasif_filas!$A$2:$J$39,6,FALSE())</f>
        <v>Biomasa que se cultiva para producir alimentos, forrajes, fibras y energía</v>
      </c>
      <c r="Q212" s="21" t="n">
        <f aca="false">VLOOKUP(K212,clasif_filas!$A$2:$J$39,7,FALSE())</f>
        <v>0</v>
      </c>
      <c r="R212" s="21" t="str">
        <f aca="false">VLOOKUP(K212,clasif_filas!$A$2:$J$39,8,FALSE())</f>
        <v>Productos de la agricultura, la silvicultura yla pesca</v>
      </c>
      <c r="S212" s="21" t="n">
        <f aca="false">VLOOKUP(K212,clasif_filas!$A$2:$J$39,9,FALSE())</f>
        <v>1</v>
      </c>
      <c r="T212" s="61" t="str">
        <f aca="false">VLOOKUP(K212,clasif_filas!$A$2:$J$39,10,FALSE())</f>
        <v>Bioeconomía</v>
      </c>
    </row>
    <row r="213" customFormat="false" ht="14.25" hidden="false" customHeight="false" outlineLevel="0" collapsed="false">
      <c r="A213" s="29" t="s">
        <v>429</v>
      </c>
      <c r="B213" s="67" t="s">
        <v>1836</v>
      </c>
      <c r="C213" s="58" t="str">
        <f aca="false">VLOOKUP(B213, AT_FILAS!$A$2:$C$8,2,FALSE())</f>
        <v>Consumo intermedio</v>
      </c>
      <c r="D213" s="58" t="n">
        <f aca="false">VLOOKUP(B213, AT_FILAS!$A$2:$C$8,3,FALSE())</f>
        <v>2</v>
      </c>
      <c r="E213" s="60" t="s">
        <v>1904</v>
      </c>
      <c r="F213" s="60" t="s">
        <v>1905</v>
      </c>
      <c r="G213" s="1" t="s">
        <v>1874</v>
      </c>
      <c r="H213" s="1" t="n">
        <v>1</v>
      </c>
      <c r="I213" s="1" t="s">
        <v>1865</v>
      </c>
      <c r="J213" s="1" t="s">
        <v>1866</v>
      </c>
      <c r="K213" s="17" t="n">
        <v>1</v>
      </c>
      <c r="L213" s="21" t="str">
        <f aca="false">VLOOKUP(K213,clasif_filas!$A$2:$J$39,2,FALSE())</f>
        <v>Productos de la agricultura, la horticultura y la jardinería comercial</v>
      </c>
      <c r="M213" s="21" t="n">
        <f aca="false">VLOOKUP(K213,clasif_filas!$A$2:$J$39,3,FALSE())</f>
        <v>1</v>
      </c>
      <c r="N213" s="21" t="str">
        <f aca="false">VLOOKUP(K213,clasif_filas!$A$2:$J$39,4,FALSE())</f>
        <v>Productos de la agricultura, la horticultura y la jardinería comercial</v>
      </c>
      <c r="O213" s="21" t="n">
        <f aca="false">VLOOKUP(K213,clasif_filas!$A$2:$J$39,5,FALSE())</f>
        <v>1</v>
      </c>
      <c r="P213" s="21" t="str">
        <f aca="false">VLOOKUP(K213,clasif_filas!$A$2:$J$39,6,FALSE())</f>
        <v>Biomasa que se cultiva para producir alimentos, forrajes, fibras y energía</v>
      </c>
      <c r="Q213" s="21" t="n">
        <f aca="false">VLOOKUP(K213,clasif_filas!$A$2:$J$39,7,FALSE())</f>
        <v>0</v>
      </c>
      <c r="R213" s="21" t="str">
        <f aca="false">VLOOKUP(K213,clasif_filas!$A$2:$J$39,8,FALSE())</f>
        <v>Productos de la agricultura, la silvicultura yla pesca</v>
      </c>
      <c r="S213" s="21" t="n">
        <f aca="false">VLOOKUP(K213,clasif_filas!$A$2:$J$39,9,FALSE())</f>
        <v>1</v>
      </c>
      <c r="T213" s="61" t="str">
        <f aca="false">VLOOKUP(K213,clasif_filas!$A$2:$J$39,10,FALSE())</f>
        <v>Bioeconomía</v>
      </c>
    </row>
    <row r="214" customFormat="false" ht="14.25" hidden="false" customHeight="false" outlineLevel="0" collapsed="false">
      <c r="A214" s="29" t="s">
        <v>431</v>
      </c>
      <c r="B214" s="67" t="s">
        <v>1836</v>
      </c>
      <c r="C214" s="58" t="str">
        <f aca="false">VLOOKUP(B214, AT_FILAS!$A$2:$C$8,2,FALSE())</f>
        <v>Consumo intermedio</v>
      </c>
      <c r="D214" s="58" t="n">
        <f aca="false">VLOOKUP(B214, AT_FILAS!$A$2:$C$8,3,FALSE())</f>
        <v>2</v>
      </c>
      <c r="E214" s="60" t="s">
        <v>1906</v>
      </c>
      <c r="F214" s="60" t="s">
        <v>1907</v>
      </c>
      <c r="G214" s="1" t="s">
        <v>1908</v>
      </c>
      <c r="H214" s="1" t="n">
        <v>1</v>
      </c>
      <c r="I214" s="1" t="s">
        <v>1865</v>
      </c>
      <c r="J214" s="1" t="s">
        <v>1866</v>
      </c>
      <c r="K214" s="1" t="n">
        <v>1</v>
      </c>
      <c r="L214" s="21" t="str">
        <f aca="false">VLOOKUP(K214,clasif_filas!$A$2:$J$39,2,FALSE())</f>
        <v>Productos de la agricultura, la horticultura y la jardinería comercial</v>
      </c>
      <c r="M214" s="21" t="n">
        <f aca="false">VLOOKUP(K214,clasif_filas!$A$2:$J$39,3,FALSE())</f>
        <v>1</v>
      </c>
      <c r="N214" s="21" t="str">
        <f aca="false">VLOOKUP(K214,clasif_filas!$A$2:$J$39,4,FALSE())</f>
        <v>Productos de la agricultura, la horticultura y la jardinería comercial</v>
      </c>
      <c r="O214" s="21" t="n">
        <f aca="false">VLOOKUP(K214,clasif_filas!$A$2:$J$39,5,FALSE())</f>
        <v>1</v>
      </c>
      <c r="P214" s="21" t="str">
        <f aca="false">VLOOKUP(K214,clasif_filas!$A$2:$J$39,6,FALSE())</f>
        <v>Biomasa que se cultiva para producir alimentos, forrajes, fibras y energía</v>
      </c>
      <c r="Q214" s="21" t="n">
        <f aca="false">VLOOKUP(K214,clasif_filas!$A$2:$J$39,7,FALSE())</f>
        <v>0</v>
      </c>
      <c r="R214" s="21" t="str">
        <f aca="false">VLOOKUP(K214,clasif_filas!$A$2:$J$39,8,FALSE())</f>
        <v>Productos de la agricultura, la silvicultura yla pesca</v>
      </c>
      <c r="S214" s="21" t="n">
        <f aca="false">VLOOKUP(K214,clasif_filas!$A$2:$J$39,9,FALSE())</f>
        <v>1</v>
      </c>
      <c r="T214" s="61" t="str">
        <f aca="false">VLOOKUP(K214,clasif_filas!$A$2:$J$39,10,FALSE())</f>
        <v>Bioeconomía</v>
      </c>
    </row>
    <row r="215" customFormat="false" ht="14.25" hidden="false" customHeight="false" outlineLevel="0" collapsed="false">
      <c r="A215" s="29" t="s">
        <v>433</v>
      </c>
      <c r="B215" s="67" t="s">
        <v>1836</v>
      </c>
      <c r="C215" s="58" t="str">
        <f aca="false">VLOOKUP(B215, AT_FILAS!$A$2:$C$8,2,FALSE())</f>
        <v>Consumo intermedio</v>
      </c>
      <c r="D215" s="58" t="n">
        <f aca="false">VLOOKUP(B215, AT_FILAS!$A$2:$C$8,3,FALSE())</f>
        <v>2</v>
      </c>
      <c r="E215" s="60" t="s">
        <v>1909</v>
      </c>
      <c r="F215" s="60" t="s">
        <v>1910</v>
      </c>
      <c r="G215" s="1" t="s">
        <v>1908</v>
      </c>
      <c r="H215" s="1" t="n">
        <v>1</v>
      </c>
      <c r="I215" s="1" t="s">
        <v>1865</v>
      </c>
      <c r="J215" s="1" t="s">
        <v>1866</v>
      </c>
      <c r="K215" s="1" t="n">
        <v>1</v>
      </c>
      <c r="L215" s="21" t="str">
        <f aca="false">VLOOKUP(K215,clasif_filas!$A$2:$J$39,2,FALSE())</f>
        <v>Productos de la agricultura, la horticultura y la jardinería comercial</v>
      </c>
      <c r="M215" s="21" t="n">
        <f aca="false">VLOOKUP(K215,clasif_filas!$A$2:$J$39,3,FALSE())</f>
        <v>1</v>
      </c>
      <c r="N215" s="21" t="str">
        <f aca="false">VLOOKUP(K215,clasif_filas!$A$2:$J$39,4,FALSE())</f>
        <v>Productos de la agricultura, la horticultura y la jardinería comercial</v>
      </c>
      <c r="O215" s="21" t="n">
        <f aca="false">VLOOKUP(K215,clasif_filas!$A$2:$J$39,5,FALSE())</f>
        <v>1</v>
      </c>
      <c r="P215" s="21" t="str">
        <f aca="false">VLOOKUP(K215,clasif_filas!$A$2:$J$39,6,FALSE())</f>
        <v>Biomasa que se cultiva para producir alimentos, forrajes, fibras y energía</v>
      </c>
      <c r="Q215" s="21" t="n">
        <f aca="false">VLOOKUP(K215,clasif_filas!$A$2:$J$39,7,FALSE())</f>
        <v>0</v>
      </c>
      <c r="R215" s="21" t="str">
        <f aca="false">VLOOKUP(K215,clasif_filas!$A$2:$J$39,8,FALSE())</f>
        <v>Productos de la agricultura, la silvicultura yla pesca</v>
      </c>
      <c r="S215" s="21" t="n">
        <f aca="false">VLOOKUP(K215,clasif_filas!$A$2:$J$39,9,FALSE())</f>
        <v>1</v>
      </c>
      <c r="T215" s="61" t="str">
        <f aca="false">VLOOKUP(K215,clasif_filas!$A$2:$J$39,10,FALSE())</f>
        <v>Bioeconomía</v>
      </c>
    </row>
    <row r="216" customFormat="false" ht="14.25" hidden="false" customHeight="false" outlineLevel="0" collapsed="false">
      <c r="A216" s="29" t="s">
        <v>435</v>
      </c>
      <c r="B216" s="67" t="s">
        <v>1836</v>
      </c>
      <c r="C216" s="58" t="str">
        <f aca="false">VLOOKUP(B216, AT_FILAS!$A$2:$C$8,2,FALSE())</f>
        <v>Consumo intermedio</v>
      </c>
      <c r="D216" s="58" t="n">
        <f aca="false">VLOOKUP(B216, AT_FILAS!$A$2:$C$8,3,FALSE())</f>
        <v>2</v>
      </c>
      <c r="E216" s="60" t="s">
        <v>1911</v>
      </c>
      <c r="F216" s="60" t="s">
        <v>1912</v>
      </c>
      <c r="G216" s="1" t="s">
        <v>1908</v>
      </c>
      <c r="H216" s="1" t="n">
        <v>1</v>
      </c>
      <c r="I216" s="1" t="s">
        <v>1865</v>
      </c>
      <c r="J216" s="1" t="s">
        <v>1866</v>
      </c>
      <c r="K216" s="17" t="n">
        <v>1</v>
      </c>
      <c r="L216" s="21" t="str">
        <f aca="false">VLOOKUP(K216,clasif_filas!$A$2:$J$39,2,FALSE())</f>
        <v>Productos de la agricultura, la horticultura y la jardinería comercial</v>
      </c>
      <c r="M216" s="21" t="n">
        <f aca="false">VLOOKUP(K216,clasif_filas!$A$2:$J$39,3,FALSE())</f>
        <v>1</v>
      </c>
      <c r="N216" s="21" t="str">
        <f aca="false">VLOOKUP(K216,clasif_filas!$A$2:$J$39,4,FALSE())</f>
        <v>Productos de la agricultura, la horticultura y la jardinería comercial</v>
      </c>
      <c r="O216" s="21" t="n">
        <f aca="false">VLOOKUP(K216,clasif_filas!$A$2:$J$39,5,FALSE())</f>
        <v>1</v>
      </c>
      <c r="P216" s="21" t="str">
        <f aca="false">VLOOKUP(K216,clasif_filas!$A$2:$J$39,6,FALSE())</f>
        <v>Biomasa que se cultiva para producir alimentos, forrajes, fibras y energía</v>
      </c>
      <c r="Q216" s="21" t="n">
        <f aca="false">VLOOKUP(K216,clasif_filas!$A$2:$J$39,7,FALSE())</f>
        <v>0</v>
      </c>
      <c r="R216" s="21" t="str">
        <f aca="false">VLOOKUP(K216,clasif_filas!$A$2:$J$39,8,FALSE())</f>
        <v>Productos de la agricultura, la silvicultura yla pesca</v>
      </c>
      <c r="S216" s="21" t="n">
        <f aca="false">VLOOKUP(K216,clasif_filas!$A$2:$J$39,9,FALSE())</f>
        <v>1</v>
      </c>
      <c r="T216" s="61" t="str">
        <f aca="false">VLOOKUP(K216,clasif_filas!$A$2:$J$39,10,FALSE())</f>
        <v>Bioeconomía</v>
      </c>
    </row>
    <row r="217" customFormat="false" ht="14.25" hidden="false" customHeight="false" outlineLevel="0" collapsed="false">
      <c r="A217" s="29" t="s">
        <v>437</v>
      </c>
      <c r="B217" s="67" t="s">
        <v>1836</v>
      </c>
      <c r="C217" s="58" t="str">
        <f aca="false">VLOOKUP(B217, AT_FILAS!$A$2:$C$8,2,FALSE())</f>
        <v>Consumo intermedio</v>
      </c>
      <c r="D217" s="58" t="n">
        <f aca="false">VLOOKUP(B217, AT_FILAS!$A$2:$C$8,3,FALSE())</f>
        <v>2</v>
      </c>
      <c r="E217" s="60" t="s">
        <v>1913</v>
      </c>
      <c r="F217" s="60" t="s">
        <v>1914</v>
      </c>
      <c r="G217" s="1" t="s">
        <v>1908</v>
      </c>
      <c r="H217" s="1" t="n">
        <v>1</v>
      </c>
      <c r="I217" s="1" t="s">
        <v>1865</v>
      </c>
      <c r="J217" s="1" t="s">
        <v>1866</v>
      </c>
      <c r="K217" s="17" t="n">
        <v>1</v>
      </c>
      <c r="L217" s="21" t="str">
        <f aca="false">VLOOKUP(K217,clasif_filas!$A$2:$J$39,2,FALSE())</f>
        <v>Productos de la agricultura, la horticultura y la jardinería comercial</v>
      </c>
      <c r="M217" s="21" t="n">
        <f aca="false">VLOOKUP(K217,clasif_filas!$A$2:$J$39,3,FALSE())</f>
        <v>1</v>
      </c>
      <c r="N217" s="21" t="str">
        <f aca="false">VLOOKUP(K217,clasif_filas!$A$2:$J$39,4,FALSE())</f>
        <v>Productos de la agricultura, la horticultura y la jardinería comercial</v>
      </c>
      <c r="O217" s="21" t="n">
        <f aca="false">VLOOKUP(K217,clasif_filas!$A$2:$J$39,5,FALSE())</f>
        <v>1</v>
      </c>
      <c r="P217" s="21" t="str">
        <f aca="false">VLOOKUP(K217,clasif_filas!$A$2:$J$39,6,FALSE())</f>
        <v>Biomasa que se cultiva para producir alimentos, forrajes, fibras y energía</v>
      </c>
      <c r="Q217" s="21" t="n">
        <f aca="false">VLOOKUP(K217,clasif_filas!$A$2:$J$39,7,FALSE())</f>
        <v>0</v>
      </c>
      <c r="R217" s="21" t="str">
        <f aca="false">VLOOKUP(K217,clasif_filas!$A$2:$J$39,8,FALSE())</f>
        <v>Productos de la agricultura, la silvicultura yla pesca</v>
      </c>
      <c r="S217" s="21" t="n">
        <f aca="false">VLOOKUP(K217,clasif_filas!$A$2:$J$39,9,FALSE())</f>
        <v>1</v>
      </c>
      <c r="T217" s="61" t="str">
        <f aca="false">VLOOKUP(K217,clasif_filas!$A$2:$J$39,10,FALSE())</f>
        <v>Bioeconomía</v>
      </c>
    </row>
    <row r="218" customFormat="false" ht="14.25" hidden="false" customHeight="false" outlineLevel="0" collapsed="false">
      <c r="A218" s="29" t="s">
        <v>439</v>
      </c>
      <c r="B218" s="67" t="s">
        <v>1836</v>
      </c>
      <c r="C218" s="58" t="str">
        <f aca="false">VLOOKUP(B218, AT_FILAS!$A$2:$C$8,2,FALSE())</f>
        <v>Consumo intermedio</v>
      </c>
      <c r="D218" s="58" t="n">
        <f aca="false">VLOOKUP(B218, AT_FILAS!$A$2:$C$8,3,FALSE())</f>
        <v>2</v>
      </c>
      <c r="E218" s="60" t="s">
        <v>1915</v>
      </c>
      <c r="F218" s="60" t="s">
        <v>1916</v>
      </c>
      <c r="G218" s="1" t="s">
        <v>1908</v>
      </c>
      <c r="H218" s="1" t="n">
        <v>1</v>
      </c>
      <c r="I218" s="1" t="s">
        <v>1865</v>
      </c>
      <c r="J218" s="1" t="s">
        <v>1866</v>
      </c>
      <c r="K218" s="17" t="n">
        <v>1</v>
      </c>
      <c r="L218" s="21" t="str">
        <f aca="false">VLOOKUP(K218,clasif_filas!$A$2:$J$39,2,FALSE())</f>
        <v>Productos de la agricultura, la horticultura y la jardinería comercial</v>
      </c>
      <c r="M218" s="21" t="n">
        <f aca="false">VLOOKUP(K218,clasif_filas!$A$2:$J$39,3,FALSE())</f>
        <v>1</v>
      </c>
      <c r="N218" s="21" t="str">
        <f aca="false">VLOOKUP(K218,clasif_filas!$A$2:$J$39,4,FALSE())</f>
        <v>Productos de la agricultura, la horticultura y la jardinería comercial</v>
      </c>
      <c r="O218" s="21" t="n">
        <f aca="false">VLOOKUP(K218,clasif_filas!$A$2:$J$39,5,FALSE())</f>
        <v>1</v>
      </c>
      <c r="P218" s="21" t="str">
        <f aca="false">VLOOKUP(K218,clasif_filas!$A$2:$J$39,6,FALSE())</f>
        <v>Biomasa que se cultiva para producir alimentos, forrajes, fibras y energía</v>
      </c>
      <c r="Q218" s="21" t="n">
        <f aca="false">VLOOKUP(K218,clasif_filas!$A$2:$J$39,7,FALSE())</f>
        <v>0</v>
      </c>
      <c r="R218" s="21" t="str">
        <f aca="false">VLOOKUP(K218,clasif_filas!$A$2:$J$39,8,FALSE())</f>
        <v>Productos de la agricultura, la silvicultura yla pesca</v>
      </c>
      <c r="S218" s="21" t="n">
        <f aca="false">VLOOKUP(K218,clasif_filas!$A$2:$J$39,9,FALSE())</f>
        <v>1</v>
      </c>
      <c r="T218" s="61" t="str">
        <f aca="false">VLOOKUP(K218,clasif_filas!$A$2:$J$39,10,FALSE())</f>
        <v>Bioeconomía</v>
      </c>
    </row>
    <row r="219" customFormat="false" ht="14.25" hidden="false" customHeight="false" outlineLevel="0" collapsed="false">
      <c r="A219" s="29" t="s">
        <v>441</v>
      </c>
      <c r="B219" s="67" t="s">
        <v>1836</v>
      </c>
      <c r="C219" s="58" t="str">
        <f aca="false">VLOOKUP(B219, AT_FILAS!$A$2:$C$8,2,FALSE())</f>
        <v>Consumo intermedio</v>
      </c>
      <c r="D219" s="58" t="n">
        <f aca="false">VLOOKUP(B219, AT_FILAS!$A$2:$C$8,3,FALSE())</f>
        <v>2</v>
      </c>
      <c r="E219" s="60" t="s">
        <v>1917</v>
      </c>
      <c r="F219" s="60" t="s">
        <v>1918</v>
      </c>
      <c r="G219" s="1" t="s">
        <v>1908</v>
      </c>
      <c r="H219" s="1" t="n">
        <v>1</v>
      </c>
      <c r="I219" s="1" t="s">
        <v>1865</v>
      </c>
      <c r="J219" s="1" t="s">
        <v>1866</v>
      </c>
      <c r="K219" s="17" t="n">
        <v>1</v>
      </c>
      <c r="L219" s="21" t="str">
        <f aca="false">VLOOKUP(K219,clasif_filas!$A$2:$J$39,2,FALSE())</f>
        <v>Productos de la agricultura, la horticultura y la jardinería comercial</v>
      </c>
      <c r="M219" s="21" t="n">
        <f aca="false">VLOOKUP(K219,clasif_filas!$A$2:$J$39,3,FALSE())</f>
        <v>1</v>
      </c>
      <c r="N219" s="21" t="str">
        <f aca="false">VLOOKUP(K219,clasif_filas!$A$2:$J$39,4,FALSE())</f>
        <v>Productos de la agricultura, la horticultura y la jardinería comercial</v>
      </c>
      <c r="O219" s="21" t="n">
        <f aca="false">VLOOKUP(K219,clasif_filas!$A$2:$J$39,5,FALSE())</f>
        <v>1</v>
      </c>
      <c r="P219" s="21" t="str">
        <f aca="false">VLOOKUP(K219,clasif_filas!$A$2:$J$39,6,FALSE())</f>
        <v>Biomasa que se cultiva para producir alimentos, forrajes, fibras y energía</v>
      </c>
      <c r="Q219" s="21" t="n">
        <f aca="false">VLOOKUP(K219,clasif_filas!$A$2:$J$39,7,FALSE())</f>
        <v>0</v>
      </c>
      <c r="R219" s="21" t="str">
        <f aca="false">VLOOKUP(K219,clasif_filas!$A$2:$J$39,8,FALSE())</f>
        <v>Productos de la agricultura, la silvicultura yla pesca</v>
      </c>
      <c r="S219" s="21" t="n">
        <f aca="false">VLOOKUP(K219,clasif_filas!$A$2:$J$39,9,FALSE())</f>
        <v>1</v>
      </c>
      <c r="T219" s="61" t="str">
        <f aca="false">VLOOKUP(K219,clasif_filas!$A$2:$J$39,10,FALSE())</f>
        <v>Bioeconomía</v>
      </c>
    </row>
    <row r="220" customFormat="false" ht="14.25" hidden="false" customHeight="false" outlineLevel="0" collapsed="false">
      <c r="A220" s="29" t="s">
        <v>443</v>
      </c>
      <c r="B220" s="67" t="s">
        <v>1836</v>
      </c>
      <c r="C220" s="58" t="str">
        <f aca="false">VLOOKUP(B220, AT_FILAS!$A$2:$C$8,2,FALSE())</f>
        <v>Consumo intermedio</v>
      </c>
      <c r="D220" s="58" t="n">
        <f aca="false">VLOOKUP(B220, AT_FILAS!$A$2:$C$8,3,FALSE())</f>
        <v>2</v>
      </c>
      <c r="E220" s="60" t="s">
        <v>1919</v>
      </c>
      <c r="F220" s="60" t="s">
        <v>1920</v>
      </c>
      <c r="G220" s="1" t="s">
        <v>1908</v>
      </c>
      <c r="H220" s="1" t="n">
        <v>1</v>
      </c>
      <c r="I220" s="1" t="s">
        <v>1865</v>
      </c>
      <c r="J220" s="1" t="s">
        <v>1866</v>
      </c>
      <c r="K220" s="17" t="n">
        <v>1</v>
      </c>
      <c r="L220" s="21" t="str">
        <f aca="false">VLOOKUP(K220,clasif_filas!$A$2:$J$39,2,FALSE())</f>
        <v>Productos de la agricultura, la horticultura y la jardinería comercial</v>
      </c>
      <c r="M220" s="21" t="n">
        <f aca="false">VLOOKUP(K220,clasif_filas!$A$2:$J$39,3,FALSE())</f>
        <v>1</v>
      </c>
      <c r="N220" s="21" t="str">
        <f aca="false">VLOOKUP(K220,clasif_filas!$A$2:$J$39,4,FALSE())</f>
        <v>Productos de la agricultura, la horticultura y la jardinería comercial</v>
      </c>
      <c r="O220" s="21" t="n">
        <f aca="false">VLOOKUP(K220,clasif_filas!$A$2:$J$39,5,FALSE())</f>
        <v>1</v>
      </c>
      <c r="P220" s="21" t="str">
        <f aca="false">VLOOKUP(K220,clasif_filas!$A$2:$J$39,6,FALSE())</f>
        <v>Biomasa que se cultiva para producir alimentos, forrajes, fibras y energía</v>
      </c>
      <c r="Q220" s="21" t="n">
        <f aca="false">VLOOKUP(K220,clasif_filas!$A$2:$J$39,7,FALSE())</f>
        <v>0</v>
      </c>
      <c r="R220" s="21" t="str">
        <f aca="false">VLOOKUP(K220,clasif_filas!$A$2:$J$39,8,FALSE())</f>
        <v>Productos de la agricultura, la silvicultura yla pesca</v>
      </c>
      <c r="S220" s="21" t="n">
        <f aca="false">VLOOKUP(K220,clasif_filas!$A$2:$J$39,9,FALSE())</f>
        <v>1</v>
      </c>
      <c r="T220" s="61" t="str">
        <f aca="false">VLOOKUP(K220,clasif_filas!$A$2:$J$39,10,FALSE())</f>
        <v>Bioeconomía</v>
      </c>
    </row>
    <row r="221" customFormat="false" ht="14.25" hidden="false" customHeight="false" outlineLevel="0" collapsed="false">
      <c r="A221" s="29" t="s">
        <v>445</v>
      </c>
      <c r="B221" s="67" t="s">
        <v>1836</v>
      </c>
      <c r="C221" s="58" t="str">
        <f aca="false">VLOOKUP(B221, AT_FILAS!$A$2:$C$8,2,FALSE())</f>
        <v>Consumo intermedio</v>
      </c>
      <c r="D221" s="58" t="n">
        <f aca="false">VLOOKUP(B221, AT_FILAS!$A$2:$C$8,3,FALSE())</f>
        <v>2</v>
      </c>
      <c r="E221" s="60" t="s">
        <v>1921</v>
      </c>
      <c r="F221" s="60" t="s">
        <v>1922</v>
      </c>
      <c r="G221" s="1" t="s">
        <v>1908</v>
      </c>
      <c r="H221" s="1" t="n">
        <v>1</v>
      </c>
      <c r="I221" s="1" t="s">
        <v>1865</v>
      </c>
      <c r="J221" s="1" t="s">
        <v>1866</v>
      </c>
      <c r="K221" s="17" t="n">
        <v>1</v>
      </c>
      <c r="L221" s="21" t="str">
        <f aca="false">VLOOKUP(K221,clasif_filas!$A$2:$J$39,2,FALSE())</f>
        <v>Productos de la agricultura, la horticultura y la jardinería comercial</v>
      </c>
      <c r="M221" s="21" t="n">
        <f aca="false">VLOOKUP(K221,clasif_filas!$A$2:$J$39,3,FALSE())</f>
        <v>1</v>
      </c>
      <c r="N221" s="21" t="str">
        <f aca="false">VLOOKUP(K221,clasif_filas!$A$2:$J$39,4,FALSE())</f>
        <v>Productos de la agricultura, la horticultura y la jardinería comercial</v>
      </c>
      <c r="O221" s="21" t="n">
        <f aca="false">VLOOKUP(K221,clasif_filas!$A$2:$J$39,5,FALSE())</f>
        <v>1</v>
      </c>
      <c r="P221" s="21" t="str">
        <f aca="false">VLOOKUP(K221,clasif_filas!$A$2:$J$39,6,FALSE())</f>
        <v>Biomasa que se cultiva para producir alimentos, forrajes, fibras y energía</v>
      </c>
      <c r="Q221" s="21" t="n">
        <f aca="false">VLOOKUP(K221,clasif_filas!$A$2:$J$39,7,FALSE())</f>
        <v>0</v>
      </c>
      <c r="R221" s="21" t="str">
        <f aca="false">VLOOKUP(K221,clasif_filas!$A$2:$J$39,8,FALSE())</f>
        <v>Productos de la agricultura, la silvicultura yla pesca</v>
      </c>
      <c r="S221" s="21" t="n">
        <f aca="false">VLOOKUP(K221,clasif_filas!$A$2:$J$39,9,FALSE())</f>
        <v>1</v>
      </c>
      <c r="T221" s="61" t="str">
        <f aca="false">VLOOKUP(K221,clasif_filas!$A$2:$J$39,10,FALSE())</f>
        <v>Bioeconomía</v>
      </c>
    </row>
    <row r="222" customFormat="false" ht="14.25" hidden="false" customHeight="false" outlineLevel="0" collapsed="false">
      <c r="A222" s="29" t="s">
        <v>447</v>
      </c>
      <c r="B222" s="67" t="s">
        <v>1836</v>
      </c>
      <c r="C222" s="58" t="str">
        <f aca="false">VLOOKUP(B222, AT_FILAS!$A$2:$C$8,2,FALSE())</f>
        <v>Consumo intermedio</v>
      </c>
      <c r="D222" s="58" t="n">
        <f aca="false">VLOOKUP(B222, AT_FILAS!$A$2:$C$8,3,FALSE())</f>
        <v>2</v>
      </c>
      <c r="E222" s="60" t="s">
        <v>1923</v>
      </c>
      <c r="F222" s="60" t="s">
        <v>1924</v>
      </c>
      <c r="G222" s="1" t="s">
        <v>1908</v>
      </c>
      <c r="H222" s="1" t="n">
        <v>1</v>
      </c>
      <c r="I222" s="1" t="s">
        <v>1865</v>
      </c>
      <c r="J222" s="1" t="s">
        <v>1866</v>
      </c>
      <c r="K222" s="17" t="n">
        <v>1</v>
      </c>
      <c r="L222" s="21" t="str">
        <f aca="false">VLOOKUP(K222,clasif_filas!$A$2:$J$39,2,FALSE())</f>
        <v>Productos de la agricultura, la horticultura y la jardinería comercial</v>
      </c>
      <c r="M222" s="21" t="n">
        <f aca="false">VLOOKUP(K222,clasif_filas!$A$2:$J$39,3,FALSE())</f>
        <v>1</v>
      </c>
      <c r="N222" s="21" t="str">
        <f aca="false">VLOOKUP(K222,clasif_filas!$A$2:$J$39,4,FALSE())</f>
        <v>Productos de la agricultura, la horticultura y la jardinería comercial</v>
      </c>
      <c r="O222" s="21" t="n">
        <f aca="false">VLOOKUP(K222,clasif_filas!$A$2:$J$39,5,FALSE())</f>
        <v>1</v>
      </c>
      <c r="P222" s="21" t="str">
        <f aca="false">VLOOKUP(K222,clasif_filas!$A$2:$J$39,6,FALSE())</f>
        <v>Biomasa que se cultiva para producir alimentos, forrajes, fibras y energía</v>
      </c>
      <c r="Q222" s="21" t="n">
        <f aca="false">VLOOKUP(K222,clasif_filas!$A$2:$J$39,7,FALSE())</f>
        <v>0</v>
      </c>
      <c r="R222" s="21" t="str">
        <f aca="false">VLOOKUP(K222,clasif_filas!$A$2:$J$39,8,FALSE())</f>
        <v>Productos de la agricultura, la silvicultura yla pesca</v>
      </c>
      <c r="S222" s="21" t="n">
        <f aca="false">VLOOKUP(K222,clasif_filas!$A$2:$J$39,9,FALSE())</f>
        <v>1</v>
      </c>
      <c r="T222" s="61" t="str">
        <f aca="false">VLOOKUP(K222,clasif_filas!$A$2:$J$39,10,FALSE())</f>
        <v>Bioeconomía</v>
      </c>
    </row>
    <row r="223" customFormat="false" ht="14.25" hidden="false" customHeight="false" outlineLevel="0" collapsed="false">
      <c r="A223" s="29" t="s">
        <v>449</v>
      </c>
      <c r="B223" s="67" t="s">
        <v>1836</v>
      </c>
      <c r="C223" s="58" t="str">
        <f aca="false">VLOOKUP(B223, AT_FILAS!$A$2:$C$8,2,FALSE())</f>
        <v>Consumo intermedio</v>
      </c>
      <c r="D223" s="58" t="n">
        <f aca="false">VLOOKUP(B223, AT_FILAS!$A$2:$C$8,3,FALSE())</f>
        <v>2</v>
      </c>
      <c r="E223" s="60" t="s">
        <v>1925</v>
      </c>
      <c r="F223" s="60" t="s">
        <v>1926</v>
      </c>
      <c r="G223" s="1" t="s">
        <v>1908</v>
      </c>
      <c r="H223" s="1" t="n">
        <v>1</v>
      </c>
      <c r="I223" s="1" t="s">
        <v>1865</v>
      </c>
      <c r="J223" s="1" t="s">
        <v>1866</v>
      </c>
      <c r="K223" s="17" t="n">
        <v>1</v>
      </c>
      <c r="L223" s="21" t="str">
        <f aca="false">VLOOKUP(K223,clasif_filas!$A$2:$J$39,2,FALSE())</f>
        <v>Productos de la agricultura, la horticultura y la jardinería comercial</v>
      </c>
      <c r="M223" s="21" t="n">
        <f aca="false">VLOOKUP(K223,clasif_filas!$A$2:$J$39,3,FALSE())</f>
        <v>1</v>
      </c>
      <c r="N223" s="21" t="str">
        <f aca="false">VLOOKUP(K223,clasif_filas!$A$2:$J$39,4,FALSE())</f>
        <v>Productos de la agricultura, la horticultura y la jardinería comercial</v>
      </c>
      <c r="O223" s="21" t="n">
        <f aca="false">VLOOKUP(K223,clasif_filas!$A$2:$J$39,5,FALSE())</f>
        <v>1</v>
      </c>
      <c r="P223" s="21" t="str">
        <f aca="false">VLOOKUP(K223,clasif_filas!$A$2:$J$39,6,FALSE())</f>
        <v>Biomasa que se cultiva para producir alimentos, forrajes, fibras y energía</v>
      </c>
      <c r="Q223" s="21" t="n">
        <f aca="false">VLOOKUP(K223,clasif_filas!$A$2:$J$39,7,FALSE())</f>
        <v>0</v>
      </c>
      <c r="R223" s="21" t="str">
        <f aca="false">VLOOKUP(K223,clasif_filas!$A$2:$J$39,8,FALSE())</f>
        <v>Productos de la agricultura, la silvicultura yla pesca</v>
      </c>
      <c r="S223" s="21" t="n">
        <f aca="false">VLOOKUP(K223,clasif_filas!$A$2:$J$39,9,FALSE())</f>
        <v>1</v>
      </c>
      <c r="T223" s="61" t="str">
        <f aca="false">VLOOKUP(K223,clasif_filas!$A$2:$J$39,10,FALSE())</f>
        <v>Bioeconomía</v>
      </c>
    </row>
    <row r="224" customFormat="false" ht="14.25" hidden="false" customHeight="false" outlineLevel="0" collapsed="false">
      <c r="A224" s="29" t="s">
        <v>451</v>
      </c>
      <c r="B224" s="67" t="s">
        <v>1836</v>
      </c>
      <c r="C224" s="58" t="str">
        <f aca="false">VLOOKUP(B224, AT_FILAS!$A$2:$C$8,2,FALSE())</f>
        <v>Consumo intermedio</v>
      </c>
      <c r="D224" s="58" t="n">
        <f aca="false">VLOOKUP(B224, AT_FILAS!$A$2:$C$8,3,FALSE())</f>
        <v>2</v>
      </c>
      <c r="E224" s="60" t="s">
        <v>1927</v>
      </c>
      <c r="F224" s="60" t="s">
        <v>1928</v>
      </c>
      <c r="G224" s="1" t="s">
        <v>1929</v>
      </c>
      <c r="H224" s="1" t="n">
        <v>1</v>
      </c>
      <c r="I224" s="1" t="s">
        <v>1865</v>
      </c>
      <c r="J224" s="1" t="s">
        <v>1866</v>
      </c>
      <c r="K224" s="17" t="n">
        <v>1</v>
      </c>
      <c r="L224" s="21" t="str">
        <f aca="false">VLOOKUP(K224,clasif_filas!$A$2:$J$39,2,FALSE())</f>
        <v>Productos de la agricultura, la horticultura y la jardinería comercial</v>
      </c>
      <c r="M224" s="21" t="n">
        <f aca="false">VLOOKUP(K224,clasif_filas!$A$2:$J$39,3,FALSE())</f>
        <v>1</v>
      </c>
      <c r="N224" s="21" t="str">
        <f aca="false">VLOOKUP(K224,clasif_filas!$A$2:$J$39,4,FALSE())</f>
        <v>Productos de la agricultura, la horticultura y la jardinería comercial</v>
      </c>
      <c r="O224" s="21" t="n">
        <f aca="false">VLOOKUP(K224,clasif_filas!$A$2:$J$39,5,FALSE())</f>
        <v>1</v>
      </c>
      <c r="P224" s="21" t="str">
        <f aca="false">VLOOKUP(K224,clasif_filas!$A$2:$J$39,6,FALSE())</f>
        <v>Biomasa que se cultiva para producir alimentos, forrajes, fibras y energía</v>
      </c>
      <c r="Q224" s="21" t="n">
        <f aca="false">VLOOKUP(K224,clasif_filas!$A$2:$J$39,7,FALSE())</f>
        <v>0</v>
      </c>
      <c r="R224" s="21" t="str">
        <f aca="false">VLOOKUP(K224,clasif_filas!$A$2:$J$39,8,FALSE())</f>
        <v>Productos de la agricultura, la silvicultura yla pesca</v>
      </c>
      <c r="S224" s="21" t="n">
        <f aca="false">VLOOKUP(K224,clasif_filas!$A$2:$J$39,9,FALSE())</f>
        <v>1</v>
      </c>
      <c r="T224" s="61" t="str">
        <f aca="false">VLOOKUP(K224,clasif_filas!$A$2:$J$39,10,FALSE())</f>
        <v>Bioeconomía</v>
      </c>
    </row>
    <row r="225" customFormat="false" ht="14.25" hidden="false" customHeight="false" outlineLevel="0" collapsed="false">
      <c r="A225" s="29" t="s">
        <v>453</v>
      </c>
      <c r="B225" s="67" t="s">
        <v>1836</v>
      </c>
      <c r="C225" s="58" t="str">
        <f aca="false">VLOOKUP(B225, AT_FILAS!$A$2:$C$8,2,FALSE())</f>
        <v>Consumo intermedio</v>
      </c>
      <c r="D225" s="58" t="n">
        <f aca="false">VLOOKUP(B225, AT_FILAS!$A$2:$C$8,3,FALSE())</f>
        <v>2</v>
      </c>
      <c r="E225" s="60" t="s">
        <v>1930</v>
      </c>
      <c r="F225" s="60" t="s">
        <v>1931</v>
      </c>
      <c r="G225" s="1" t="s">
        <v>1908</v>
      </c>
      <c r="H225" s="1" t="n">
        <v>1</v>
      </c>
      <c r="I225" s="1" t="s">
        <v>1865</v>
      </c>
      <c r="J225" s="1" t="s">
        <v>1866</v>
      </c>
      <c r="K225" s="17" t="n">
        <v>1</v>
      </c>
      <c r="L225" s="21" t="str">
        <f aca="false">VLOOKUP(K225,clasif_filas!$A$2:$J$39,2,FALSE())</f>
        <v>Productos de la agricultura, la horticultura y la jardinería comercial</v>
      </c>
      <c r="M225" s="21" t="n">
        <f aca="false">VLOOKUP(K225,clasif_filas!$A$2:$J$39,3,FALSE())</f>
        <v>1</v>
      </c>
      <c r="N225" s="21" t="str">
        <f aca="false">VLOOKUP(K225,clasif_filas!$A$2:$J$39,4,FALSE())</f>
        <v>Productos de la agricultura, la horticultura y la jardinería comercial</v>
      </c>
      <c r="O225" s="21" t="n">
        <f aca="false">VLOOKUP(K225,clasif_filas!$A$2:$J$39,5,FALSE())</f>
        <v>1</v>
      </c>
      <c r="P225" s="21" t="str">
        <f aca="false">VLOOKUP(K225,clasif_filas!$A$2:$J$39,6,FALSE())</f>
        <v>Biomasa que se cultiva para producir alimentos, forrajes, fibras y energía</v>
      </c>
      <c r="Q225" s="21" t="n">
        <f aca="false">VLOOKUP(K225,clasif_filas!$A$2:$J$39,7,FALSE())</f>
        <v>0</v>
      </c>
      <c r="R225" s="21" t="str">
        <f aca="false">VLOOKUP(K225,clasif_filas!$A$2:$J$39,8,FALSE())</f>
        <v>Productos de la agricultura, la silvicultura yla pesca</v>
      </c>
      <c r="S225" s="21" t="n">
        <f aca="false">VLOOKUP(K225,clasif_filas!$A$2:$J$39,9,FALSE())</f>
        <v>1</v>
      </c>
      <c r="T225" s="61" t="str">
        <f aca="false">VLOOKUP(K225,clasif_filas!$A$2:$J$39,10,FALSE())</f>
        <v>Bioeconomía</v>
      </c>
    </row>
    <row r="226" customFormat="false" ht="25.55" hidden="false" customHeight="false" outlineLevel="0" collapsed="false">
      <c r="A226" s="29" t="s">
        <v>455</v>
      </c>
      <c r="B226" s="67" t="s">
        <v>1836</v>
      </c>
      <c r="C226" s="58" t="str">
        <f aca="false">VLOOKUP(B226, AT_FILAS!$A$2:$C$8,2,FALSE())</f>
        <v>Consumo intermedio</v>
      </c>
      <c r="D226" s="58" t="n">
        <f aca="false">VLOOKUP(B226, AT_FILAS!$A$2:$C$8,3,FALSE())</f>
        <v>2</v>
      </c>
      <c r="E226" s="60" t="s">
        <v>1932</v>
      </c>
      <c r="F226" s="60" t="s">
        <v>1933</v>
      </c>
      <c r="G226" s="1" t="s">
        <v>1908</v>
      </c>
      <c r="H226" s="1" t="n">
        <v>1</v>
      </c>
      <c r="I226" s="1" t="s">
        <v>1865</v>
      </c>
      <c r="J226" s="1" t="s">
        <v>1866</v>
      </c>
      <c r="K226" s="17" t="n">
        <v>1</v>
      </c>
      <c r="L226" s="21" t="str">
        <f aca="false">VLOOKUP(K226,clasif_filas!$A$2:$J$39,2,FALSE())</f>
        <v>Productos de la agricultura, la horticultura y la jardinería comercial</v>
      </c>
      <c r="M226" s="21" t="n">
        <f aca="false">VLOOKUP(K226,clasif_filas!$A$2:$J$39,3,FALSE())</f>
        <v>1</v>
      </c>
      <c r="N226" s="21" t="str">
        <f aca="false">VLOOKUP(K226,clasif_filas!$A$2:$J$39,4,FALSE())</f>
        <v>Productos de la agricultura, la horticultura y la jardinería comercial</v>
      </c>
      <c r="O226" s="21" t="n">
        <f aca="false">VLOOKUP(K226,clasif_filas!$A$2:$J$39,5,FALSE())</f>
        <v>1</v>
      </c>
      <c r="P226" s="21" t="str">
        <f aca="false">VLOOKUP(K226,clasif_filas!$A$2:$J$39,6,FALSE())</f>
        <v>Biomasa que se cultiva para producir alimentos, forrajes, fibras y energía</v>
      </c>
      <c r="Q226" s="21" t="n">
        <f aca="false">VLOOKUP(K226,clasif_filas!$A$2:$J$39,7,FALSE())</f>
        <v>0</v>
      </c>
      <c r="R226" s="21" t="str">
        <f aca="false">VLOOKUP(K226,clasif_filas!$A$2:$J$39,8,FALSE())</f>
        <v>Productos de la agricultura, la silvicultura yla pesca</v>
      </c>
      <c r="S226" s="21" t="n">
        <f aca="false">VLOOKUP(K226,clasif_filas!$A$2:$J$39,9,FALSE())</f>
        <v>1</v>
      </c>
      <c r="T226" s="61" t="str">
        <f aca="false">VLOOKUP(K226,clasif_filas!$A$2:$J$39,10,FALSE())</f>
        <v>Bioeconomía</v>
      </c>
    </row>
    <row r="227" customFormat="false" ht="25.55" hidden="false" customHeight="false" outlineLevel="0" collapsed="false">
      <c r="A227" s="29" t="s">
        <v>457</v>
      </c>
      <c r="B227" s="67" t="s">
        <v>1836</v>
      </c>
      <c r="C227" s="58" t="str">
        <f aca="false">VLOOKUP(B227, AT_FILAS!$A$2:$C$8,2,FALSE())</f>
        <v>Consumo intermedio</v>
      </c>
      <c r="D227" s="58" t="n">
        <f aca="false">VLOOKUP(B227, AT_FILAS!$A$2:$C$8,3,FALSE())</f>
        <v>2</v>
      </c>
      <c r="E227" s="60" t="s">
        <v>1934</v>
      </c>
      <c r="F227" s="60" t="s">
        <v>1935</v>
      </c>
      <c r="G227" s="1" t="s">
        <v>1936</v>
      </c>
      <c r="H227" s="1" t="n">
        <v>3</v>
      </c>
      <c r="I227" s="1" t="s">
        <v>1937</v>
      </c>
      <c r="J227" s="1" t="s">
        <v>1936</v>
      </c>
      <c r="K227" s="17" t="n">
        <v>86</v>
      </c>
      <c r="L227" s="21" t="str">
        <f aca="false">VLOOKUP(K227,clasif_filas!$A$2:$J$39,2,FALSE())</f>
        <v>Servicios de apoyo a la agricultura,la caza, la silvicutura, la pesca, la minería y los servicios públicos</v>
      </c>
      <c r="M227" s="21" t="n">
        <f aca="false">VLOOKUP(K227,clasif_filas!$A$2:$J$39,3,FALSE())</f>
        <v>86</v>
      </c>
      <c r="N227" s="21" t="str">
        <f aca="false">VLOOKUP(K227,clasif_filas!$A$2:$J$39,4,FALSE())</f>
        <v>Servicios de apoyo a la agricultura,la caza, la silvicutura, la pesca, la minería y los servicios públicos</v>
      </c>
      <c r="O227" s="21" t="n">
        <f aca="false">VLOOKUP(K227,clasif_filas!$A$2:$J$39,5,FALSE())</f>
        <v>6</v>
      </c>
      <c r="P227" s="21" t="str">
        <f aca="false">VLOOKUP(K227,clasif_filas!$A$2:$J$39,6,FALSE())</f>
        <v>Conocimiento, procesos y servicios relacionados</v>
      </c>
      <c r="Q227" s="21" t="n">
        <f aca="false">VLOOKUP(K227,clasif_filas!$A$2:$J$39,7,FALSE())</f>
        <v>8</v>
      </c>
      <c r="R227" s="21" t="str">
        <f aca="false">VLOOKUP(K227,clasif_filas!$A$2:$J$39,8,FALSE())</f>
        <v>Servicios prestados a las empresas y servicios de producción</v>
      </c>
      <c r="S227" s="21" t="n">
        <f aca="false">VLOOKUP(K227,clasif_filas!$A$2:$J$39,9,FALSE())</f>
        <v>1</v>
      </c>
      <c r="T227" s="61" t="s">
        <v>1938</v>
      </c>
    </row>
    <row r="228" customFormat="false" ht="14.25" hidden="false" customHeight="false" outlineLevel="0" collapsed="false">
      <c r="A228" s="29" t="s">
        <v>459</v>
      </c>
      <c r="B228" s="67" t="s">
        <v>1836</v>
      </c>
      <c r="C228" s="58" t="str">
        <f aca="false">VLOOKUP(B228, AT_FILAS!$A$2:$C$8,2,FALSE())</f>
        <v>Consumo intermedio</v>
      </c>
      <c r="D228" s="58" t="n">
        <f aca="false">VLOOKUP(B228, AT_FILAS!$A$2:$C$8,3,FALSE())</f>
        <v>2</v>
      </c>
      <c r="E228" s="60" t="s">
        <v>1939</v>
      </c>
      <c r="F228" s="60" t="s">
        <v>1940</v>
      </c>
      <c r="G228" s="1" t="s">
        <v>1941</v>
      </c>
      <c r="H228" s="1" t="n">
        <v>1</v>
      </c>
      <c r="I228" s="1" t="s">
        <v>1865</v>
      </c>
      <c r="J228" s="1" t="s">
        <v>1941</v>
      </c>
      <c r="K228" s="17" t="n">
        <v>3</v>
      </c>
      <c r="L228" s="21" t="str">
        <f aca="false">VLOOKUP(K228,clasif_filas!$A$2:$J$39,2,FALSE())</f>
        <v>Productos forestales y de la tala</v>
      </c>
      <c r="M228" s="21" t="n">
        <f aca="false">VLOOKUP(K228,clasif_filas!$A$2:$J$39,3,FALSE())</f>
        <v>3</v>
      </c>
      <c r="N228" s="21" t="str">
        <f aca="false">VLOOKUP(K228,clasif_filas!$A$2:$J$39,4,FALSE())</f>
        <v>Productos forestales y de la tala</v>
      </c>
      <c r="O228" s="21" t="n">
        <f aca="false">VLOOKUP(K228,clasif_filas!$A$2:$J$39,5,FALSE())</f>
        <v>3</v>
      </c>
      <c r="P228" s="21" t="str">
        <f aca="false">VLOOKUP(K228,clasif_filas!$A$2:$J$39,6,FALSE())</f>
        <v>Biomasa forestal, sobre todo la que se cultiva para su aprovechamiento en las industrias forestal y del papel, y aquella extraída legalmente de ecosistemas naturales</v>
      </c>
      <c r="Q228" s="21" t="n">
        <f aca="false">VLOOKUP(K228,clasif_filas!$A$2:$J$39,7,FALSE())</f>
        <v>0</v>
      </c>
      <c r="R228" s="21" t="str">
        <f aca="false">VLOOKUP(K228,clasif_filas!$A$2:$J$39,8,FALSE())</f>
        <v>Productos de la agricultura, la silvicultura yla pesca</v>
      </c>
      <c r="S228" s="21" t="n">
        <f aca="false">VLOOKUP(K228,clasif_filas!$A$2:$J$39,9,FALSE())</f>
        <v>1</v>
      </c>
      <c r="T228" s="61" t="str">
        <f aca="false">VLOOKUP(K228,clasif_filas!$A$2:$J$39,10,FALSE())</f>
        <v>Bioeconomía</v>
      </c>
    </row>
    <row r="229" customFormat="false" ht="14.25" hidden="false" customHeight="false" outlineLevel="0" collapsed="false">
      <c r="A229" s="29" t="s">
        <v>461</v>
      </c>
      <c r="B229" s="67" t="s">
        <v>1836</v>
      </c>
      <c r="C229" s="58" t="str">
        <f aca="false">VLOOKUP(B229, AT_FILAS!$A$2:$C$8,2,FALSE())</f>
        <v>Consumo intermedio</v>
      </c>
      <c r="D229" s="58" t="n">
        <f aca="false">VLOOKUP(B229, AT_FILAS!$A$2:$C$8,3,FALSE())</f>
        <v>2</v>
      </c>
      <c r="E229" s="60" t="s">
        <v>1942</v>
      </c>
      <c r="F229" s="60" t="s">
        <v>1943</v>
      </c>
      <c r="G229" s="1" t="s">
        <v>1941</v>
      </c>
      <c r="H229" s="1" t="n">
        <v>1</v>
      </c>
      <c r="I229" s="1" t="s">
        <v>1865</v>
      </c>
      <c r="J229" s="1" t="s">
        <v>1941</v>
      </c>
      <c r="K229" s="17" t="n">
        <v>3</v>
      </c>
      <c r="L229" s="21" t="str">
        <f aca="false">VLOOKUP(K229,clasif_filas!$A$2:$J$39,2,FALSE())</f>
        <v>Productos forestales y de la tala</v>
      </c>
      <c r="M229" s="21" t="n">
        <f aca="false">VLOOKUP(K229,clasif_filas!$A$2:$J$39,3,FALSE())</f>
        <v>3</v>
      </c>
      <c r="N229" s="21" t="str">
        <f aca="false">VLOOKUP(K229,clasif_filas!$A$2:$J$39,4,FALSE())</f>
        <v>Productos forestales y de la tala</v>
      </c>
      <c r="O229" s="21" t="n">
        <f aca="false">VLOOKUP(K229,clasif_filas!$A$2:$J$39,5,FALSE())</f>
        <v>3</v>
      </c>
      <c r="P229" s="21" t="str">
        <f aca="false">VLOOKUP(K229,clasif_filas!$A$2:$J$39,6,FALSE())</f>
        <v>Biomasa forestal, sobre todo la que se cultiva para su aprovechamiento en las industrias forestal y del papel, y aquella extraída legalmente de ecosistemas naturales</v>
      </c>
      <c r="Q229" s="21" t="n">
        <f aca="false">VLOOKUP(K229,clasif_filas!$A$2:$J$39,7,FALSE())</f>
        <v>0</v>
      </c>
      <c r="R229" s="21" t="str">
        <f aca="false">VLOOKUP(K229,clasif_filas!$A$2:$J$39,8,FALSE())</f>
        <v>Productos de la agricultura, la silvicultura yla pesca</v>
      </c>
      <c r="S229" s="21" t="n">
        <f aca="false">VLOOKUP(K229,clasif_filas!$A$2:$J$39,9,FALSE())</f>
        <v>1</v>
      </c>
      <c r="T229" s="61" t="str">
        <f aca="false">VLOOKUP(K229,clasif_filas!$A$2:$J$39,10,FALSE())</f>
        <v>Bioeconomía</v>
      </c>
    </row>
    <row r="230" customFormat="false" ht="14.25" hidden="false" customHeight="false" outlineLevel="0" collapsed="false">
      <c r="A230" s="29" t="s">
        <v>463</v>
      </c>
      <c r="B230" s="67" t="s">
        <v>1836</v>
      </c>
      <c r="C230" s="58" t="str">
        <f aca="false">VLOOKUP(B230, AT_FILAS!$A$2:$C$8,2,FALSE())</f>
        <v>Consumo intermedio</v>
      </c>
      <c r="D230" s="58" t="n">
        <f aca="false">VLOOKUP(B230, AT_FILAS!$A$2:$C$8,3,FALSE())</f>
        <v>2</v>
      </c>
      <c r="E230" s="60" t="s">
        <v>1944</v>
      </c>
      <c r="F230" s="60" t="s">
        <v>1945</v>
      </c>
      <c r="G230" s="1" t="s">
        <v>1908</v>
      </c>
      <c r="H230" s="1" t="n">
        <v>1</v>
      </c>
      <c r="I230" s="1" t="s">
        <v>1865</v>
      </c>
      <c r="J230" s="1" t="s">
        <v>1866</v>
      </c>
      <c r="K230" s="17" t="n">
        <v>4</v>
      </c>
      <c r="L230" s="21" t="str">
        <f aca="false">VLOOKUP(K230,clasif_filas!$A$2:$J$39,2,FALSE())</f>
        <v>Pescado y otros productos de la pesca</v>
      </c>
      <c r="M230" s="21" t="n">
        <f aca="false">VLOOKUP(K230,clasif_filas!$A$2:$J$39,3,FALSE())</f>
        <v>4</v>
      </c>
      <c r="N230" s="21" t="str">
        <f aca="false">VLOOKUP(K230,clasif_filas!$A$2:$J$39,4,FALSE())</f>
        <v>Pescado y otros productos de la pesca</v>
      </c>
      <c r="O230" s="21" t="n">
        <f aca="false">VLOOKUP(K230,clasif_filas!$A$2:$J$39,5,FALSE())</f>
        <v>2</v>
      </c>
      <c r="P230" s="21" t="str">
        <f aca="false">VLOOKUP(K230,clasif_filas!$A$2:$J$39,6,FALSE())</f>
        <v>Biomasa de los recursos marinos y la producida mediante la acuicultura</v>
      </c>
      <c r="Q230" s="21" t="n">
        <f aca="false">VLOOKUP(K230,clasif_filas!$A$2:$J$39,7,FALSE())</f>
        <v>0</v>
      </c>
      <c r="R230" s="21" t="str">
        <f aca="false">VLOOKUP(K230,clasif_filas!$A$2:$J$39,8,FALSE())</f>
        <v>Productos de la agricultura, la silvicultura yla pesca</v>
      </c>
      <c r="S230" s="21" t="n">
        <f aca="false">VLOOKUP(K230,clasif_filas!$A$2:$J$39,9,FALSE())</f>
        <v>1</v>
      </c>
      <c r="T230" s="61" t="str">
        <f aca="false">VLOOKUP(K230,clasif_filas!$A$2:$J$39,10,FALSE())</f>
        <v>Bioeconomía</v>
      </c>
    </row>
    <row r="231" customFormat="false" ht="25.55" hidden="false" customHeight="false" outlineLevel="0" collapsed="false">
      <c r="A231" s="29" t="s">
        <v>465</v>
      </c>
      <c r="B231" s="67" t="s">
        <v>1836</v>
      </c>
      <c r="C231" s="58" t="str">
        <f aca="false">VLOOKUP(B231, AT_FILAS!$A$2:$C$8,2,FALSE())</f>
        <v>Consumo intermedio</v>
      </c>
      <c r="D231" s="58" t="n">
        <f aca="false">VLOOKUP(B231, AT_FILAS!$A$2:$C$8,3,FALSE())</f>
        <v>2</v>
      </c>
      <c r="E231" s="60" t="s">
        <v>1946</v>
      </c>
      <c r="F231" s="60" t="s">
        <v>1947</v>
      </c>
      <c r="G231" s="1" t="s">
        <v>1908</v>
      </c>
      <c r="H231" s="1" t="n">
        <v>1</v>
      </c>
      <c r="I231" s="1" t="s">
        <v>1865</v>
      </c>
      <c r="J231" s="1" t="s">
        <v>1866</v>
      </c>
      <c r="K231" s="17" t="n">
        <v>4</v>
      </c>
      <c r="L231" s="21" t="str">
        <f aca="false">VLOOKUP(K231,clasif_filas!$A$2:$J$39,2,FALSE())</f>
        <v>Pescado y otros productos de la pesca</v>
      </c>
      <c r="M231" s="21" t="n">
        <f aca="false">VLOOKUP(K231,clasif_filas!$A$2:$J$39,3,FALSE())</f>
        <v>4</v>
      </c>
      <c r="N231" s="21" t="str">
        <f aca="false">VLOOKUP(K231,clasif_filas!$A$2:$J$39,4,FALSE())</f>
        <v>Pescado y otros productos de la pesca</v>
      </c>
      <c r="O231" s="21" t="n">
        <f aca="false">VLOOKUP(K231,clasif_filas!$A$2:$J$39,5,FALSE())</f>
        <v>2</v>
      </c>
      <c r="P231" s="21" t="str">
        <f aca="false">VLOOKUP(K231,clasif_filas!$A$2:$J$39,6,FALSE())</f>
        <v>Biomasa de los recursos marinos y la producida mediante la acuicultura</v>
      </c>
      <c r="Q231" s="21" t="n">
        <f aca="false">VLOOKUP(K231,clasif_filas!$A$2:$J$39,7,FALSE())</f>
        <v>0</v>
      </c>
      <c r="R231" s="21" t="str">
        <f aca="false">VLOOKUP(K231,clasif_filas!$A$2:$J$39,8,FALSE())</f>
        <v>Productos de la agricultura, la silvicultura yla pesca</v>
      </c>
      <c r="S231" s="21" t="n">
        <f aca="false">VLOOKUP(K231,clasif_filas!$A$2:$J$39,9,FALSE())</f>
        <v>1</v>
      </c>
      <c r="T231" s="61" t="str">
        <f aca="false">VLOOKUP(K231,clasif_filas!$A$2:$J$39,10,FALSE())</f>
        <v>Bioeconomía</v>
      </c>
    </row>
    <row r="232" customFormat="false" ht="14.25" hidden="false" customHeight="false" outlineLevel="0" collapsed="false">
      <c r="A232" s="29" t="s">
        <v>467</v>
      </c>
      <c r="B232" s="67" t="s">
        <v>1836</v>
      </c>
      <c r="C232" s="58" t="str">
        <f aca="false">VLOOKUP(B232, AT_FILAS!$A$2:$C$8,2,FALSE())</f>
        <v>Consumo intermedio</v>
      </c>
      <c r="D232" s="58" t="n">
        <f aca="false">VLOOKUP(B232, AT_FILAS!$A$2:$C$8,3,FALSE())</f>
        <v>2</v>
      </c>
      <c r="E232" s="60" t="s">
        <v>1948</v>
      </c>
      <c r="F232" s="60" t="s">
        <v>1949</v>
      </c>
      <c r="G232" s="1" t="s">
        <v>1908</v>
      </c>
      <c r="H232" s="1" t="n">
        <v>1</v>
      </c>
      <c r="I232" s="1" t="s">
        <v>1865</v>
      </c>
      <c r="J232" s="1" t="s">
        <v>1866</v>
      </c>
      <c r="K232" s="17" t="n">
        <v>4</v>
      </c>
      <c r="L232" s="21" t="str">
        <f aca="false">VLOOKUP(K232,clasif_filas!$A$2:$J$39,2,FALSE())</f>
        <v>Pescado y otros productos de la pesca</v>
      </c>
      <c r="M232" s="21" t="n">
        <f aca="false">VLOOKUP(K232,clasif_filas!$A$2:$J$39,3,FALSE())</f>
        <v>4</v>
      </c>
      <c r="N232" s="21" t="str">
        <f aca="false">VLOOKUP(K232,clasif_filas!$A$2:$J$39,4,FALSE())</f>
        <v>Pescado y otros productos de la pesca</v>
      </c>
      <c r="O232" s="21" t="n">
        <f aca="false">VLOOKUP(K232,clasif_filas!$A$2:$J$39,5,FALSE())</f>
        <v>2</v>
      </c>
      <c r="P232" s="21" t="str">
        <f aca="false">VLOOKUP(K232,clasif_filas!$A$2:$J$39,6,FALSE())</f>
        <v>Biomasa de los recursos marinos y la producida mediante la acuicultura</v>
      </c>
      <c r="Q232" s="21" t="n">
        <f aca="false">VLOOKUP(K232,clasif_filas!$A$2:$J$39,7,FALSE())</f>
        <v>0</v>
      </c>
      <c r="R232" s="21" t="str">
        <f aca="false">VLOOKUP(K232,clasif_filas!$A$2:$J$39,8,FALSE())</f>
        <v>Productos de la agricultura, la silvicultura yla pesca</v>
      </c>
      <c r="S232" s="21" t="n">
        <f aca="false">VLOOKUP(K232,clasif_filas!$A$2:$J$39,9,FALSE())</f>
        <v>1</v>
      </c>
      <c r="T232" s="61" t="str">
        <f aca="false">VLOOKUP(K232,clasif_filas!$A$2:$J$39,10,FALSE())</f>
        <v>Bioeconomía</v>
      </c>
    </row>
    <row r="233" customFormat="false" ht="14.25" hidden="false" customHeight="false" outlineLevel="0" collapsed="false">
      <c r="A233" s="29" t="s">
        <v>469</v>
      </c>
      <c r="B233" s="67" t="s">
        <v>1836</v>
      </c>
      <c r="C233" s="58" t="str">
        <f aca="false">VLOOKUP(B233, AT_FILAS!$A$2:$C$8,2,FALSE())</f>
        <v>Consumo intermedio</v>
      </c>
      <c r="D233" s="58" t="n">
        <f aca="false">VLOOKUP(B233, AT_FILAS!$A$2:$C$8,3,FALSE())</f>
        <v>2</v>
      </c>
      <c r="E233" s="60" t="s">
        <v>1950</v>
      </c>
      <c r="F233" s="60" t="s">
        <v>1951</v>
      </c>
      <c r="G233" s="1" t="s">
        <v>1602</v>
      </c>
      <c r="H233" s="1" t="n">
        <v>4</v>
      </c>
      <c r="I233" s="1" t="s">
        <v>1602</v>
      </c>
      <c r="J233" s="1" t="s">
        <v>1602</v>
      </c>
      <c r="K233" s="17" t="n">
        <v>11</v>
      </c>
      <c r="L233" s="21" t="str">
        <f aca="false">VLOOKUP(K233,clasif_filas!$A$2:$J$39,2,FALSE())</f>
        <v>Minerales, combustibles y derivados</v>
      </c>
      <c r="M233" s="21" t="n">
        <f aca="false">VLOOKUP(K233,clasif_filas!$A$2:$J$39,3,FALSE())</f>
        <v>11</v>
      </c>
      <c r="N233" s="21" t="str">
        <f aca="false">VLOOKUP(K233,clasif_filas!$A$2:$J$39,4,FALSE())</f>
        <v>Minerales, combustibles y derivados</v>
      </c>
      <c r="O233" s="21" t="n">
        <f aca="false">VLOOKUP(K233,clasif_filas!$A$2:$J$39,5,FALSE())</f>
        <v>99</v>
      </c>
      <c r="P233" s="21" t="str">
        <f aca="false">VLOOKUP(K233,clasif_filas!$A$2:$J$39,6,FALSE())</f>
        <v>No Bioeconomía</v>
      </c>
      <c r="Q233" s="21" t="n">
        <f aca="false">VLOOKUP(K233,clasif_filas!$A$2:$J$39,7,FALSE())</f>
        <v>1</v>
      </c>
      <c r="R233" s="21" t="str">
        <f aca="false">VLOOKUP(K233,clasif_filas!$A$2:$J$39,8,FALSE())</f>
        <v>Minerales; electricidad, gas y agua</v>
      </c>
      <c r="S233" s="21" t="n">
        <f aca="false">VLOOKUP(K233,clasif_filas!$A$2:$J$39,9,FALSE())</f>
        <v>3</v>
      </c>
      <c r="T233" s="61" t="str">
        <f aca="false">VLOOKUP(K233,clasif_filas!$A$2:$J$39,10,FALSE())</f>
        <v>No bioeconomía</v>
      </c>
    </row>
    <row r="234" customFormat="false" ht="14.25" hidden="false" customHeight="false" outlineLevel="0" collapsed="false">
      <c r="A234" s="29" t="s">
        <v>471</v>
      </c>
      <c r="B234" s="67" t="s">
        <v>1836</v>
      </c>
      <c r="C234" s="58" t="str">
        <f aca="false">VLOOKUP(B234, AT_FILAS!$A$2:$C$8,2,FALSE())</f>
        <v>Consumo intermedio</v>
      </c>
      <c r="D234" s="58" t="n">
        <f aca="false">VLOOKUP(B234, AT_FILAS!$A$2:$C$8,3,FALSE())</f>
        <v>2</v>
      </c>
      <c r="E234" s="60" t="s">
        <v>1952</v>
      </c>
      <c r="F234" s="60" t="s">
        <v>1953</v>
      </c>
      <c r="G234" s="1" t="s">
        <v>1602</v>
      </c>
      <c r="H234" s="1" t="n">
        <v>4</v>
      </c>
      <c r="I234" s="1" t="s">
        <v>1602</v>
      </c>
      <c r="J234" s="1" t="s">
        <v>1602</v>
      </c>
      <c r="K234" s="17" t="n">
        <v>11</v>
      </c>
      <c r="L234" s="21" t="str">
        <f aca="false">VLOOKUP(K234,clasif_filas!$A$2:$J$39,2,FALSE())</f>
        <v>Minerales, combustibles y derivados</v>
      </c>
      <c r="M234" s="21" t="n">
        <f aca="false">VLOOKUP(K234,clasif_filas!$A$2:$J$39,3,FALSE())</f>
        <v>11</v>
      </c>
      <c r="N234" s="21" t="str">
        <f aca="false">VLOOKUP(K234,clasif_filas!$A$2:$J$39,4,FALSE())</f>
        <v>Minerales, combustibles y derivados</v>
      </c>
      <c r="O234" s="21" t="n">
        <f aca="false">VLOOKUP(K234,clasif_filas!$A$2:$J$39,5,FALSE())</f>
        <v>99</v>
      </c>
      <c r="P234" s="21" t="str">
        <f aca="false">VLOOKUP(K234,clasif_filas!$A$2:$J$39,6,FALSE())</f>
        <v>No Bioeconomía</v>
      </c>
      <c r="Q234" s="21" t="n">
        <f aca="false">VLOOKUP(K234,clasif_filas!$A$2:$J$39,7,FALSE())</f>
        <v>1</v>
      </c>
      <c r="R234" s="21" t="str">
        <f aca="false">VLOOKUP(K234,clasif_filas!$A$2:$J$39,8,FALSE())</f>
        <v>Minerales; electricidad, gas y agua</v>
      </c>
      <c r="S234" s="21" t="n">
        <f aca="false">VLOOKUP(K234,clasif_filas!$A$2:$J$39,9,FALSE())</f>
        <v>3</v>
      </c>
      <c r="T234" s="61" t="str">
        <f aca="false">VLOOKUP(K234,clasif_filas!$A$2:$J$39,10,FALSE())</f>
        <v>No bioeconomía</v>
      </c>
    </row>
    <row r="235" customFormat="false" ht="14.25" hidden="false" customHeight="false" outlineLevel="0" collapsed="false">
      <c r="A235" s="29" t="s">
        <v>473</v>
      </c>
      <c r="B235" s="67" t="s">
        <v>1836</v>
      </c>
      <c r="C235" s="58" t="str">
        <f aca="false">VLOOKUP(B235, AT_FILAS!$A$2:$C$8,2,FALSE())</f>
        <v>Consumo intermedio</v>
      </c>
      <c r="D235" s="58" t="n">
        <f aca="false">VLOOKUP(B235, AT_FILAS!$A$2:$C$8,3,FALSE())</f>
        <v>2</v>
      </c>
      <c r="E235" s="60" t="s">
        <v>1954</v>
      </c>
      <c r="F235" s="60" t="s">
        <v>1955</v>
      </c>
      <c r="G235" s="1" t="s">
        <v>1602</v>
      </c>
      <c r="H235" s="1" t="n">
        <v>4</v>
      </c>
      <c r="I235" s="1" t="s">
        <v>1602</v>
      </c>
      <c r="J235" s="1" t="s">
        <v>1602</v>
      </c>
      <c r="K235" s="17" t="n">
        <v>11</v>
      </c>
      <c r="L235" s="21" t="str">
        <f aca="false">VLOOKUP(K235,clasif_filas!$A$2:$J$39,2,FALSE())</f>
        <v>Minerales, combustibles y derivados</v>
      </c>
      <c r="M235" s="21" t="n">
        <f aca="false">VLOOKUP(K235,clasif_filas!$A$2:$J$39,3,FALSE())</f>
        <v>11</v>
      </c>
      <c r="N235" s="21" t="str">
        <f aca="false">VLOOKUP(K235,clasif_filas!$A$2:$J$39,4,FALSE())</f>
        <v>Minerales, combustibles y derivados</v>
      </c>
      <c r="O235" s="21" t="n">
        <f aca="false">VLOOKUP(K235,clasif_filas!$A$2:$J$39,5,FALSE())</f>
        <v>99</v>
      </c>
      <c r="P235" s="21" t="str">
        <f aca="false">VLOOKUP(K235,clasif_filas!$A$2:$J$39,6,FALSE())</f>
        <v>No Bioeconomía</v>
      </c>
      <c r="Q235" s="21" t="n">
        <f aca="false">VLOOKUP(K235,clasif_filas!$A$2:$J$39,7,FALSE())</f>
        <v>1</v>
      </c>
      <c r="R235" s="21" t="str">
        <f aca="false">VLOOKUP(K235,clasif_filas!$A$2:$J$39,8,FALSE())</f>
        <v>Minerales; electricidad, gas y agua</v>
      </c>
      <c r="S235" s="21" t="n">
        <f aca="false">VLOOKUP(K235,clasif_filas!$A$2:$J$39,9,FALSE())</f>
        <v>3</v>
      </c>
      <c r="T235" s="61" t="str">
        <f aca="false">VLOOKUP(K235,clasif_filas!$A$2:$J$39,10,FALSE())</f>
        <v>No bioeconomía</v>
      </c>
    </row>
    <row r="236" customFormat="false" ht="14.25" hidden="false" customHeight="false" outlineLevel="0" collapsed="false">
      <c r="A236" s="29" t="s">
        <v>475</v>
      </c>
      <c r="B236" s="67" t="s">
        <v>1836</v>
      </c>
      <c r="C236" s="58" t="str">
        <f aca="false">VLOOKUP(B236, AT_FILAS!$A$2:$C$8,2,FALSE())</f>
        <v>Consumo intermedio</v>
      </c>
      <c r="D236" s="58" t="n">
        <f aca="false">VLOOKUP(B236, AT_FILAS!$A$2:$C$8,3,FALSE())</f>
        <v>2</v>
      </c>
      <c r="E236" s="60" t="s">
        <v>1956</v>
      </c>
      <c r="F236" s="60" t="s">
        <v>1957</v>
      </c>
      <c r="G236" s="1" t="s">
        <v>1602</v>
      </c>
      <c r="H236" s="1" t="n">
        <v>4</v>
      </c>
      <c r="I236" s="1" t="s">
        <v>1602</v>
      </c>
      <c r="J236" s="1" t="s">
        <v>1602</v>
      </c>
      <c r="K236" s="21" t="n">
        <v>37</v>
      </c>
      <c r="L236" s="21" t="str">
        <f aca="false">VLOOKUP(K236,clasif_filas!$A$2:$J$39,2,FALSE())</f>
        <v>Vidrios y productos de vidrio y otros productos no metálicos n.c.p.</v>
      </c>
      <c r="M236" s="21" t="n">
        <f aca="false">VLOOKUP(K236,clasif_filas!$A$2:$J$39,3,FALSE())</f>
        <v>37</v>
      </c>
      <c r="N236" s="21" t="str">
        <f aca="false">VLOOKUP(K236,clasif_filas!$A$2:$J$39,4,FALSE())</f>
        <v>Vidrios y productos de vidrio y otros productos no metálicos n.c.p.</v>
      </c>
      <c r="O236" s="21" t="n">
        <f aca="false">VLOOKUP(K236,clasif_filas!$A$2:$J$39,5,FALSE())</f>
        <v>99</v>
      </c>
      <c r="P236" s="21" t="str">
        <f aca="false">VLOOKUP(K236,clasif_filas!$A$2:$J$39,6,FALSE())</f>
        <v>No Bioeconomía</v>
      </c>
      <c r="Q236" s="21" t="n">
        <f aca="false">VLOOKUP(K236,clasif_filas!$A$2:$J$39,7,FALSE())</f>
        <v>3</v>
      </c>
      <c r="R236" s="21" t="str">
        <f aca="false">VLOOKUP(K236,clasif_filas!$A$2:$J$39,8,FALSE())</f>
        <v>Otros bienes transportables, excepto productos metálicos, maquinaria y equipo</v>
      </c>
      <c r="S236" s="21" t="n">
        <f aca="false">VLOOKUP(K236,clasif_filas!$A$2:$J$39,9,FALSE())</f>
        <v>3</v>
      </c>
      <c r="T236" s="61" t="str">
        <f aca="false">VLOOKUP(K236,clasif_filas!$A$2:$J$39,10,FALSE())</f>
        <v>No bioeconomía</v>
      </c>
    </row>
    <row r="237" customFormat="false" ht="25.55" hidden="false" customHeight="false" outlineLevel="0" collapsed="false">
      <c r="A237" s="29" t="s">
        <v>477</v>
      </c>
      <c r="B237" s="67" t="s">
        <v>1836</v>
      </c>
      <c r="C237" s="58" t="str">
        <f aca="false">VLOOKUP(B237, AT_FILAS!$A$2:$C$8,2,FALSE())</f>
        <v>Consumo intermedio</v>
      </c>
      <c r="D237" s="58" t="n">
        <f aca="false">VLOOKUP(B237, AT_FILAS!$A$2:$C$8,3,FALSE())</f>
        <v>2</v>
      </c>
      <c r="E237" s="60" t="s">
        <v>1958</v>
      </c>
      <c r="F237" s="60" t="s">
        <v>1959</v>
      </c>
      <c r="G237" s="1" t="s">
        <v>1602</v>
      </c>
      <c r="H237" s="1" t="n">
        <v>4</v>
      </c>
      <c r="I237" s="1" t="s">
        <v>1602</v>
      </c>
      <c r="J237" s="1" t="s">
        <v>1602</v>
      </c>
      <c r="K237" s="17" t="n">
        <v>37</v>
      </c>
      <c r="L237" s="21" t="str">
        <f aca="false">VLOOKUP(K237,clasif_filas!$A$2:$J$39,2,FALSE())</f>
        <v>Vidrios y productos de vidrio y otros productos no metálicos n.c.p.</v>
      </c>
      <c r="M237" s="21" t="n">
        <f aca="false">VLOOKUP(K237,clasif_filas!$A$2:$J$39,3,FALSE())</f>
        <v>37</v>
      </c>
      <c r="N237" s="21" t="str">
        <f aca="false">VLOOKUP(K237,clasif_filas!$A$2:$J$39,4,FALSE())</f>
        <v>Vidrios y productos de vidrio y otros productos no metálicos n.c.p.</v>
      </c>
      <c r="O237" s="21" t="n">
        <f aca="false">VLOOKUP(K237,clasif_filas!$A$2:$J$39,5,FALSE())</f>
        <v>99</v>
      </c>
      <c r="P237" s="21" t="str">
        <f aca="false">VLOOKUP(K237,clasif_filas!$A$2:$J$39,6,FALSE())</f>
        <v>No Bioeconomía</v>
      </c>
      <c r="Q237" s="21" t="n">
        <f aca="false">VLOOKUP(K237,clasif_filas!$A$2:$J$39,7,FALSE())</f>
        <v>3</v>
      </c>
      <c r="R237" s="21" t="str">
        <f aca="false">VLOOKUP(K237,clasif_filas!$A$2:$J$39,8,FALSE())</f>
        <v>Otros bienes transportables, excepto productos metálicos, maquinaria y equipo</v>
      </c>
      <c r="S237" s="21" t="n">
        <f aca="false">VLOOKUP(K237,clasif_filas!$A$2:$J$39,9,FALSE())</f>
        <v>3</v>
      </c>
      <c r="T237" s="61" t="str">
        <f aca="false">VLOOKUP(K237,clasif_filas!$A$2:$J$39,10,FALSE())</f>
        <v>No bioeconomía</v>
      </c>
    </row>
    <row r="238" customFormat="false" ht="25.55" hidden="false" customHeight="false" outlineLevel="0" collapsed="false">
      <c r="A238" s="29" t="s">
        <v>479</v>
      </c>
      <c r="B238" s="67" t="s">
        <v>1836</v>
      </c>
      <c r="C238" s="58" t="str">
        <f aca="false">VLOOKUP(B238, AT_FILAS!$A$2:$C$8,2,FALSE())</f>
        <v>Consumo intermedio</v>
      </c>
      <c r="D238" s="58" t="n">
        <f aca="false">VLOOKUP(B238, AT_FILAS!$A$2:$C$8,3,FALSE())</f>
        <v>2</v>
      </c>
      <c r="E238" s="60" t="s">
        <v>1960</v>
      </c>
      <c r="F238" s="60" t="s">
        <v>1961</v>
      </c>
      <c r="G238" s="1" t="s">
        <v>1962</v>
      </c>
      <c r="H238" s="1" t="n">
        <v>2</v>
      </c>
      <c r="I238" s="1" t="s">
        <v>1963</v>
      </c>
      <c r="J238" s="1" t="s">
        <v>1964</v>
      </c>
      <c r="K238" s="21" t="n">
        <v>21</v>
      </c>
      <c r="L238" s="21" t="str">
        <f aca="false">VLOOKUP(K238,clasif_filas!$A$2:$J$39,2,FALSE())</f>
        <v>Carne, pescado, frutas, vegetales, aceites y grasas</v>
      </c>
      <c r="M238" s="21" t="n">
        <f aca="false">VLOOKUP(K238,clasif_filas!$A$2:$J$39,3,FALSE())</f>
        <v>21</v>
      </c>
      <c r="N238" s="21" t="str">
        <f aca="false">VLOOKUP(K238,clasif_filas!$A$2:$J$39,4,FALSE())</f>
        <v>Carne, pescado, frutas, vegetales, aceites y grasas</v>
      </c>
      <c r="O238" s="21" t="n">
        <f aca="false">VLOOKUP(K238,clasif_filas!$A$2:$J$39,5,FALSE())</f>
        <v>6</v>
      </c>
      <c r="P238" s="21" t="str">
        <f aca="false">VLOOKUP(K238,clasif_filas!$A$2:$J$39,6,FALSE())</f>
        <v>Conocimiento, procesos y servicios relacionados</v>
      </c>
      <c r="Q238" s="21" t="n">
        <f aca="false">VLOOKUP(K238,clasif_filas!$A$2:$J$39,7,FALSE())</f>
        <v>2</v>
      </c>
      <c r="R238" s="21" t="str">
        <f aca="false">VLOOKUP(K238,clasif_filas!$A$2:$J$39,8,FALSE())</f>
        <v>Productos alimenticios, bebidas y tabaco; textiles, prendas de vestir y productos de cuero</v>
      </c>
      <c r="S238" s="21" t="n">
        <f aca="false">VLOOKUP(K238,clasif_filas!$A$2:$J$39,9,FALSE())</f>
        <v>1</v>
      </c>
      <c r="T238" s="61" t="str">
        <f aca="false">VLOOKUP(K238,clasif_filas!$A$2:$J$39,10,FALSE())</f>
        <v>Bioeconomía</v>
      </c>
    </row>
    <row r="239" customFormat="false" ht="25.55" hidden="false" customHeight="false" outlineLevel="0" collapsed="false">
      <c r="A239" s="29" t="s">
        <v>481</v>
      </c>
      <c r="B239" s="67" t="s">
        <v>1836</v>
      </c>
      <c r="C239" s="58" t="str">
        <f aca="false">VLOOKUP(B239, AT_FILAS!$A$2:$C$8,2,FALSE())</f>
        <v>Consumo intermedio</v>
      </c>
      <c r="D239" s="58" t="n">
        <f aca="false">VLOOKUP(B239, AT_FILAS!$A$2:$C$8,3,FALSE())</f>
        <v>2</v>
      </c>
      <c r="E239" s="60" t="s">
        <v>1965</v>
      </c>
      <c r="F239" s="60" t="s">
        <v>1966</v>
      </c>
      <c r="G239" s="1" t="s">
        <v>1962</v>
      </c>
      <c r="H239" s="1" t="n">
        <v>2</v>
      </c>
      <c r="I239" s="1" t="s">
        <v>1963</v>
      </c>
      <c r="J239" s="1" t="s">
        <v>1964</v>
      </c>
      <c r="K239" s="21" t="n">
        <v>21</v>
      </c>
      <c r="L239" s="21" t="str">
        <f aca="false">VLOOKUP(K239,clasif_filas!$A$2:$J$39,2,FALSE())</f>
        <v>Carne, pescado, frutas, vegetales, aceites y grasas</v>
      </c>
      <c r="M239" s="21" t="n">
        <f aca="false">VLOOKUP(K239,clasif_filas!$A$2:$J$39,3,FALSE())</f>
        <v>21</v>
      </c>
      <c r="N239" s="21" t="str">
        <f aca="false">VLOOKUP(K239,clasif_filas!$A$2:$J$39,4,FALSE())</f>
        <v>Carne, pescado, frutas, vegetales, aceites y grasas</v>
      </c>
      <c r="O239" s="21" t="n">
        <f aca="false">VLOOKUP(K239,clasif_filas!$A$2:$J$39,5,FALSE())</f>
        <v>6</v>
      </c>
      <c r="P239" s="21" t="str">
        <f aca="false">VLOOKUP(K239,clasif_filas!$A$2:$J$39,6,FALSE())</f>
        <v>Conocimiento, procesos y servicios relacionados</v>
      </c>
      <c r="Q239" s="21" t="n">
        <f aca="false">VLOOKUP(K239,clasif_filas!$A$2:$J$39,7,FALSE())</f>
        <v>2</v>
      </c>
      <c r="R239" s="21" t="str">
        <f aca="false">VLOOKUP(K239,clasif_filas!$A$2:$J$39,8,FALSE())</f>
        <v>Productos alimenticios, bebidas y tabaco; textiles, prendas de vestir y productos de cuero</v>
      </c>
      <c r="S239" s="21" t="n">
        <f aca="false">VLOOKUP(K239,clasif_filas!$A$2:$J$39,9,FALSE())</f>
        <v>1</v>
      </c>
      <c r="T239" s="61" t="str">
        <f aca="false">VLOOKUP(K239,clasif_filas!$A$2:$J$39,10,FALSE())</f>
        <v>Bioeconomía</v>
      </c>
    </row>
    <row r="240" customFormat="false" ht="25.55" hidden="false" customHeight="false" outlineLevel="0" collapsed="false">
      <c r="A240" s="29" t="s">
        <v>483</v>
      </c>
      <c r="B240" s="67" t="s">
        <v>1836</v>
      </c>
      <c r="C240" s="58" t="str">
        <f aca="false">VLOOKUP(B240, AT_FILAS!$A$2:$C$8,2,FALSE())</f>
        <v>Consumo intermedio</v>
      </c>
      <c r="D240" s="58" t="n">
        <f aca="false">VLOOKUP(B240, AT_FILAS!$A$2:$C$8,3,FALSE())</f>
        <v>2</v>
      </c>
      <c r="E240" s="60" t="s">
        <v>1967</v>
      </c>
      <c r="F240" s="60" t="s">
        <v>1968</v>
      </c>
      <c r="G240" s="1" t="s">
        <v>1962</v>
      </c>
      <c r="H240" s="1" t="n">
        <v>2</v>
      </c>
      <c r="I240" s="1" t="s">
        <v>1963</v>
      </c>
      <c r="J240" s="1" t="s">
        <v>1964</v>
      </c>
      <c r="K240" s="21" t="n">
        <v>21</v>
      </c>
      <c r="L240" s="21" t="str">
        <f aca="false">VLOOKUP(K240,clasif_filas!$A$2:$J$39,2,FALSE())</f>
        <v>Carne, pescado, frutas, vegetales, aceites y grasas</v>
      </c>
      <c r="M240" s="21" t="n">
        <f aca="false">VLOOKUP(K240,clasif_filas!$A$2:$J$39,3,FALSE())</f>
        <v>21</v>
      </c>
      <c r="N240" s="21" t="str">
        <f aca="false">VLOOKUP(K240,clasif_filas!$A$2:$J$39,4,FALSE())</f>
        <v>Carne, pescado, frutas, vegetales, aceites y grasas</v>
      </c>
      <c r="O240" s="21" t="n">
        <f aca="false">VLOOKUP(K240,clasif_filas!$A$2:$J$39,5,FALSE())</f>
        <v>6</v>
      </c>
      <c r="P240" s="21" t="str">
        <f aca="false">VLOOKUP(K240,clasif_filas!$A$2:$J$39,6,FALSE())</f>
        <v>Conocimiento, procesos y servicios relacionados</v>
      </c>
      <c r="Q240" s="21" t="n">
        <f aca="false">VLOOKUP(K240,clasif_filas!$A$2:$J$39,7,FALSE())</f>
        <v>2</v>
      </c>
      <c r="R240" s="21" t="str">
        <f aca="false">VLOOKUP(K240,clasif_filas!$A$2:$J$39,8,FALSE())</f>
        <v>Productos alimenticios, bebidas y tabaco; textiles, prendas de vestir y productos de cuero</v>
      </c>
      <c r="S240" s="21" t="n">
        <f aca="false">VLOOKUP(K240,clasif_filas!$A$2:$J$39,9,FALSE())</f>
        <v>1</v>
      </c>
      <c r="T240" s="61" t="str">
        <f aca="false">VLOOKUP(K240,clasif_filas!$A$2:$J$39,10,FALSE())</f>
        <v>Bioeconomía</v>
      </c>
    </row>
    <row r="241" customFormat="false" ht="37.55" hidden="false" customHeight="false" outlineLevel="0" collapsed="false">
      <c r="A241" s="29" t="s">
        <v>485</v>
      </c>
      <c r="B241" s="67" t="s">
        <v>1836</v>
      </c>
      <c r="C241" s="58" t="str">
        <f aca="false">VLOOKUP(B241, AT_FILAS!$A$2:$C$8,2,FALSE())</f>
        <v>Consumo intermedio</v>
      </c>
      <c r="D241" s="58" t="n">
        <f aca="false">VLOOKUP(B241, AT_FILAS!$A$2:$C$8,3,FALSE())</f>
        <v>2</v>
      </c>
      <c r="E241" s="60" t="s">
        <v>1969</v>
      </c>
      <c r="F241" s="60" t="s">
        <v>1970</v>
      </c>
      <c r="G241" s="1" t="s">
        <v>1962</v>
      </c>
      <c r="H241" s="1" t="n">
        <v>2</v>
      </c>
      <c r="I241" s="1" t="s">
        <v>1963</v>
      </c>
      <c r="J241" s="1" t="s">
        <v>1964</v>
      </c>
      <c r="K241" s="21" t="n">
        <v>21</v>
      </c>
      <c r="L241" s="21" t="str">
        <f aca="false">VLOOKUP(K241,clasif_filas!$A$2:$J$39,2,FALSE())</f>
        <v>Carne, pescado, frutas, vegetales, aceites y grasas</v>
      </c>
      <c r="M241" s="21" t="n">
        <f aca="false">VLOOKUP(K241,clasif_filas!$A$2:$J$39,3,FALSE())</f>
        <v>21</v>
      </c>
      <c r="N241" s="21" t="str">
        <f aca="false">VLOOKUP(K241,clasif_filas!$A$2:$J$39,4,FALSE())</f>
        <v>Carne, pescado, frutas, vegetales, aceites y grasas</v>
      </c>
      <c r="O241" s="21" t="n">
        <f aca="false">VLOOKUP(K241,clasif_filas!$A$2:$J$39,5,FALSE())</f>
        <v>6</v>
      </c>
      <c r="P241" s="21" t="str">
        <f aca="false">VLOOKUP(K241,clasif_filas!$A$2:$J$39,6,FALSE())</f>
        <v>Conocimiento, procesos y servicios relacionados</v>
      </c>
      <c r="Q241" s="21" t="n">
        <f aca="false">VLOOKUP(K241,clasif_filas!$A$2:$J$39,7,FALSE())</f>
        <v>2</v>
      </c>
      <c r="R241" s="21" t="str">
        <f aca="false">VLOOKUP(K241,clasif_filas!$A$2:$J$39,8,FALSE())</f>
        <v>Productos alimenticios, bebidas y tabaco; textiles, prendas de vestir y productos de cuero</v>
      </c>
      <c r="S241" s="21" t="n">
        <f aca="false">VLOOKUP(K241,clasif_filas!$A$2:$J$39,9,FALSE())</f>
        <v>1</v>
      </c>
      <c r="T241" s="61" t="str">
        <f aca="false">VLOOKUP(K241,clasif_filas!$A$2:$J$39,10,FALSE())</f>
        <v>Bioeconomía</v>
      </c>
    </row>
    <row r="242" customFormat="false" ht="37.55" hidden="false" customHeight="false" outlineLevel="0" collapsed="false">
      <c r="A242" s="29" t="s">
        <v>487</v>
      </c>
      <c r="B242" s="67" t="s">
        <v>1836</v>
      </c>
      <c r="C242" s="58" t="str">
        <f aca="false">VLOOKUP(B242, AT_FILAS!$A$2:$C$8,2,FALSE())</f>
        <v>Consumo intermedio</v>
      </c>
      <c r="D242" s="58" t="n">
        <f aca="false">VLOOKUP(B242, AT_FILAS!$A$2:$C$8,3,FALSE())</f>
        <v>2</v>
      </c>
      <c r="E242" s="60" t="s">
        <v>1971</v>
      </c>
      <c r="F242" s="60" t="s">
        <v>1972</v>
      </c>
      <c r="G242" s="1" t="s">
        <v>1973</v>
      </c>
      <c r="H242" s="1" t="n">
        <v>2</v>
      </c>
      <c r="I242" s="1" t="s">
        <v>1963</v>
      </c>
      <c r="J242" s="1" t="s">
        <v>1964</v>
      </c>
      <c r="K242" s="21" t="n">
        <v>21</v>
      </c>
      <c r="L242" s="21" t="str">
        <f aca="false">VLOOKUP(K242,clasif_filas!$A$2:$J$39,2,FALSE())</f>
        <v>Carne, pescado, frutas, vegetales, aceites y grasas</v>
      </c>
      <c r="M242" s="21" t="n">
        <f aca="false">VLOOKUP(K242,clasif_filas!$A$2:$J$39,3,FALSE())</f>
        <v>21</v>
      </c>
      <c r="N242" s="21" t="str">
        <f aca="false">VLOOKUP(K242,clasif_filas!$A$2:$J$39,4,FALSE())</f>
        <v>Carne, pescado, frutas, vegetales, aceites y grasas</v>
      </c>
      <c r="O242" s="21" t="n">
        <f aca="false">VLOOKUP(K242,clasif_filas!$A$2:$J$39,5,FALSE())</f>
        <v>6</v>
      </c>
      <c r="P242" s="21" t="str">
        <f aca="false">VLOOKUP(K242,clasif_filas!$A$2:$J$39,6,FALSE())</f>
        <v>Conocimiento, procesos y servicios relacionados</v>
      </c>
      <c r="Q242" s="21" t="n">
        <f aca="false">VLOOKUP(K242,clasif_filas!$A$2:$J$39,7,FALSE())</f>
        <v>2</v>
      </c>
      <c r="R242" s="21" t="str">
        <f aca="false">VLOOKUP(K242,clasif_filas!$A$2:$J$39,8,FALSE())</f>
        <v>Productos alimenticios, bebidas y tabaco; textiles, prendas de vestir y productos de cuero</v>
      </c>
      <c r="S242" s="21" t="n">
        <f aca="false">VLOOKUP(K242,clasif_filas!$A$2:$J$39,9,FALSE())</f>
        <v>1</v>
      </c>
      <c r="T242" s="61" t="str">
        <f aca="false">VLOOKUP(K242,clasif_filas!$A$2:$J$39,10,FALSE())</f>
        <v>Bioeconomía</v>
      </c>
    </row>
    <row r="243" customFormat="false" ht="25.55" hidden="false" customHeight="false" outlineLevel="0" collapsed="false">
      <c r="A243" s="29" t="s">
        <v>489</v>
      </c>
      <c r="B243" s="67" t="s">
        <v>1836</v>
      </c>
      <c r="C243" s="58" t="str">
        <f aca="false">VLOOKUP(B243, AT_FILAS!$A$2:$C$8,2,FALSE())</f>
        <v>Consumo intermedio</v>
      </c>
      <c r="D243" s="58" t="n">
        <f aca="false">VLOOKUP(B243, AT_FILAS!$A$2:$C$8,3,FALSE())</f>
        <v>2</v>
      </c>
      <c r="E243" s="60" t="s">
        <v>1974</v>
      </c>
      <c r="F243" s="60" t="s">
        <v>1975</v>
      </c>
      <c r="G243" s="1" t="s">
        <v>1976</v>
      </c>
      <c r="H243" s="1" t="n">
        <v>2</v>
      </c>
      <c r="I243" s="1" t="s">
        <v>1963</v>
      </c>
      <c r="J243" s="1" t="s">
        <v>1964</v>
      </c>
      <c r="K243" s="21" t="n">
        <v>21</v>
      </c>
      <c r="L243" s="21" t="str">
        <f aca="false">VLOOKUP(K243,clasif_filas!$A$2:$J$39,2,FALSE())</f>
        <v>Carne, pescado, frutas, vegetales, aceites y grasas</v>
      </c>
      <c r="M243" s="21" t="n">
        <f aca="false">VLOOKUP(K243,clasif_filas!$A$2:$J$39,3,FALSE())</f>
        <v>21</v>
      </c>
      <c r="N243" s="21" t="str">
        <f aca="false">VLOOKUP(K243,clasif_filas!$A$2:$J$39,4,FALSE())</f>
        <v>Carne, pescado, frutas, vegetales, aceites y grasas</v>
      </c>
      <c r="O243" s="21" t="n">
        <f aca="false">VLOOKUP(K243,clasif_filas!$A$2:$J$39,5,FALSE())</f>
        <v>6</v>
      </c>
      <c r="P243" s="21" t="str">
        <f aca="false">VLOOKUP(K243,clasif_filas!$A$2:$J$39,6,FALSE())</f>
        <v>Conocimiento, procesos y servicios relacionados</v>
      </c>
      <c r="Q243" s="21" t="n">
        <f aca="false">VLOOKUP(K243,clasif_filas!$A$2:$J$39,7,FALSE())</f>
        <v>2</v>
      </c>
      <c r="R243" s="21" t="str">
        <f aca="false">VLOOKUP(K243,clasif_filas!$A$2:$J$39,8,FALSE())</f>
        <v>Productos alimenticios, bebidas y tabaco; textiles, prendas de vestir y productos de cuero</v>
      </c>
      <c r="S243" s="21" t="n">
        <f aca="false">VLOOKUP(K243,clasif_filas!$A$2:$J$39,9,FALSE())</f>
        <v>1</v>
      </c>
      <c r="T243" s="61" t="str">
        <f aca="false">VLOOKUP(K243,clasif_filas!$A$2:$J$39,10,FALSE())</f>
        <v>Bioeconomía</v>
      </c>
    </row>
    <row r="244" customFormat="false" ht="25.55" hidden="false" customHeight="false" outlineLevel="0" collapsed="false">
      <c r="A244" s="29" t="s">
        <v>491</v>
      </c>
      <c r="B244" s="67" t="s">
        <v>1836</v>
      </c>
      <c r="C244" s="58" t="str">
        <f aca="false">VLOOKUP(B244, AT_FILAS!$A$2:$C$8,2,FALSE())</f>
        <v>Consumo intermedio</v>
      </c>
      <c r="D244" s="58" t="n">
        <f aca="false">VLOOKUP(B244, AT_FILAS!$A$2:$C$8,3,FALSE())</f>
        <v>2</v>
      </c>
      <c r="E244" s="60" t="s">
        <v>1977</v>
      </c>
      <c r="F244" s="60" t="s">
        <v>1978</v>
      </c>
      <c r="G244" s="1" t="s">
        <v>1976</v>
      </c>
      <c r="H244" s="1" t="n">
        <v>2</v>
      </c>
      <c r="I244" s="1" t="s">
        <v>1963</v>
      </c>
      <c r="J244" s="1" t="s">
        <v>1964</v>
      </c>
      <c r="K244" s="21" t="n">
        <v>21</v>
      </c>
      <c r="L244" s="21" t="str">
        <f aca="false">VLOOKUP(K244,clasif_filas!$A$2:$J$39,2,FALSE())</f>
        <v>Carne, pescado, frutas, vegetales, aceites y grasas</v>
      </c>
      <c r="M244" s="21" t="n">
        <f aca="false">VLOOKUP(K244,clasif_filas!$A$2:$J$39,3,FALSE())</f>
        <v>21</v>
      </c>
      <c r="N244" s="21" t="str">
        <f aca="false">VLOOKUP(K244,clasif_filas!$A$2:$J$39,4,FALSE())</f>
        <v>Carne, pescado, frutas, vegetales, aceites y grasas</v>
      </c>
      <c r="O244" s="21" t="n">
        <f aca="false">VLOOKUP(K244,clasif_filas!$A$2:$J$39,5,FALSE())</f>
        <v>6</v>
      </c>
      <c r="P244" s="21" t="str">
        <f aca="false">VLOOKUP(K244,clasif_filas!$A$2:$J$39,6,FALSE())</f>
        <v>Conocimiento, procesos y servicios relacionados</v>
      </c>
      <c r="Q244" s="21" t="n">
        <f aca="false">VLOOKUP(K244,clasif_filas!$A$2:$J$39,7,FALSE())</f>
        <v>2</v>
      </c>
      <c r="R244" s="21" t="str">
        <f aca="false">VLOOKUP(K244,clasif_filas!$A$2:$J$39,8,FALSE())</f>
        <v>Productos alimenticios, bebidas y tabaco; textiles, prendas de vestir y productos de cuero</v>
      </c>
      <c r="S244" s="21" t="n">
        <f aca="false">VLOOKUP(K244,clasif_filas!$A$2:$J$39,9,FALSE())</f>
        <v>1</v>
      </c>
      <c r="T244" s="61" t="str">
        <f aca="false">VLOOKUP(K244,clasif_filas!$A$2:$J$39,10,FALSE())</f>
        <v>Bioeconomía</v>
      </c>
    </row>
    <row r="245" customFormat="false" ht="25.55" hidden="false" customHeight="false" outlineLevel="0" collapsed="false">
      <c r="A245" s="29" t="s">
        <v>493</v>
      </c>
      <c r="B245" s="67" t="s">
        <v>1836</v>
      </c>
      <c r="C245" s="58" t="str">
        <f aca="false">VLOOKUP(B245, AT_FILAS!$A$2:$C$8,2,FALSE())</f>
        <v>Consumo intermedio</v>
      </c>
      <c r="D245" s="58" t="n">
        <f aca="false">VLOOKUP(B245, AT_FILAS!$A$2:$C$8,3,FALSE())</f>
        <v>2</v>
      </c>
      <c r="E245" s="60" t="s">
        <v>1979</v>
      </c>
      <c r="F245" s="60" t="s">
        <v>1980</v>
      </c>
      <c r="G245" s="1" t="s">
        <v>1981</v>
      </c>
      <c r="H245" s="1" t="n">
        <v>2</v>
      </c>
      <c r="I245" s="1" t="s">
        <v>1963</v>
      </c>
      <c r="J245" s="1" t="s">
        <v>1964</v>
      </c>
      <c r="K245" s="21" t="n">
        <v>21</v>
      </c>
      <c r="L245" s="21" t="str">
        <f aca="false">VLOOKUP(K245,clasif_filas!$A$2:$J$39,2,FALSE())</f>
        <v>Carne, pescado, frutas, vegetales, aceites y grasas</v>
      </c>
      <c r="M245" s="21" t="n">
        <f aca="false">VLOOKUP(K245,clasif_filas!$A$2:$J$39,3,FALSE())</f>
        <v>21</v>
      </c>
      <c r="N245" s="21" t="str">
        <f aca="false">VLOOKUP(K245,clasif_filas!$A$2:$J$39,4,FALSE())</f>
        <v>Carne, pescado, frutas, vegetales, aceites y grasas</v>
      </c>
      <c r="O245" s="21" t="n">
        <f aca="false">VLOOKUP(K245,clasif_filas!$A$2:$J$39,5,FALSE())</f>
        <v>6</v>
      </c>
      <c r="P245" s="21" t="str">
        <f aca="false">VLOOKUP(K245,clasif_filas!$A$2:$J$39,6,FALSE())</f>
        <v>Conocimiento, procesos y servicios relacionados</v>
      </c>
      <c r="Q245" s="21" t="n">
        <f aca="false">VLOOKUP(K245,clasif_filas!$A$2:$J$39,7,FALSE())</f>
        <v>2</v>
      </c>
      <c r="R245" s="21" t="str">
        <f aca="false">VLOOKUP(K245,clasif_filas!$A$2:$J$39,8,FALSE())</f>
        <v>Productos alimenticios, bebidas y tabaco; textiles, prendas de vestir y productos de cuero</v>
      </c>
      <c r="S245" s="21" t="n">
        <f aca="false">VLOOKUP(K245,clasif_filas!$A$2:$J$39,9,FALSE())</f>
        <v>1</v>
      </c>
      <c r="T245" s="61" t="str">
        <f aca="false">VLOOKUP(K245,clasif_filas!$A$2:$J$39,10,FALSE())</f>
        <v>Bioeconomía</v>
      </c>
    </row>
    <row r="246" customFormat="false" ht="14.25" hidden="false" customHeight="false" outlineLevel="0" collapsed="false">
      <c r="A246" s="29" t="s">
        <v>495</v>
      </c>
      <c r="B246" s="67" t="s">
        <v>1836</v>
      </c>
      <c r="C246" s="58" t="str">
        <f aca="false">VLOOKUP(B246, AT_FILAS!$A$2:$C$8,2,FALSE())</f>
        <v>Consumo intermedio</v>
      </c>
      <c r="D246" s="58" t="n">
        <f aca="false">VLOOKUP(B246, AT_FILAS!$A$2:$C$8,3,FALSE())</f>
        <v>2</v>
      </c>
      <c r="E246" s="60" t="s">
        <v>1982</v>
      </c>
      <c r="F246" s="60" t="s">
        <v>1983</v>
      </c>
      <c r="G246" s="1" t="s">
        <v>1984</v>
      </c>
      <c r="H246" s="1" t="n">
        <v>2</v>
      </c>
      <c r="I246" s="1" t="s">
        <v>1963</v>
      </c>
      <c r="J246" s="1" t="s">
        <v>1964</v>
      </c>
      <c r="K246" s="21" t="n">
        <v>22</v>
      </c>
      <c r="L246" s="21" t="str">
        <f aca="false">VLOOKUP(K246,clasif_filas!$A$2:$J$39,2,FALSE())</f>
        <v>Productos lácteos y productos de huevo</v>
      </c>
      <c r="M246" s="21" t="n">
        <f aca="false">VLOOKUP(K246,clasif_filas!$A$2:$J$39,3,FALSE())</f>
        <v>22</v>
      </c>
      <c r="N246" s="21" t="str">
        <f aca="false">VLOOKUP(K246,clasif_filas!$A$2:$J$39,4,FALSE())</f>
        <v>Productos lácteos y productos de huevo</v>
      </c>
      <c r="O246" s="21" t="n">
        <f aca="false">VLOOKUP(K246,clasif_filas!$A$2:$J$39,5,FALSE())</f>
        <v>6</v>
      </c>
      <c r="P246" s="21" t="str">
        <f aca="false">VLOOKUP(K246,clasif_filas!$A$2:$J$39,6,FALSE())</f>
        <v>Conocimiento, procesos y servicios relacionados</v>
      </c>
      <c r="Q246" s="21" t="n">
        <f aca="false">VLOOKUP(K246,clasif_filas!$A$2:$J$39,7,FALSE())</f>
        <v>2</v>
      </c>
      <c r="R246" s="21" t="str">
        <f aca="false">VLOOKUP(K246,clasif_filas!$A$2:$J$39,8,FALSE())</f>
        <v>Productos alimenticios, bebidas y tabaco; textiles, prendas de vestir y productos de cuero</v>
      </c>
      <c r="S246" s="21" t="n">
        <f aca="false">VLOOKUP(K246,clasif_filas!$A$2:$J$39,9,FALSE())</f>
        <v>1</v>
      </c>
      <c r="T246" s="61" t="str">
        <f aca="false">VLOOKUP(K246,clasif_filas!$A$2:$J$39,10,FALSE())</f>
        <v>Bioeconomía</v>
      </c>
    </row>
    <row r="247" customFormat="false" ht="14.25" hidden="false" customHeight="false" outlineLevel="0" collapsed="false">
      <c r="A247" s="29" t="s">
        <v>497</v>
      </c>
      <c r="B247" s="67" t="s">
        <v>1836</v>
      </c>
      <c r="C247" s="58" t="str">
        <f aca="false">VLOOKUP(B247, AT_FILAS!$A$2:$C$8,2,FALSE())</f>
        <v>Consumo intermedio</v>
      </c>
      <c r="D247" s="58" t="n">
        <f aca="false">VLOOKUP(B247, AT_FILAS!$A$2:$C$8,3,FALSE())</f>
        <v>2</v>
      </c>
      <c r="E247" s="60" t="s">
        <v>1985</v>
      </c>
      <c r="F247" s="60" t="s">
        <v>1986</v>
      </c>
      <c r="G247" s="1" t="s">
        <v>1984</v>
      </c>
      <c r="H247" s="1" t="n">
        <v>2</v>
      </c>
      <c r="I247" s="1" t="s">
        <v>1963</v>
      </c>
      <c r="J247" s="1" t="s">
        <v>1964</v>
      </c>
      <c r="K247" s="21" t="n">
        <v>22</v>
      </c>
      <c r="L247" s="21" t="str">
        <f aca="false">VLOOKUP(K247,clasif_filas!$A$2:$J$39,2,FALSE())</f>
        <v>Productos lácteos y productos de huevo</v>
      </c>
      <c r="M247" s="21" t="n">
        <f aca="false">VLOOKUP(K247,clasif_filas!$A$2:$J$39,3,FALSE())</f>
        <v>22</v>
      </c>
      <c r="N247" s="21" t="str">
        <f aca="false">VLOOKUP(K247,clasif_filas!$A$2:$J$39,4,FALSE())</f>
        <v>Productos lácteos y productos de huevo</v>
      </c>
      <c r="O247" s="21" t="n">
        <f aca="false">VLOOKUP(K247,clasif_filas!$A$2:$J$39,5,FALSE())</f>
        <v>6</v>
      </c>
      <c r="P247" s="21" t="str">
        <f aca="false">VLOOKUP(K247,clasif_filas!$A$2:$J$39,6,FALSE())</f>
        <v>Conocimiento, procesos y servicios relacionados</v>
      </c>
      <c r="Q247" s="21" t="n">
        <f aca="false">VLOOKUP(K247,clasif_filas!$A$2:$J$39,7,FALSE())</f>
        <v>2</v>
      </c>
      <c r="R247" s="21" t="str">
        <f aca="false">VLOOKUP(K247,clasif_filas!$A$2:$J$39,8,FALSE())</f>
        <v>Productos alimenticios, bebidas y tabaco; textiles, prendas de vestir y productos de cuero</v>
      </c>
      <c r="S247" s="21" t="n">
        <f aca="false">VLOOKUP(K247,clasif_filas!$A$2:$J$39,9,FALSE())</f>
        <v>1</v>
      </c>
      <c r="T247" s="61" t="str">
        <f aca="false">VLOOKUP(K247,clasif_filas!$A$2:$J$39,10,FALSE())</f>
        <v>Bioeconomía</v>
      </c>
    </row>
    <row r="248" customFormat="false" ht="14.25" hidden="false" customHeight="false" outlineLevel="0" collapsed="false">
      <c r="A248" s="29" t="s">
        <v>499</v>
      </c>
      <c r="B248" s="67" t="s">
        <v>1836</v>
      </c>
      <c r="C248" s="58" t="str">
        <f aca="false">VLOOKUP(B248, AT_FILAS!$A$2:$C$8,2,FALSE())</f>
        <v>Consumo intermedio</v>
      </c>
      <c r="D248" s="58" t="n">
        <f aca="false">VLOOKUP(B248, AT_FILAS!$A$2:$C$8,3,FALSE())</f>
        <v>2</v>
      </c>
      <c r="E248" s="60" t="s">
        <v>1987</v>
      </c>
      <c r="F248" s="60" t="s">
        <v>1988</v>
      </c>
      <c r="G248" s="1" t="s">
        <v>1984</v>
      </c>
      <c r="H248" s="1" t="n">
        <v>2</v>
      </c>
      <c r="I248" s="1" t="s">
        <v>1963</v>
      </c>
      <c r="J248" s="1" t="s">
        <v>1964</v>
      </c>
      <c r="K248" s="21" t="n">
        <v>22</v>
      </c>
      <c r="L248" s="21" t="str">
        <f aca="false">VLOOKUP(K248,clasif_filas!$A$2:$J$39,2,FALSE())</f>
        <v>Productos lácteos y productos de huevo</v>
      </c>
      <c r="M248" s="21" t="n">
        <f aca="false">VLOOKUP(K248,clasif_filas!$A$2:$J$39,3,FALSE())</f>
        <v>22</v>
      </c>
      <c r="N248" s="21" t="str">
        <f aca="false">VLOOKUP(K248,clasif_filas!$A$2:$J$39,4,FALSE())</f>
        <v>Productos lácteos y productos de huevo</v>
      </c>
      <c r="O248" s="21" t="n">
        <f aca="false">VLOOKUP(K248,clasif_filas!$A$2:$J$39,5,FALSE())</f>
        <v>6</v>
      </c>
      <c r="P248" s="21" t="str">
        <f aca="false">VLOOKUP(K248,clasif_filas!$A$2:$J$39,6,FALSE())</f>
        <v>Conocimiento, procesos y servicios relacionados</v>
      </c>
      <c r="Q248" s="21" t="n">
        <f aca="false">VLOOKUP(K248,clasif_filas!$A$2:$J$39,7,FALSE())</f>
        <v>2</v>
      </c>
      <c r="R248" s="21" t="str">
        <f aca="false">VLOOKUP(K248,clasif_filas!$A$2:$J$39,8,FALSE())</f>
        <v>Productos alimenticios, bebidas y tabaco; textiles, prendas de vestir y productos de cuero</v>
      </c>
      <c r="S248" s="21" t="n">
        <f aca="false">VLOOKUP(K248,clasif_filas!$A$2:$J$39,9,FALSE())</f>
        <v>1</v>
      </c>
      <c r="T248" s="61" t="str">
        <f aca="false">VLOOKUP(K248,clasif_filas!$A$2:$J$39,10,FALSE())</f>
        <v>Bioeconomía</v>
      </c>
    </row>
    <row r="249" customFormat="false" ht="14.25" hidden="false" customHeight="false" outlineLevel="0" collapsed="false">
      <c r="A249" s="29" t="s">
        <v>501</v>
      </c>
      <c r="B249" s="67" t="s">
        <v>1836</v>
      </c>
      <c r="C249" s="58" t="str">
        <f aca="false">VLOOKUP(B249, AT_FILAS!$A$2:$C$8,2,FALSE())</f>
        <v>Consumo intermedio</v>
      </c>
      <c r="D249" s="58" t="n">
        <f aca="false">VLOOKUP(B249, AT_FILAS!$A$2:$C$8,3,FALSE())</f>
        <v>2</v>
      </c>
      <c r="E249" s="60" t="s">
        <v>1989</v>
      </c>
      <c r="F249" s="60" t="s">
        <v>1990</v>
      </c>
      <c r="G249" s="1" t="s">
        <v>1991</v>
      </c>
      <c r="H249" s="1" t="n">
        <v>2</v>
      </c>
      <c r="I249" s="1" t="s">
        <v>1963</v>
      </c>
      <c r="J249" s="1" t="s">
        <v>1964</v>
      </c>
      <c r="K249" s="21" t="n">
        <v>23</v>
      </c>
      <c r="L249" s="21" t="str">
        <f aca="false">VLOOKUP(K249,clasif_filas!$A$2:$J$39,2,FALSE())</f>
        <v>Productos de molienda, productos con almidón o maicena; otros productos de alimenticios</v>
      </c>
      <c r="M249" s="21" t="n">
        <f aca="false">VLOOKUP(K249,clasif_filas!$A$2:$J$39,3,FALSE())</f>
        <v>23</v>
      </c>
      <c r="N249" s="21" t="str">
        <f aca="false">VLOOKUP(K249,clasif_filas!$A$2:$J$39,4,FALSE())</f>
        <v>Productos de molienda, productos con almidón o maicena; otros productos de alimenticios</v>
      </c>
      <c r="O249" s="21" t="n">
        <f aca="false">VLOOKUP(K249,clasif_filas!$A$2:$J$39,5,FALSE())</f>
        <v>6</v>
      </c>
      <c r="P249" s="21" t="str">
        <f aca="false">VLOOKUP(K249,clasif_filas!$A$2:$J$39,6,FALSE())</f>
        <v>Conocimiento, procesos y servicios relacionados</v>
      </c>
      <c r="Q249" s="21" t="n">
        <f aca="false">VLOOKUP(K249,clasif_filas!$A$2:$J$39,7,FALSE())</f>
        <v>2</v>
      </c>
      <c r="R249" s="21" t="str">
        <f aca="false">VLOOKUP(K249,clasif_filas!$A$2:$J$39,8,FALSE())</f>
        <v>Productos alimenticios, bebidas y tabaco; textiles, prendas de vestir y productos de cuero</v>
      </c>
      <c r="S249" s="21" t="n">
        <f aca="false">VLOOKUP(K249,clasif_filas!$A$2:$J$39,9,FALSE())</f>
        <v>1</v>
      </c>
      <c r="T249" s="61" t="str">
        <f aca="false">VLOOKUP(K249,clasif_filas!$A$2:$J$39,10,FALSE())</f>
        <v>Bioeconomía</v>
      </c>
    </row>
    <row r="250" customFormat="false" ht="14.25" hidden="false" customHeight="false" outlineLevel="0" collapsed="false">
      <c r="A250" s="29" t="s">
        <v>503</v>
      </c>
      <c r="B250" s="67" t="s">
        <v>1836</v>
      </c>
      <c r="C250" s="58" t="str">
        <f aca="false">VLOOKUP(B250, AT_FILAS!$A$2:$C$8,2,FALSE())</f>
        <v>Consumo intermedio</v>
      </c>
      <c r="D250" s="58" t="n">
        <f aca="false">VLOOKUP(B250, AT_FILAS!$A$2:$C$8,3,FALSE())</f>
        <v>2</v>
      </c>
      <c r="E250" s="60" t="s">
        <v>1992</v>
      </c>
      <c r="F250" s="60" t="s">
        <v>1993</v>
      </c>
      <c r="G250" s="1" t="s">
        <v>1991</v>
      </c>
      <c r="H250" s="1" t="n">
        <v>2</v>
      </c>
      <c r="I250" s="1" t="s">
        <v>1963</v>
      </c>
      <c r="J250" s="1" t="s">
        <v>1964</v>
      </c>
      <c r="K250" s="21" t="n">
        <v>23</v>
      </c>
      <c r="L250" s="21" t="str">
        <f aca="false">VLOOKUP(K250,clasif_filas!$A$2:$J$39,2,FALSE())</f>
        <v>Productos de molienda, productos con almidón o maicena; otros productos de alimenticios</v>
      </c>
      <c r="M250" s="21" t="n">
        <f aca="false">VLOOKUP(K250,clasif_filas!$A$2:$J$39,3,FALSE())</f>
        <v>23</v>
      </c>
      <c r="N250" s="21" t="str">
        <f aca="false">VLOOKUP(K250,clasif_filas!$A$2:$J$39,4,FALSE())</f>
        <v>Productos de molienda, productos con almidón o maicena; otros productos de alimenticios</v>
      </c>
      <c r="O250" s="21" t="n">
        <f aca="false">VLOOKUP(K250,clasif_filas!$A$2:$J$39,5,FALSE())</f>
        <v>6</v>
      </c>
      <c r="P250" s="21" t="str">
        <f aca="false">VLOOKUP(K250,clasif_filas!$A$2:$J$39,6,FALSE())</f>
        <v>Conocimiento, procesos y servicios relacionados</v>
      </c>
      <c r="Q250" s="21" t="n">
        <f aca="false">VLOOKUP(K250,clasif_filas!$A$2:$J$39,7,FALSE())</f>
        <v>2</v>
      </c>
      <c r="R250" s="21" t="str">
        <f aca="false">VLOOKUP(K250,clasif_filas!$A$2:$J$39,8,FALSE())</f>
        <v>Productos alimenticios, bebidas y tabaco; textiles, prendas de vestir y productos de cuero</v>
      </c>
      <c r="S250" s="21" t="n">
        <f aca="false">VLOOKUP(K250,clasif_filas!$A$2:$J$39,9,FALSE())</f>
        <v>1</v>
      </c>
      <c r="T250" s="61" t="str">
        <f aca="false">VLOOKUP(K250,clasif_filas!$A$2:$J$39,10,FALSE())</f>
        <v>Bioeconomía</v>
      </c>
    </row>
    <row r="251" customFormat="false" ht="37.55" hidden="false" customHeight="false" outlineLevel="0" collapsed="false">
      <c r="A251" s="29" t="s">
        <v>505</v>
      </c>
      <c r="B251" s="67" t="s">
        <v>1836</v>
      </c>
      <c r="C251" s="58" t="str">
        <f aca="false">VLOOKUP(B251, AT_FILAS!$A$2:$C$8,2,FALSE())</f>
        <v>Consumo intermedio</v>
      </c>
      <c r="D251" s="58" t="n">
        <f aca="false">VLOOKUP(B251, AT_FILAS!$A$2:$C$8,3,FALSE())</f>
        <v>2</v>
      </c>
      <c r="E251" s="60" t="s">
        <v>1994</v>
      </c>
      <c r="F251" s="60" t="s">
        <v>1995</v>
      </c>
      <c r="G251" s="1" t="s">
        <v>1991</v>
      </c>
      <c r="H251" s="1" t="n">
        <v>2</v>
      </c>
      <c r="I251" s="1" t="s">
        <v>1963</v>
      </c>
      <c r="J251" s="1" t="s">
        <v>1964</v>
      </c>
      <c r="K251" s="21" t="n">
        <v>23</v>
      </c>
      <c r="L251" s="21" t="str">
        <f aca="false">VLOOKUP(K251,clasif_filas!$A$2:$J$39,2,FALSE())</f>
        <v>Productos de molienda, productos con almidón o maicena; otros productos de alimenticios</v>
      </c>
      <c r="M251" s="21" t="n">
        <f aca="false">VLOOKUP(K251,clasif_filas!$A$2:$J$39,3,FALSE())</f>
        <v>23</v>
      </c>
      <c r="N251" s="21" t="str">
        <f aca="false">VLOOKUP(K251,clasif_filas!$A$2:$J$39,4,FALSE())</f>
        <v>Productos de molienda, productos con almidón o maicena; otros productos de alimenticios</v>
      </c>
      <c r="O251" s="21" t="n">
        <f aca="false">VLOOKUP(K251,clasif_filas!$A$2:$J$39,5,FALSE())</f>
        <v>6</v>
      </c>
      <c r="P251" s="21" t="str">
        <f aca="false">VLOOKUP(K251,clasif_filas!$A$2:$J$39,6,FALSE())</f>
        <v>Conocimiento, procesos y servicios relacionados</v>
      </c>
      <c r="Q251" s="21" t="n">
        <f aca="false">VLOOKUP(K251,clasif_filas!$A$2:$J$39,7,FALSE())</f>
        <v>2</v>
      </c>
      <c r="R251" s="21" t="str">
        <f aca="false">VLOOKUP(K251,clasif_filas!$A$2:$J$39,8,FALSE())</f>
        <v>Productos alimenticios, bebidas y tabaco; textiles, prendas de vestir y productos de cuero</v>
      </c>
      <c r="S251" s="21" t="n">
        <f aca="false">VLOOKUP(K251,clasif_filas!$A$2:$J$39,9,FALSE())</f>
        <v>1</v>
      </c>
      <c r="T251" s="61" t="str">
        <f aca="false">VLOOKUP(K251,clasif_filas!$A$2:$J$39,10,FALSE())</f>
        <v>Bioeconomía</v>
      </c>
    </row>
    <row r="252" customFormat="false" ht="14.25" hidden="false" customHeight="false" outlineLevel="0" collapsed="false">
      <c r="A252" s="29" t="s">
        <v>507</v>
      </c>
      <c r="B252" s="67" t="s">
        <v>1836</v>
      </c>
      <c r="C252" s="58" t="str">
        <f aca="false">VLOOKUP(B252, AT_FILAS!$A$2:$C$8,2,FALSE())</f>
        <v>Consumo intermedio</v>
      </c>
      <c r="D252" s="58" t="n">
        <f aca="false">VLOOKUP(B252, AT_FILAS!$A$2:$C$8,3,FALSE())</f>
        <v>2</v>
      </c>
      <c r="E252" s="60" t="s">
        <v>1996</v>
      </c>
      <c r="F252" s="60" t="s">
        <v>1997</v>
      </c>
      <c r="G252" s="1" t="s">
        <v>1991</v>
      </c>
      <c r="H252" s="1" t="n">
        <v>2</v>
      </c>
      <c r="I252" s="1" t="s">
        <v>1963</v>
      </c>
      <c r="J252" s="1" t="s">
        <v>1964</v>
      </c>
      <c r="K252" s="21" t="n">
        <v>23</v>
      </c>
      <c r="L252" s="21" t="str">
        <f aca="false">VLOOKUP(K252,clasif_filas!$A$2:$J$39,2,FALSE())</f>
        <v>Productos de molienda, productos con almidón o maicena; otros productos de alimenticios</v>
      </c>
      <c r="M252" s="21" t="n">
        <f aca="false">VLOOKUP(K252,clasif_filas!$A$2:$J$39,3,FALSE())</f>
        <v>23</v>
      </c>
      <c r="N252" s="21" t="str">
        <f aca="false">VLOOKUP(K252,clasif_filas!$A$2:$J$39,4,FALSE())</f>
        <v>Productos de molienda, productos con almidón o maicena; otros productos de alimenticios</v>
      </c>
      <c r="O252" s="21" t="n">
        <f aca="false">VLOOKUP(K252,clasif_filas!$A$2:$J$39,5,FALSE())</f>
        <v>6</v>
      </c>
      <c r="P252" s="21" t="str">
        <f aca="false">VLOOKUP(K252,clasif_filas!$A$2:$J$39,6,FALSE())</f>
        <v>Conocimiento, procesos y servicios relacionados</v>
      </c>
      <c r="Q252" s="21" t="n">
        <f aca="false">VLOOKUP(K252,clasif_filas!$A$2:$J$39,7,FALSE())</f>
        <v>2</v>
      </c>
      <c r="R252" s="21" t="str">
        <f aca="false">VLOOKUP(K252,clasif_filas!$A$2:$J$39,8,FALSE())</f>
        <v>Productos alimenticios, bebidas y tabaco; textiles, prendas de vestir y productos de cuero</v>
      </c>
      <c r="S252" s="21" t="n">
        <f aca="false">VLOOKUP(K252,clasif_filas!$A$2:$J$39,9,FALSE())</f>
        <v>1</v>
      </c>
      <c r="T252" s="61" t="str">
        <f aca="false">VLOOKUP(K252,clasif_filas!$A$2:$J$39,10,FALSE())</f>
        <v>Bioeconomía</v>
      </c>
    </row>
    <row r="253" customFormat="false" ht="14.25" hidden="false" customHeight="false" outlineLevel="0" collapsed="false">
      <c r="A253" s="29" t="s">
        <v>509</v>
      </c>
      <c r="B253" s="67" t="s">
        <v>1836</v>
      </c>
      <c r="C253" s="58" t="str">
        <f aca="false">VLOOKUP(B253, AT_FILAS!$A$2:$C$8,2,FALSE())</f>
        <v>Consumo intermedio</v>
      </c>
      <c r="D253" s="58" t="n">
        <f aca="false">VLOOKUP(B253, AT_FILAS!$A$2:$C$8,3,FALSE())</f>
        <v>2</v>
      </c>
      <c r="E253" s="60" t="s">
        <v>1998</v>
      </c>
      <c r="F253" s="60" t="s">
        <v>1999</v>
      </c>
      <c r="G253" s="1" t="s">
        <v>2000</v>
      </c>
      <c r="H253" s="1" t="n">
        <v>2</v>
      </c>
      <c r="I253" s="1" t="s">
        <v>1963</v>
      </c>
      <c r="J253" s="1" t="s">
        <v>1964</v>
      </c>
      <c r="K253" s="21" t="n">
        <v>23</v>
      </c>
      <c r="L253" s="21" t="str">
        <f aca="false">VLOOKUP(K253,clasif_filas!$A$2:$J$39,2,FALSE())</f>
        <v>Productos de molienda, productos con almidón o maicena; otros productos de alimenticios</v>
      </c>
      <c r="M253" s="21" t="n">
        <f aca="false">VLOOKUP(K253,clasif_filas!$A$2:$J$39,3,FALSE())</f>
        <v>23</v>
      </c>
      <c r="N253" s="21" t="str">
        <f aca="false">VLOOKUP(K253,clasif_filas!$A$2:$J$39,4,FALSE())</f>
        <v>Productos de molienda, productos con almidón o maicena; otros productos de alimenticios</v>
      </c>
      <c r="O253" s="21" t="n">
        <f aca="false">VLOOKUP(K253,clasif_filas!$A$2:$J$39,5,FALSE())</f>
        <v>6</v>
      </c>
      <c r="P253" s="21" t="str">
        <f aca="false">VLOOKUP(K253,clasif_filas!$A$2:$J$39,6,FALSE())</f>
        <v>Conocimiento, procesos y servicios relacionados</v>
      </c>
      <c r="Q253" s="21" t="n">
        <f aca="false">VLOOKUP(K253,clasif_filas!$A$2:$J$39,7,FALSE())</f>
        <v>2</v>
      </c>
      <c r="R253" s="21" t="str">
        <f aca="false">VLOOKUP(K253,clasif_filas!$A$2:$J$39,8,FALSE())</f>
        <v>Productos alimenticios, bebidas y tabaco; textiles, prendas de vestir y productos de cuero</v>
      </c>
      <c r="S253" s="21" t="n">
        <f aca="false">VLOOKUP(K253,clasif_filas!$A$2:$J$39,9,FALSE())</f>
        <v>1</v>
      </c>
      <c r="T253" s="61" t="str">
        <f aca="false">VLOOKUP(K253,clasif_filas!$A$2:$J$39,10,FALSE())</f>
        <v>Bioeconomía</v>
      </c>
    </row>
    <row r="254" customFormat="false" ht="25.55" hidden="false" customHeight="false" outlineLevel="0" collapsed="false">
      <c r="A254" s="29" t="s">
        <v>511</v>
      </c>
      <c r="B254" s="67" t="s">
        <v>1836</v>
      </c>
      <c r="C254" s="58" t="str">
        <f aca="false">VLOOKUP(B254, AT_FILAS!$A$2:$C$8,2,FALSE())</f>
        <v>Consumo intermedio</v>
      </c>
      <c r="D254" s="58" t="n">
        <f aca="false">VLOOKUP(B254, AT_FILAS!$A$2:$C$8,3,FALSE())</f>
        <v>2</v>
      </c>
      <c r="E254" s="60" t="s">
        <v>2001</v>
      </c>
      <c r="F254" s="60" t="s">
        <v>2002</v>
      </c>
      <c r="G254" s="1" t="s">
        <v>1976</v>
      </c>
      <c r="H254" s="1" t="n">
        <v>2</v>
      </c>
      <c r="I254" s="1" t="s">
        <v>1963</v>
      </c>
      <c r="J254" s="1" t="s">
        <v>1964</v>
      </c>
      <c r="K254" s="21" t="n">
        <v>23</v>
      </c>
      <c r="L254" s="21" t="str">
        <f aca="false">VLOOKUP(K254,clasif_filas!$A$2:$J$39,2,FALSE())</f>
        <v>Productos de molienda, productos con almidón o maicena; otros productos de alimenticios</v>
      </c>
      <c r="M254" s="21" t="n">
        <f aca="false">VLOOKUP(K254,clasif_filas!$A$2:$J$39,3,FALSE())</f>
        <v>23</v>
      </c>
      <c r="N254" s="21" t="str">
        <f aca="false">VLOOKUP(K254,clasif_filas!$A$2:$J$39,4,FALSE())</f>
        <v>Productos de molienda, productos con almidón o maicena; otros productos de alimenticios</v>
      </c>
      <c r="O254" s="21" t="n">
        <f aca="false">VLOOKUP(K254,clasif_filas!$A$2:$J$39,5,FALSE())</f>
        <v>6</v>
      </c>
      <c r="P254" s="21" t="str">
        <f aca="false">VLOOKUP(K254,clasif_filas!$A$2:$J$39,6,FALSE())</f>
        <v>Conocimiento, procesos y servicios relacionados</v>
      </c>
      <c r="Q254" s="21" t="n">
        <f aca="false">VLOOKUP(K254,clasif_filas!$A$2:$J$39,7,FALSE())</f>
        <v>2</v>
      </c>
      <c r="R254" s="21" t="str">
        <f aca="false">VLOOKUP(K254,clasif_filas!$A$2:$J$39,8,FALSE())</f>
        <v>Productos alimenticios, bebidas y tabaco; textiles, prendas de vestir y productos de cuero</v>
      </c>
      <c r="S254" s="21" t="n">
        <f aca="false">VLOOKUP(K254,clasif_filas!$A$2:$J$39,9,FALSE())</f>
        <v>1</v>
      </c>
      <c r="T254" s="61" t="str">
        <f aca="false">VLOOKUP(K254,clasif_filas!$A$2:$J$39,10,FALSE())</f>
        <v>Bioeconomía</v>
      </c>
    </row>
    <row r="255" customFormat="false" ht="25.55" hidden="false" customHeight="false" outlineLevel="0" collapsed="false">
      <c r="A255" s="29" t="s">
        <v>513</v>
      </c>
      <c r="B255" s="67" t="s">
        <v>1836</v>
      </c>
      <c r="C255" s="58" t="str">
        <f aca="false">VLOOKUP(B255, AT_FILAS!$A$2:$C$8,2,FALSE())</f>
        <v>Consumo intermedio</v>
      </c>
      <c r="D255" s="58" t="n">
        <f aca="false">VLOOKUP(B255, AT_FILAS!$A$2:$C$8,3,FALSE())</f>
        <v>2</v>
      </c>
      <c r="E255" s="60" t="s">
        <v>2003</v>
      </c>
      <c r="F255" s="60" t="s">
        <v>2004</v>
      </c>
      <c r="G255" s="1" t="s">
        <v>1991</v>
      </c>
      <c r="H255" s="1" t="n">
        <v>2</v>
      </c>
      <c r="I255" s="1" t="s">
        <v>1963</v>
      </c>
      <c r="J255" s="1" t="s">
        <v>1964</v>
      </c>
      <c r="K255" s="21" t="n">
        <v>23</v>
      </c>
      <c r="L255" s="21" t="str">
        <f aca="false">VLOOKUP(K255,clasif_filas!$A$2:$J$39,2,FALSE())</f>
        <v>Productos de molienda, productos con almidón o maicena; otros productos de alimenticios</v>
      </c>
      <c r="M255" s="21" t="n">
        <f aca="false">VLOOKUP(K255,clasif_filas!$A$2:$J$39,3,FALSE())</f>
        <v>23</v>
      </c>
      <c r="N255" s="21" t="str">
        <f aca="false">VLOOKUP(K255,clasif_filas!$A$2:$J$39,4,FALSE())</f>
        <v>Productos de molienda, productos con almidón o maicena; otros productos de alimenticios</v>
      </c>
      <c r="O255" s="21" t="n">
        <f aca="false">VLOOKUP(K255,clasif_filas!$A$2:$J$39,5,FALSE())</f>
        <v>6</v>
      </c>
      <c r="P255" s="21" t="str">
        <f aca="false">VLOOKUP(K255,clasif_filas!$A$2:$J$39,6,FALSE())</f>
        <v>Conocimiento, procesos y servicios relacionados</v>
      </c>
      <c r="Q255" s="21" t="n">
        <f aca="false">VLOOKUP(K255,clasif_filas!$A$2:$J$39,7,FALSE())</f>
        <v>2</v>
      </c>
      <c r="R255" s="21" t="str">
        <f aca="false">VLOOKUP(K255,clasif_filas!$A$2:$J$39,8,FALSE())</f>
        <v>Productos alimenticios, bebidas y tabaco; textiles, prendas de vestir y productos de cuero</v>
      </c>
      <c r="S255" s="21" t="n">
        <f aca="false">VLOOKUP(K255,clasif_filas!$A$2:$J$39,9,FALSE())</f>
        <v>1</v>
      </c>
      <c r="T255" s="61" t="str">
        <f aca="false">VLOOKUP(K255,clasif_filas!$A$2:$J$39,10,FALSE())</f>
        <v>Bioeconomía</v>
      </c>
    </row>
    <row r="256" customFormat="false" ht="14.25" hidden="false" customHeight="false" outlineLevel="0" collapsed="false">
      <c r="A256" s="29" t="s">
        <v>515</v>
      </c>
      <c r="B256" s="67" t="s">
        <v>1836</v>
      </c>
      <c r="C256" s="58" t="str">
        <f aca="false">VLOOKUP(B256, AT_FILAS!$A$2:$C$8,2,FALSE())</f>
        <v>Consumo intermedio</v>
      </c>
      <c r="D256" s="58" t="n">
        <f aca="false">VLOOKUP(B256, AT_FILAS!$A$2:$C$8,3,FALSE())</f>
        <v>2</v>
      </c>
      <c r="E256" s="60" t="s">
        <v>2005</v>
      </c>
      <c r="F256" s="60" t="s">
        <v>2006</v>
      </c>
      <c r="G256" s="1" t="s">
        <v>1976</v>
      </c>
      <c r="H256" s="1" t="n">
        <v>2</v>
      </c>
      <c r="I256" s="1" t="s">
        <v>1963</v>
      </c>
      <c r="J256" s="1" t="s">
        <v>1964</v>
      </c>
      <c r="K256" s="21" t="n">
        <v>23</v>
      </c>
      <c r="L256" s="21" t="str">
        <f aca="false">VLOOKUP(K256,clasif_filas!$A$2:$J$39,2,FALSE())</f>
        <v>Productos de molienda, productos con almidón o maicena; otros productos de alimenticios</v>
      </c>
      <c r="M256" s="21" t="n">
        <f aca="false">VLOOKUP(K256,clasif_filas!$A$2:$J$39,3,FALSE())</f>
        <v>23</v>
      </c>
      <c r="N256" s="21" t="str">
        <f aca="false">VLOOKUP(K256,clasif_filas!$A$2:$J$39,4,FALSE())</f>
        <v>Productos de molienda, productos con almidón o maicena; otros productos de alimenticios</v>
      </c>
      <c r="O256" s="21" t="n">
        <f aca="false">VLOOKUP(K256,clasif_filas!$A$2:$J$39,5,FALSE())</f>
        <v>6</v>
      </c>
      <c r="P256" s="21" t="str">
        <f aca="false">VLOOKUP(K256,clasif_filas!$A$2:$J$39,6,FALSE())</f>
        <v>Conocimiento, procesos y servicios relacionados</v>
      </c>
      <c r="Q256" s="21" t="n">
        <f aca="false">VLOOKUP(K256,clasif_filas!$A$2:$J$39,7,FALSE())</f>
        <v>2</v>
      </c>
      <c r="R256" s="21" t="str">
        <f aca="false">VLOOKUP(K256,clasif_filas!$A$2:$J$39,8,FALSE())</f>
        <v>Productos alimenticios, bebidas y tabaco; textiles, prendas de vestir y productos de cuero</v>
      </c>
      <c r="S256" s="21" t="n">
        <f aca="false">VLOOKUP(K256,clasif_filas!$A$2:$J$39,9,FALSE())</f>
        <v>1</v>
      </c>
      <c r="T256" s="61" t="str">
        <f aca="false">VLOOKUP(K256,clasif_filas!$A$2:$J$39,10,FALSE())</f>
        <v>Bioeconomía</v>
      </c>
    </row>
    <row r="257" customFormat="false" ht="25.55" hidden="false" customHeight="false" outlineLevel="0" collapsed="false">
      <c r="A257" s="29" t="s">
        <v>517</v>
      </c>
      <c r="B257" s="67" t="s">
        <v>1836</v>
      </c>
      <c r="C257" s="58" t="str">
        <f aca="false">VLOOKUP(B257, AT_FILAS!$A$2:$C$8,2,FALSE())</f>
        <v>Consumo intermedio</v>
      </c>
      <c r="D257" s="58" t="n">
        <f aca="false">VLOOKUP(B257, AT_FILAS!$A$2:$C$8,3,FALSE())</f>
        <v>2</v>
      </c>
      <c r="E257" s="60" t="s">
        <v>2007</v>
      </c>
      <c r="F257" s="60" t="s">
        <v>2008</v>
      </c>
      <c r="G257" s="1" t="s">
        <v>2009</v>
      </c>
      <c r="H257" s="1" t="n">
        <v>2</v>
      </c>
      <c r="I257" s="1" t="s">
        <v>1963</v>
      </c>
      <c r="J257" s="1" t="s">
        <v>2009</v>
      </c>
      <c r="K257" s="21" t="n">
        <v>21</v>
      </c>
      <c r="L257" s="21" t="str">
        <f aca="false">VLOOKUP(K257,clasif_filas!$A$2:$J$39,2,FALSE())</f>
        <v>Carne, pescado, frutas, vegetales, aceites y grasas</v>
      </c>
      <c r="M257" s="21" t="n">
        <f aca="false">VLOOKUP(K257,clasif_filas!$A$2:$J$39,3,FALSE())</f>
        <v>21</v>
      </c>
      <c r="N257" s="21" t="str">
        <f aca="false">VLOOKUP(K257,clasif_filas!$A$2:$J$39,4,FALSE())</f>
        <v>Carne, pescado, frutas, vegetales, aceites y grasas</v>
      </c>
      <c r="O257" s="21" t="n">
        <f aca="false">VLOOKUP(K257,clasif_filas!$A$2:$J$39,5,FALSE())</f>
        <v>6</v>
      </c>
      <c r="P257" s="21" t="str">
        <f aca="false">VLOOKUP(K257,clasif_filas!$A$2:$J$39,6,FALSE())</f>
        <v>Conocimiento, procesos y servicios relacionados</v>
      </c>
      <c r="Q257" s="21" t="n">
        <f aca="false">VLOOKUP(K257,clasif_filas!$A$2:$J$39,7,FALSE())</f>
        <v>2</v>
      </c>
      <c r="R257" s="21" t="str">
        <f aca="false">VLOOKUP(K257,clasif_filas!$A$2:$J$39,8,FALSE())</f>
        <v>Productos alimenticios, bebidas y tabaco; textiles, prendas de vestir y productos de cuero</v>
      </c>
      <c r="S257" s="21" t="n">
        <f aca="false">VLOOKUP(K257,clasif_filas!$A$2:$J$39,9,FALSE())</f>
        <v>1</v>
      </c>
      <c r="T257" s="61" t="str">
        <f aca="false">VLOOKUP(K257,clasif_filas!$A$2:$J$39,10,FALSE())</f>
        <v>Bioeconomía</v>
      </c>
    </row>
    <row r="258" customFormat="false" ht="25.55" hidden="false" customHeight="false" outlineLevel="0" collapsed="false">
      <c r="A258" s="29" t="s">
        <v>519</v>
      </c>
      <c r="B258" s="67" t="s">
        <v>1836</v>
      </c>
      <c r="C258" s="58" t="str">
        <f aca="false">VLOOKUP(B258, AT_FILAS!$A$2:$C$8,2,FALSE())</f>
        <v>Consumo intermedio</v>
      </c>
      <c r="D258" s="58" t="n">
        <f aca="false">VLOOKUP(B258, AT_FILAS!$A$2:$C$8,3,FALSE())</f>
        <v>2</v>
      </c>
      <c r="E258" s="60" t="s">
        <v>2010</v>
      </c>
      <c r="F258" s="60" t="s">
        <v>2011</v>
      </c>
      <c r="G258" s="1" t="s">
        <v>2012</v>
      </c>
      <c r="H258" s="1" t="n">
        <v>2</v>
      </c>
      <c r="I258" s="1" t="s">
        <v>1963</v>
      </c>
      <c r="J258" s="1" t="s">
        <v>1964</v>
      </c>
      <c r="K258" s="21" t="n">
        <v>24</v>
      </c>
      <c r="L258" s="21" t="str">
        <f aca="false">VLOOKUP(K258,clasif_filas!$A$2:$J$39,2,FALSE())</f>
        <v>Bebidas</v>
      </c>
      <c r="M258" s="21" t="n">
        <f aca="false">VLOOKUP(K258,clasif_filas!$A$2:$J$39,3,FALSE())</f>
        <v>24</v>
      </c>
      <c r="N258" s="21" t="str">
        <f aca="false">VLOOKUP(K258,clasif_filas!$A$2:$J$39,4,FALSE())</f>
        <v>Bebidas</v>
      </c>
      <c r="O258" s="21" t="n">
        <f aca="false">VLOOKUP(K258,clasif_filas!$A$2:$J$39,5,FALSE())</f>
        <v>6</v>
      </c>
      <c r="P258" s="21" t="str">
        <f aca="false">VLOOKUP(K258,clasif_filas!$A$2:$J$39,6,FALSE())</f>
        <v>Conocimiento, procesos y servicios relacionados</v>
      </c>
      <c r="Q258" s="21" t="n">
        <f aca="false">VLOOKUP(K258,clasif_filas!$A$2:$J$39,7,FALSE())</f>
        <v>2</v>
      </c>
      <c r="R258" s="21" t="str">
        <f aca="false">VLOOKUP(K258,clasif_filas!$A$2:$J$39,8,FALSE())</f>
        <v>Productos alimenticios, bebidas y tabaco; textiles, prendas de vestir y productos de cuero</v>
      </c>
      <c r="S258" s="21" t="n">
        <f aca="false">VLOOKUP(K258,clasif_filas!$A$2:$J$39,9,FALSE())</f>
        <v>1</v>
      </c>
      <c r="T258" s="61" t="str">
        <f aca="false">VLOOKUP(K258,clasif_filas!$A$2:$J$39,10,FALSE())</f>
        <v>Bioeconomía</v>
      </c>
    </row>
    <row r="259" customFormat="false" ht="14.25" hidden="false" customHeight="false" outlineLevel="0" collapsed="false">
      <c r="A259" s="29" t="s">
        <v>521</v>
      </c>
      <c r="B259" s="67" t="s">
        <v>1836</v>
      </c>
      <c r="C259" s="58" t="str">
        <f aca="false">VLOOKUP(B259, AT_FILAS!$A$2:$C$8,2,FALSE())</f>
        <v>Consumo intermedio</v>
      </c>
      <c r="D259" s="58" t="n">
        <f aca="false">VLOOKUP(B259, AT_FILAS!$A$2:$C$8,3,FALSE())</f>
        <v>2</v>
      </c>
      <c r="E259" s="60" t="s">
        <v>2013</v>
      </c>
      <c r="F259" s="60" t="s">
        <v>2014</v>
      </c>
      <c r="G259" s="1" t="s">
        <v>2012</v>
      </c>
      <c r="H259" s="1" t="n">
        <v>2</v>
      </c>
      <c r="I259" s="1" t="s">
        <v>1963</v>
      </c>
      <c r="J259" s="1" t="s">
        <v>1964</v>
      </c>
      <c r="K259" s="21" t="n">
        <v>24</v>
      </c>
      <c r="L259" s="21" t="str">
        <f aca="false">VLOOKUP(K259,clasif_filas!$A$2:$J$39,2,FALSE())</f>
        <v>Bebidas</v>
      </c>
      <c r="M259" s="21" t="n">
        <f aca="false">VLOOKUP(K259,clasif_filas!$A$2:$J$39,3,FALSE())</f>
        <v>24</v>
      </c>
      <c r="N259" s="21" t="str">
        <f aca="false">VLOOKUP(K259,clasif_filas!$A$2:$J$39,4,FALSE())</f>
        <v>Bebidas</v>
      </c>
      <c r="O259" s="21" t="n">
        <f aca="false">VLOOKUP(K259,clasif_filas!$A$2:$J$39,5,FALSE())</f>
        <v>6</v>
      </c>
      <c r="P259" s="21" t="str">
        <f aca="false">VLOOKUP(K259,clasif_filas!$A$2:$J$39,6,FALSE())</f>
        <v>Conocimiento, procesos y servicios relacionados</v>
      </c>
      <c r="Q259" s="21" t="n">
        <f aca="false">VLOOKUP(K259,clasif_filas!$A$2:$J$39,7,FALSE())</f>
        <v>2</v>
      </c>
      <c r="R259" s="21" t="str">
        <f aca="false">VLOOKUP(K259,clasif_filas!$A$2:$J$39,8,FALSE())</f>
        <v>Productos alimenticios, bebidas y tabaco; textiles, prendas de vestir y productos de cuero</v>
      </c>
      <c r="S259" s="21" t="n">
        <f aca="false">VLOOKUP(K259,clasif_filas!$A$2:$J$39,9,FALSE())</f>
        <v>1</v>
      </c>
      <c r="T259" s="61" t="str">
        <f aca="false">VLOOKUP(K259,clasif_filas!$A$2:$J$39,10,FALSE())</f>
        <v>Bioeconomía</v>
      </c>
    </row>
    <row r="260" customFormat="false" ht="14.25" hidden="false" customHeight="false" outlineLevel="0" collapsed="false">
      <c r="A260" s="29" t="s">
        <v>523</v>
      </c>
      <c r="B260" s="67" t="s">
        <v>1836</v>
      </c>
      <c r="C260" s="58" t="str">
        <f aca="false">VLOOKUP(B260, AT_FILAS!$A$2:$C$8,2,FALSE())</f>
        <v>Consumo intermedio</v>
      </c>
      <c r="D260" s="58" t="n">
        <f aca="false">VLOOKUP(B260, AT_FILAS!$A$2:$C$8,3,FALSE())</f>
        <v>2</v>
      </c>
      <c r="E260" s="60" t="s">
        <v>2015</v>
      </c>
      <c r="F260" s="60" t="s">
        <v>2016</v>
      </c>
      <c r="G260" s="1" t="s">
        <v>2012</v>
      </c>
      <c r="H260" s="1" t="n">
        <v>2</v>
      </c>
      <c r="I260" s="1" t="s">
        <v>1963</v>
      </c>
      <c r="J260" s="1" t="s">
        <v>1964</v>
      </c>
      <c r="K260" s="21" t="n">
        <v>24</v>
      </c>
      <c r="L260" s="21" t="str">
        <f aca="false">VLOOKUP(K260,clasif_filas!$A$2:$J$39,2,FALSE())</f>
        <v>Bebidas</v>
      </c>
      <c r="M260" s="21" t="n">
        <f aca="false">VLOOKUP(K260,clasif_filas!$A$2:$J$39,3,FALSE())</f>
        <v>24</v>
      </c>
      <c r="N260" s="21" t="str">
        <f aca="false">VLOOKUP(K260,clasif_filas!$A$2:$J$39,4,FALSE())</f>
        <v>Bebidas</v>
      </c>
      <c r="O260" s="21" t="n">
        <f aca="false">VLOOKUP(K260,clasif_filas!$A$2:$J$39,5,FALSE())</f>
        <v>6</v>
      </c>
      <c r="P260" s="21" t="str">
        <f aca="false">VLOOKUP(K260,clasif_filas!$A$2:$J$39,6,FALSE())</f>
        <v>Conocimiento, procesos y servicios relacionados</v>
      </c>
      <c r="Q260" s="21" t="n">
        <f aca="false">VLOOKUP(K260,clasif_filas!$A$2:$J$39,7,FALSE())</f>
        <v>2</v>
      </c>
      <c r="R260" s="21" t="str">
        <f aca="false">VLOOKUP(K260,clasif_filas!$A$2:$J$39,8,FALSE())</f>
        <v>Productos alimenticios, bebidas y tabaco; textiles, prendas de vestir y productos de cuero</v>
      </c>
      <c r="S260" s="21" t="n">
        <f aca="false">VLOOKUP(K260,clasif_filas!$A$2:$J$39,9,FALSE())</f>
        <v>1</v>
      </c>
      <c r="T260" s="61" t="str">
        <f aca="false">VLOOKUP(K260,clasif_filas!$A$2:$J$39,10,FALSE())</f>
        <v>Bioeconomía</v>
      </c>
    </row>
    <row r="261" customFormat="false" ht="25.55" hidden="false" customHeight="false" outlineLevel="0" collapsed="false">
      <c r="A261" s="29" t="s">
        <v>525</v>
      </c>
      <c r="B261" s="67" t="s">
        <v>1836</v>
      </c>
      <c r="C261" s="58" t="str">
        <f aca="false">VLOOKUP(B261, AT_FILAS!$A$2:$C$8,2,FALSE())</f>
        <v>Consumo intermedio</v>
      </c>
      <c r="D261" s="58" t="n">
        <f aca="false">VLOOKUP(B261, AT_FILAS!$A$2:$C$8,3,FALSE())</f>
        <v>2</v>
      </c>
      <c r="E261" s="60" t="s">
        <v>2017</v>
      </c>
      <c r="F261" s="60" t="s">
        <v>2018</v>
      </c>
      <c r="G261" s="1" t="s">
        <v>2012</v>
      </c>
      <c r="H261" s="1" t="n">
        <v>2</v>
      </c>
      <c r="I261" s="1" t="s">
        <v>1963</v>
      </c>
      <c r="J261" s="1" t="s">
        <v>1964</v>
      </c>
      <c r="K261" s="21" t="n">
        <v>24</v>
      </c>
      <c r="L261" s="21" t="str">
        <f aca="false">VLOOKUP(K261,clasif_filas!$A$2:$J$39,2,FALSE())</f>
        <v>Bebidas</v>
      </c>
      <c r="M261" s="21" t="n">
        <f aca="false">VLOOKUP(K261,clasif_filas!$A$2:$J$39,3,FALSE())</f>
        <v>24</v>
      </c>
      <c r="N261" s="21" t="str">
        <f aca="false">VLOOKUP(K261,clasif_filas!$A$2:$J$39,4,FALSE())</f>
        <v>Bebidas</v>
      </c>
      <c r="O261" s="21" t="n">
        <f aca="false">VLOOKUP(K261,clasif_filas!$A$2:$J$39,5,FALSE())</f>
        <v>6</v>
      </c>
      <c r="P261" s="21" t="str">
        <f aca="false">VLOOKUP(K261,clasif_filas!$A$2:$J$39,6,FALSE())</f>
        <v>Conocimiento, procesos y servicios relacionados</v>
      </c>
      <c r="Q261" s="21" t="n">
        <f aca="false">VLOOKUP(K261,clasif_filas!$A$2:$J$39,7,FALSE())</f>
        <v>2</v>
      </c>
      <c r="R261" s="21" t="str">
        <f aca="false">VLOOKUP(K261,clasif_filas!$A$2:$J$39,8,FALSE())</f>
        <v>Productos alimenticios, bebidas y tabaco; textiles, prendas de vestir y productos de cuero</v>
      </c>
      <c r="S261" s="21" t="n">
        <f aca="false">VLOOKUP(K261,clasif_filas!$A$2:$J$39,9,FALSE())</f>
        <v>1</v>
      </c>
      <c r="T261" s="61" t="str">
        <f aca="false">VLOOKUP(K261,clasif_filas!$A$2:$J$39,10,FALSE())</f>
        <v>Bioeconomía</v>
      </c>
    </row>
    <row r="262" customFormat="false" ht="14.25" hidden="false" customHeight="false" outlineLevel="0" collapsed="false">
      <c r="A262" s="29" t="s">
        <v>527</v>
      </c>
      <c r="B262" s="67" t="s">
        <v>1836</v>
      </c>
      <c r="C262" s="58" t="str">
        <f aca="false">VLOOKUP(B262, AT_FILAS!$A$2:$C$8,2,FALSE())</f>
        <v>Consumo intermedio</v>
      </c>
      <c r="D262" s="58" t="n">
        <f aca="false">VLOOKUP(B262, AT_FILAS!$A$2:$C$8,3,FALSE())</f>
        <v>2</v>
      </c>
      <c r="E262" s="60" t="s">
        <v>2019</v>
      </c>
      <c r="F262" s="60" t="s">
        <v>2020</v>
      </c>
      <c r="G262" s="1" t="s">
        <v>2021</v>
      </c>
      <c r="H262" s="1" t="n">
        <v>2</v>
      </c>
      <c r="I262" s="1" t="s">
        <v>1963</v>
      </c>
      <c r="J262" s="1" t="s">
        <v>1964</v>
      </c>
      <c r="K262" s="21" t="n">
        <v>25</v>
      </c>
      <c r="L262" s="21" t="str">
        <f aca="false">VLOOKUP(K262,clasif_filas!$A$2:$J$39,2,FALSE())</f>
        <v>Productos del tabaco</v>
      </c>
      <c r="M262" s="21" t="n">
        <f aca="false">VLOOKUP(K262,clasif_filas!$A$2:$J$39,3,FALSE())</f>
        <v>25</v>
      </c>
      <c r="N262" s="21" t="str">
        <f aca="false">VLOOKUP(K262,clasif_filas!$A$2:$J$39,4,FALSE())</f>
        <v>Productos del tabaco</v>
      </c>
      <c r="O262" s="21" t="n">
        <f aca="false">VLOOKUP(K262,clasif_filas!$A$2:$J$39,5,FALSE())</f>
        <v>6</v>
      </c>
      <c r="P262" s="21" t="str">
        <f aca="false">VLOOKUP(K262,clasif_filas!$A$2:$J$39,6,FALSE())</f>
        <v>Conocimiento, procesos y servicios relacionados</v>
      </c>
      <c r="Q262" s="21" t="n">
        <f aca="false">VLOOKUP(K262,clasif_filas!$A$2:$J$39,7,FALSE())</f>
        <v>2</v>
      </c>
      <c r="R262" s="21" t="str">
        <f aca="false">VLOOKUP(K262,clasif_filas!$A$2:$J$39,8,FALSE())</f>
        <v>Productos alimenticios, bebidas y tabaco; textiles, prendas de vestir y productos de cuero</v>
      </c>
      <c r="S262" s="21" t="n">
        <f aca="false">VLOOKUP(K262,clasif_filas!$A$2:$J$39,9,FALSE())</f>
        <v>1</v>
      </c>
      <c r="T262" s="61" t="str">
        <f aca="false">VLOOKUP(K262,clasif_filas!$A$2:$J$39,10,FALSE())</f>
        <v>Bioeconomía</v>
      </c>
    </row>
    <row r="263" customFormat="false" ht="25.55" hidden="false" customHeight="false" outlineLevel="0" collapsed="false">
      <c r="A263" s="29" t="s">
        <v>529</v>
      </c>
      <c r="B263" s="67" t="s">
        <v>1836</v>
      </c>
      <c r="C263" s="58" t="str">
        <f aca="false">VLOOKUP(B263, AT_FILAS!$A$2:$C$8,2,FALSE())</f>
        <v>Consumo intermedio</v>
      </c>
      <c r="D263" s="58" t="n">
        <f aca="false">VLOOKUP(B263, AT_FILAS!$A$2:$C$8,3,FALSE())</f>
        <v>2</v>
      </c>
      <c r="E263" s="60" t="s">
        <v>2022</v>
      </c>
      <c r="F263" s="60" t="s">
        <v>2023</v>
      </c>
      <c r="G263" s="1" t="s">
        <v>2024</v>
      </c>
      <c r="H263" s="1" t="n">
        <v>2</v>
      </c>
      <c r="I263" s="1" t="s">
        <v>1963</v>
      </c>
      <c r="J263" s="1" t="s">
        <v>2024</v>
      </c>
      <c r="K263" s="21" t="n">
        <v>26</v>
      </c>
      <c r="L263" s="21" t="str">
        <f aca="false">VLOOKUP(K263,clasif_filas!$A$2:$J$39,2,FALSE())</f>
        <v>Hilados e hilos; tejidos y telas afelpadas</v>
      </c>
      <c r="M263" s="21" t="n">
        <f aca="false">VLOOKUP(K263,clasif_filas!$A$2:$J$39,3,FALSE())</f>
        <v>26</v>
      </c>
      <c r="N263" s="21" t="str">
        <f aca="false">VLOOKUP(K263,clasif_filas!$A$2:$J$39,4,FALSE())</f>
        <v>Hilados e hilos; tejidos y telas afelpadas</v>
      </c>
      <c r="O263" s="21" t="n">
        <f aca="false">VLOOKUP(K263,clasif_filas!$A$2:$J$39,5,FALSE())</f>
        <v>6</v>
      </c>
      <c r="P263" s="21" t="str">
        <f aca="false">VLOOKUP(K263,clasif_filas!$A$2:$J$39,6,FALSE())</f>
        <v>Conocimiento, procesos y servicios relacionados</v>
      </c>
      <c r="Q263" s="21" t="n">
        <f aca="false">VLOOKUP(K263,clasif_filas!$A$2:$J$39,7,FALSE())</f>
        <v>2</v>
      </c>
      <c r="R263" s="21" t="str">
        <f aca="false">VLOOKUP(K263,clasif_filas!$A$2:$J$39,8,FALSE())</f>
        <v>Productos alimenticios, bebidas y tabaco; textiles, prendas de vestir y productos de cuero</v>
      </c>
      <c r="S263" s="21" t="n">
        <f aca="false">VLOOKUP(K263,clasif_filas!$A$2:$J$39,9,FALSE())</f>
        <v>2</v>
      </c>
      <c r="T263" s="61" t="str">
        <f aca="false">VLOOKUP(K263,clasif_filas!$A$2:$J$39,10,FALSE())</f>
        <v>Bioeconomía extendida</v>
      </c>
    </row>
    <row r="264" customFormat="false" ht="25.55" hidden="false" customHeight="false" outlineLevel="0" collapsed="false">
      <c r="A264" s="29" t="s">
        <v>531</v>
      </c>
      <c r="B264" s="67" t="s">
        <v>1836</v>
      </c>
      <c r="C264" s="58" t="str">
        <f aca="false">VLOOKUP(B264, AT_FILAS!$A$2:$C$8,2,FALSE())</f>
        <v>Consumo intermedio</v>
      </c>
      <c r="D264" s="58" t="n">
        <f aca="false">VLOOKUP(B264, AT_FILAS!$A$2:$C$8,3,FALSE())</f>
        <v>2</v>
      </c>
      <c r="E264" s="60" t="s">
        <v>2025</v>
      </c>
      <c r="F264" s="60" t="s">
        <v>2026</v>
      </c>
      <c r="G264" s="1" t="s">
        <v>2024</v>
      </c>
      <c r="H264" s="1" t="n">
        <v>2</v>
      </c>
      <c r="I264" s="1" t="s">
        <v>1963</v>
      </c>
      <c r="J264" s="1" t="s">
        <v>2024</v>
      </c>
      <c r="K264" s="21" t="n">
        <v>26</v>
      </c>
      <c r="L264" s="21" t="str">
        <f aca="false">VLOOKUP(K264,clasif_filas!$A$2:$J$39,2,FALSE())</f>
        <v>Hilados e hilos; tejidos y telas afelpadas</v>
      </c>
      <c r="M264" s="21" t="n">
        <f aca="false">VLOOKUP(K264,clasif_filas!$A$2:$J$39,3,FALSE())</f>
        <v>26</v>
      </c>
      <c r="N264" s="21" t="str">
        <f aca="false">VLOOKUP(K264,clasif_filas!$A$2:$J$39,4,FALSE())</f>
        <v>Hilados e hilos; tejidos y telas afelpadas</v>
      </c>
      <c r="O264" s="21" t="n">
        <f aca="false">VLOOKUP(K264,clasif_filas!$A$2:$J$39,5,FALSE())</f>
        <v>6</v>
      </c>
      <c r="P264" s="21" t="str">
        <f aca="false">VLOOKUP(K264,clasif_filas!$A$2:$J$39,6,FALSE())</f>
        <v>Conocimiento, procesos y servicios relacionados</v>
      </c>
      <c r="Q264" s="21" t="n">
        <f aca="false">VLOOKUP(K264,clasif_filas!$A$2:$J$39,7,FALSE())</f>
        <v>2</v>
      </c>
      <c r="R264" s="21" t="str">
        <f aca="false">VLOOKUP(K264,clasif_filas!$A$2:$J$39,8,FALSE())</f>
        <v>Productos alimenticios, bebidas y tabaco; textiles, prendas de vestir y productos de cuero</v>
      </c>
      <c r="S264" s="21" t="n">
        <f aca="false">VLOOKUP(K264,clasif_filas!$A$2:$J$39,9,FALSE())</f>
        <v>2</v>
      </c>
      <c r="T264" s="61" t="str">
        <f aca="false">VLOOKUP(K264,clasif_filas!$A$2:$J$39,10,FALSE())</f>
        <v>Bioeconomía extendida</v>
      </c>
    </row>
    <row r="265" customFormat="false" ht="25.55" hidden="false" customHeight="false" outlineLevel="0" collapsed="false">
      <c r="A265" s="29" t="s">
        <v>533</v>
      </c>
      <c r="B265" s="67" t="s">
        <v>1836</v>
      </c>
      <c r="C265" s="58" t="str">
        <f aca="false">VLOOKUP(B265, AT_FILAS!$A$2:$C$8,2,FALSE())</f>
        <v>Consumo intermedio</v>
      </c>
      <c r="D265" s="58" t="n">
        <f aca="false">VLOOKUP(B265, AT_FILAS!$A$2:$C$8,3,FALSE())</f>
        <v>2</v>
      </c>
      <c r="E265" s="60" t="s">
        <v>2027</v>
      </c>
      <c r="F265" s="60" t="s">
        <v>2028</v>
      </c>
      <c r="G265" s="1" t="s">
        <v>2024</v>
      </c>
      <c r="H265" s="1" t="n">
        <v>2</v>
      </c>
      <c r="I265" s="1" t="s">
        <v>1963</v>
      </c>
      <c r="J265" s="1" t="s">
        <v>2024</v>
      </c>
      <c r="K265" s="21" t="n">
        <v>29</v>
      </c>
      <c r="L265" s="21" t="str">
        <f aca="false">VLOOKUP(K265,clasif_filas!$A$2:$J$39,2,FALSE())</f>
        <v>Cuero y productos de cuero; calzado</v>
      </c>
      <c r="M265" s="21" t="n">
        <f aca="false">VLOOKUP(K265,clasif_filas!$A$2:$J$39,3,FALSE())</f>
        <v>29</v>
      </c>
      <c r="N265" s="21" t="str">
        <f aca="false">VLOOKUP(K265,clasif_filas!$A$2:$J$39,4,FALSE())</f>
        <v>Cuero y productos de cuero; calzado</v>
      </c>
      <c r="O265" s="21" t="n">
        <f aca="false">VLOOKUP(K265,clasif_filas!$A$2:$J$39,5,FALSE())</f>
        <v>6</v>
      </c>
      <c r="P265" s="21" t="str">
        <f aca="false">VLOOKUP(K265,clasif_filas!$A$2:$J$39,6,FALSE())</f>
        <v>Conocimiento, procesos y servicios relacionados</v>
      </c>
      <c r="Q265" s="21" t="n">
        <f aca="false">VLOOKUP(K265,clasif_filas!$A$2:$J$39,7,FALSE())</f>
        <v>2</v>
      </c>
      <c r="R265" s="21" t="str">
        <f aca="false">VLOOKUP(K265,clasif_filas!$A$2:$J$39,8,FALSE())</f>
        <v>Productos alimenticios, bebidas y tabaco; textiles, prendas de vestir y productos de cuero</v>
      </c>
      <c r="S265" s="21" t="n">
        <f aca="false">VLOOKUP(K265,clasif_filas!$A$2:$J$39,9,FALSE())</f>
        <v>2</v>
      </c>
      <c r="T265" s="61" t="str">
        <f aca="false">VLOOKUP(K265,clasif_filas!$A$2:$J$39,10,FALSE())</f>
        <v>Bioeconomía extendida</v>
      </c>
    </row>
    <row r="266" customFormat="false" ht="25.55" hidden="false" customHeight="false" outlineLevel="0" collapsed="false">
      <c r="A266" s="29" t="s">
        <v>535</v>
      </c>
      <c r="B266" s="67" t="s">
        <v>1836</v>
      </c>
      <c r="C266" s="58" t="str">
        <f aca="false">VLOOKUP(B266, AT_FILAS!$A$2:$C$8,2,FALSE())</f>
        <v>Consumo intermedio</v>
      </c>
      <c r="D266" s="58" t="n">
        <f aca="false">VLOOKUP(B266, AT_FILAS!$A$2:$C$8,3,FALSE())</f>
        <v>2</v>
      </c>
      <c r="E266" s="60" t="s">
        <v>2029</v>
      </c>
      <c r="F266" s="60" t="s">
        <v>2030</v>
      </c>
      <c r="G266" s="1" t="s">
        <v>2024</v>
      </c>
      <c r="H266" s="1" t="n">
        <v>2</v>
      </c>
      <c r="I266" s="1" t="s">
        <v>1963</v>
      </c>
      <c r="J266" s="1" t="s">
        <v>2024</v>
      </c>
      <c r="K266" s="21" t="n">
        <v>29</v>
      </c>
      <c r="L266" s="21" t="str">
        <f aca="false">VLOOKUP(K266,clasif_filas!$A$2:$J$39,2,FALSE())</f>
        <v>Cuero y productos de cuero; calzado</v>
      </c>
      <c r="M266" s="21" t="n">
        <f aca="false">VLOOKUP(K266,clasif_filas!$A$2:$J$39,3,FALSE())</f>
        <v>29</v>
      </c>
      <c r="N266" s="21" t="str">
        <f aca="false">VLOOKUP(K266,clasif_filas!$A$2:$J$39,4,FALSE())</f>
        <v>Cuero y productos de cuero; calzado</v>
      </c>
      <c r="O266" s="21" t="n">
        <f aca="false">VLOOKUP(K266,clasif_filas!$A$2:$J$39,5,FALSE())</f>
        <v>6</v>
      </c>
      <c r="P266" s="21" t="str">
        <f aca="false">VLOOKUP(K266,clasif_filas!$A$2:$J$39,6,FALSE())</f>
        <v>Conocimiento, procesos y servicios relacionados</v>
      </c>
      <c r="Q266" s="21" t="n">
        <f aca="false">VLOOKUP(K266,clasif_filas!$A$2:$J$39,7,FALSE())</f>
        <v>2</v>
      </c>
      <c r="R266" s="21" t="str">
        <f aca="false">VLOOKUP(K266,clasif_filas!$A$2:$J$39,8,FALSE())</f>
        <v>Productos alimenticios, bebidas y tabaco; textiles, prendas de vestir y productos de cuero</v>
      </c>
      <c r="S266" s="21" t="n">
        <f aca="false">VLOOKUP(K266,clasif_filas!$A$2:$J$39,9,FALSE())</f>
        <v>2</v>
      </c>
      <c r="T266" s="61" t="str">
        <f aca="false">VLOOKUP(K266,clasif_filas!$A$2:$J$39,10,FALSE())</f>
        <v>Bioeconomía extendida</v>
      </c>
    </row>
    <row r="267" customFormat="false" ht="14.25" hidden="false" customHeight="false" outlineLevel="0" collapsed="false">
      <c r="A267" s="29" t="s">
        <v>537</v>
      </c>
      <c r="B267" s="67" t="s">
        <v>1836</v>
      </c>
      <c r="C267" s="58" t="str">
        <f aca="false">VLOOKUP(B267, AT_FILAS!$A$2:$C$8,2,FALSE())</f>
        <v>Consumo intermedio</v>
      </c>
      <c r="D267" s="58" t="n">
        <f aca="false">VLOOKUP(B267, AT_FILAS!$A$2:$C$8,3,FALSE())</f>
        <v>2</v>
      </c>
      <c r="E267" s="60" t="s">
        <v>2031</v>
      </c>
      <c r="F267" s="60" t="s">
        <v>2032</v>
      </c>
      <c r="G267" s="1" t="s">
        <v>2024</v>
      </c>
      <c r="H267" s="1" t="n">
        <v>2</v>
      </c>
      <c r="I267" s="1" t="s">
        <v>1963</v>
      </c>
      <c r="J267" s="1" t="s">
        <v>2024</v>
      </c>
      <c r="K267" s="21" t="n">
        <v>29</v>
      </c>
      <c r="L267" s="21" t="str">
        <f aca="false">VLOOKUP(K267,clasif_filas!$A$2:$J$39,2,FALSE())</f>
        <v>Cuero y productos de cuero; calzado</v>
      </c>
      <c r="M267" s="21" t="n">
        <f aca="false">VLOOKUP(K267,clasif_filas!$A$2:$J$39,3,FALSE())</f>
        <v>29</v>
      </c>
      <c r="N267" s="21" t="str">
        <f aca="false">VLOOKUP(K267,clasif_filas!$A$2:$J$39,4,FALSE())</f>
        <v>Cuero y productos de cuero; calzado</v>
      </c>
      <c r="O267" s="21" t="n">
        <f aca="false">VLOOKUP(K267,clasif_filas!$A$2:$J$39,5,FALSE())</f>
        <v>6</v>
      </c>
      <c r="P267" s="21" t="str">
        <f aca="false">VLOOKUP(K267,clasif_filas!$A$2:$J$39,6,FALSE())</f>
        <v>Conocimiento, procesos y servicios relacionados</v>
      </c>
      <c r="Q267" s="21" t="n">
        <f aca="false">VLOOKUP(K267,clasif_filas!$A$2:$J$39,7,FALSE())</f>
        <v>2</v>
      </c>
      <c r="R267" s="21" t="str">
        <f aca="false">VLOOKUP(K267,clasif_filas!$A$2:$J$39,8,FALSE())</f>
        <v>Productos alimenticios, bebidas y tabaco; textiles, prendas de vestir y productos de cuero</v>
      </c>
      <c r="S267" s="21" t="n">
        <f aca="false">VLOOKUP(K267,clasif_filas!$A$2:$J$39,9,FALSE())</f>
        <v>2</v>
      </c>
      <c r="T267" s="61" t="str">
        <f aca="false">VLOOKUP(K267,clasif_filas!$A$2:$J$39,10,FALSE())</f>
        <v>Bioeconomía extendida</v>
      </c>
    </row>
    <row r="268" customFormat="false" ht="14.25" hidden="false" customHeight="false" outlineLevel="0" collapsed="false">
      <c r="A268" s="29" t="s">
        <v>539</v>
      </c>
      <c r="B268" s="67" t="s">
        <v>1836</v>
      </c>
      <c r="C268" s="58" t="str">
        <f aca="false">VLOOKUP(B268, AT_FILAS!$A$2:$C$8,2,FALSE())</f>
        <v>Consumo intermedio</v>
      </c>
      <c r="D268" s="58" t="n">
        <f aca="false">VLOOKUP(B268, AT_FILAS!$A$2:$C$8,3,FALSE())</f>
        <v>2</v>
      </c>
      <c r="E268" s="60" t="s">
        <v>2033</v>
      </c>
      <c r="F268" s="60" t="s">
        <v>2034</v>
      </c>
      <c r="G268" s="1" t="s">
        <v>2024</v>
      </c>
      <c r="H268" s="1" t="n">
        <v>2</v>
      </c>
      <c r="I268" s="1" t="s">
        <v>1963</v>
      </c>
      <c r="J268" s="1" t="s">
        <v>2024</v>
      </c>
      <c r="K268" s="21" t="n">
        <v>29</v>
      </c>
      <c r="L268" s="21" t="str">
        <f aca="false">VLOOKUP(K268,clasif_filas!$A$2:$J$39,2,FALSE())</f>
        <v>Cuero y productos de cuero; calzado</v>
      </c>
      <c r="M268" s="21" t="n">
        <f aca="false">VLOOKUP(K268,clasif_filas!$A$2:$J$39,3,FALSE())</f>
        <v>29</v>
      </c>
      <c r="N268" s="21" t="str">
        <f aca="false">VLOOKUP(K268,clasif_filas!$A$2:$J$39,4,FALSE())</f>
        <v>Cuero y productos de cuero; calzado</v>
      </c>
      <c r="O268" s="21" t="n">
        <f aca="false">VLOOKUP(K268,clasif_filas!$A$2:$J$39,5,FALSE())</f>
        <v>6</v>
      </c>
      <c r="P268" s="21" t="str">
        <f aca="false">VLOOKUP(K268,clasif_filas!$A$2:$J$39,6,FALSE())</f>
        <v>Conocimiento, procesos y servicios relacionados</v>
      </c>
      <c r="Q268" s="21" t="n">
        <f aca="false">VLOOKUP(K268,clasif_filas!$A$2:$J$39,7,FALSE())</f>
        <v>2</v>
      </c>
      <c r="R268" s="21" t="str">
        <f aca="false">VLOOKUP(K268,clasif_filas!$A$2:$J$39,8,FALSE())</f>
        <v>Productos alimenticios, bebidas y tabaco; textiles, prendas de vestir y productos de cuero</v>
      </c>
      <c r="S268" s="21" t="n">
        <f aca="false">VLOOKUP(K268,clasif_filas!$A$2:$J$39,9,FALSE())</f>
        <v>2</v>
      </c>
      <c r="T268" s="61" t="str">
        <f aca="false">VLOOKUP(K268,clasif_filas!$A$2:$J$39,10,FALSE())</f>
        <v>Bioeconomía extendida</v>
      </c>
    </row>
    <row r="269" customFormat="false" ht="14.25" hidden="false" customHeight="false" outlineLevel="0" collapsed="false">
      <c r="A269" s="29" t="s">
        <v>541</v>
      </c>
      <c r="B269" s="67" t="s">
        <v>1836</v>
      </c>
      <c r="C269" s="58" t="str">
        <f aca="false">VLOOKUP(B269, AT_FILAS!$A$2:$C$8,2,FALSE())</f>
        <v>Consumo intermedio</v>
      </c>
      <c r="D269" s="58" t="n">
        <f aca="false">VLOOKUP(B269, AT_FILAS!$A$2:$C$8,3,FALSE())</f>
        <v>2</v>
      </c>
      <c r="E269" s="60" t="s">
        <v>2035</v>
      </c>
      <c r="F269" s="60" t="s">
        <v>2036</v>
      </c>
      <c r="G269" s="1" t="s">
        <v>2037</v>
      </c>
      <c r="H269" s="1" t="n">
        <v>2</v>
      </c>
      <c r="I269" s="1" t="s">
        <v>1963</v>
      </c>
      <c r="J269" s="1" t="s">
        <v>2037</v>
      </c>
      <c r="K269" s="21" t="n">
        <v>31</v>
      </c>
      <c r="L269" s="21" t="str">
        <f aca="false">VLOOKUP(K269,clasif_filas!$A$2:$J$39,2,FALSE())</f>
        <v>Productos de materiales de madera, corcho, cestería y espartería</v>
      </c>
      <c r="M269" s="21" t="n">
        <f aca="false">VLOOKUP(K269,clasif_filas!$A$2:$J$39,3,FALSE())</f>
        <v>31</v>
      </c>
      <c r="N269" s="21" t="str">
        <f aca="false">VLOOKUP(K269,clasif_filas!$A$2:$J$39,4,FALSE())</f>
        <v>Productos de materiales de madera, corcho, cestería y espartería</v>
      </c>
      <c r="O269" s="21" t="n">
        <f aca="false">VLOOKUP(K269,clasif_filas!$A$2:$J$39,5,FALSE())</f>
        <v>6</v>
      </c>
      <c r="P269" s="21" t="str">
        <f aca="false">VLOOKUP(K269,clasif_filas!$A$2:$J$39,6,FALSE())</f>
        <v>Conocimiento, procesos y servicios relacionados</v>
      </c>
      <c r="Q269" s="21" t="n">
        <f aca="false">VLOOKUP(K269,clasif_filas!$A$2:$J$39,7,FALSE())</f>
        <v>3</v>
      </c>
      <c r="R269" s="21" t="str">
        <f aca="false">VLOOKUP(K269,clasif_filas!$A$2:$J$39,8,FALSE())</f>
        <v>Otros bienes transportables, excepto productos metálicos, maquinaria y equipo</v>
      </c>
      <c r="S269" s="21" t="n">
        <f aca="false">VLOOKUP(K269,clasif_filas!$A$2:$J$39,9,FALSE())</f>
        <v>1</v>
      </c>
      <c r="T269" s="61" t="str">
        <f aca="false">VLOOKUP(K269,clasif_filas!$A$2:$J$39,10,FALSE())</f>
        <v>Bioeconomía</v>
      </c>
    </row>
    <row r="270" customFormat="false" ht="37.55" hidden="false" customHeight="false" outlineLevel="0" collapsed="false">
      <c r="A270" s="29" t="s">
        <v>543</v>
      </c>
      <c r="B270" s="67" t="s">
        <v>1836</v>
      </c>
      <c r="C270" s="58" t="str">
        <f aca="false">VLOOKUP(B270, AT_FILAS!$A$2:$C$8,2,FALSE())</f>
        <v>Consumo intermedio</v>
      </c>
      <c r="D270" s="58" t="n">
        <f aca="false">VLOOKUP(B270, AT_FILAS!$A$2:$C$8,3,FALSE())</f>
        <v>2</v>
      </c>
      <c r="E270" s="60" t="s">
        <v>2038</v>
      </c>
      <c r="F270" s="60" t="s">
        <v>2039</v>
      </c>
      <c r="G270" s="1" t="s">
        <v>2037</v>
      </c>
      <c r="H270" s="1" t="n">
        <v>2</v>
      </c>
      <c r="I270" s="1" t="s">
        <v>1963</v>
      </c>
      <c r="J270" s="1" t="s">
        <v>2037</v>
      </c>
      <c r="K270" s="21" t="n">
        <v>31</v>
      </c>
      <c r="L270" s="21" t="str">
        <f aca="false">VLOOKUP(K270,clasif_filas!$A$2:$J$39,2,FALSE())</f>
        <v>Productos de materiales de madera, corcho, cestería y espartería</v>
      </c>
      <c r="M270" s="21" t="n">
        <f aca="false">VLOOKUP(K270,clasif_filas!$A$2:$J$39,3,FALSE())</f>
        <v>31</v>
      </c>
      <c r="N270" s="21" t="str">
        <f aca="false">VLOOKUP(K270,clasif_filas!$A$2:$J$39,4,FALSE())</f>
        <v>Productos de materiales de madera, corcho, cestería y espartería</v>
      </c>
      <c r="O270" s="21" t="n">
        <f aca="false">VLOOKUP(K270,clasif_filas!$A$2:$J$39,5,FALSE())</f>
        <v>6</v>
      </c>
      <c r="P270" s="21" t="str">
        <f aca="false">VLOOKUP(K270,clasif_filas!$A$2:$J$39,6,FALSE())</f>
        <v>Conocimiento, procesos y servicios relacionados</v>
      </c>
      <c r="Q270" s="21" t="n">
        <f aca="false">VLOOKUP(K270,clasif_filas!$A$2:$J$39,7,FALSE())</f>
        <v>3</v>
      </c>
      <c r="R270" s="21" t="str">
        <f aca="false">VLOOKUP(K270,clasif_filas!$A$2:$J$39,8,FALSE())</f>
        <v>Otros bienes transportables, excepto productos metálicos, maquinaria y equipo</v>
      </c>
      <c r="S270" s="21" t="n">
        <f aca="false">VLOOKUP(K270,clasif_filas!$A$2:$J$39,9,FALSE())</f>
        <v>1</v>
      </c>
      <c r="T270" s="61" t="str">
        <f aca="false">VLOOKUP(K270,clasif_filas!$A$2:$J$39,10,FALSE())</f>
        <v>Bioeconomía</v>
      </c>
    </row>
    <row r="271" customFormat="false" ht="14.25" hidden="false" customHeight="false" outlineLevel="0" collapsed="false">
      <c r="A271" s="29" t="s">
        <v>545</v>
      </c>
      <c r="B271" s="67" t="s">
        <v>1836</v>
      </c>
      <c r="C271" s="58" t="str">
        <f aca="false">VLOOKUP(B271, AT_FILAS!$A$2:$C$8,2,FALSE())</f>
        <v>Consumo intermedio</v>
      </c>
      <c r="D271" s="58" t="n">
        <f aca="false">VLOOKUP(B271, AT_FILAS!$A$2:$C$8,3,FALSE())</f>
        <v>2</v>
      </c>
      <c r="E271" s="60" t="s">
        <v>2040</v>
      </c>
      <c r="F271" s="60" t="s">
        <v>2041</v>
      </c>
      <c r="G271" s="1" t="s">
        <v>2042</v>
      </c>
      <c r="H271" s="1" t="n">
        <v>2</v>
      </c>
      <c r="I271" s="1" t="s">
        <v>1963</v>
      </c>
      <c r="J271" s="1" t="s">
        <v>2042</v>
      </c>
      <c r="K271" s="21" t="n">
        <v>32</v>
      </c>
      <c r="L271" s="21" t="str">
        <f aca="false">VLOOKUP(K271,clasif_filas!$A$2:$J$39,2,FALSE())</f>
        <v>Pulpa de papel, papel y productos de papel; impresos, y artículos similares</v>
      </c>
      <c r="M271" s="21" t="n">
        <f aca="false">VLOOKUP(K271,clasif_filas!$A$2:$J$39,3,FALSE())</f>
        <v>32</v>
      </c>
      <c r="N271" s="21" t="str">
        <f aca="false">VLOOKUP(K271,clasif_filas!$A$2:$J$39,4,FALSE())</f>
        <v>Pulpa de papel, papel y productos de papel; impresos, y artículos similares</v>
      </c>
      <c r="O271" s="21" t="n">
        <f aca="false">VLOOKUP(K271,clasif_filas!$A$2:$J$39,5,FALSE())</f>
        <v>6</v>
      </c>
      <c r="P271" s="21" t="str">
        <f aca="false">VLOOKUP(K271,clasif_filas!$A$2:$J$39,6,FALSE())</f>
        <v>Conocimiento, procesos y servicios relacionados</v>
      </c>
      <c r="Q271" s="21" t="n">
        <f aca="false">VLOOKUP(K271,clasif_filas!$A$2:$J$39,7,FALSE())</f>
        <v>3</v>
      </c>
      <c r="R271" s="21" t="str">
        <f aca="false">VLOOKUP(K271,clasif_filas!$A$2:$J$39,8,FALSE())</f>
        <v>Otros bienes transportables, excepto productos metálicos, maquinaria y equipo</v>
      </c>
      <c r="S271" s="21" t="n">
        <f aca="false">VLOOKUP(K271,clasif_filas!$A$2:$J$39,9,FALSE())</f>
        <v>1</v>
      </c>
      <c r="T271" s="61" t="str">
        <f aca="false">VLOOKUP(K271,clasif_filas!$A$2:$J$39,10,FALSE())</f>
        <v>Bioeconomía</v>
      </c>
    </row>
    <row r="272" customFormat="false" ht="14.25" hidden="false" customHeight="false" outlineLevel="0" collapsed="false">
      <c r="A272" s="29" t="s">
        <v>547</v>
      </c>
      <c r="B272" s="67" t="s">
        <v>1836</v>
      </c>
      <c r="C272" s="58" t="str">
        <f aca="false">VLOOKUP(B272, AT_FILAS!$A$2:$C$8,2,FALSE())</f>
        <v>Consumo intermedio</v>
      </c>
      <c r="D272" s="58" t="n">
        <f aca="false">VLOOKUP(B272, AT_FILAS!$A$2:$C$8,3,FALSE())</f>
        <v>2</v>
      </c>
      <c r="E272" s="60" t="s">
        <v>2043</v>
      </c>
      <c r="F272" s="60" t="s">
        <v>2044</v>
      </c>
      <c r="G272" s="1" t="s">
        <v>2042</v>
      </c>
      <c r="H272" s="1" t="n">
        <v>2</v>
      </c>
      <c r="I272" s="1" t="s">
        <v>1963</v>
      </c>
      <c r="J272" s="1" t="s">
        <v>2042</v>
      </c>
      <c r="K272" s="21" t="n">
        <v>32</v>
      </c>
      <c r="L272" s="21" t="str">
        <f aca="false">VLOOKUP(K272,clasif_filas!$A$2:$J$39,2,FALSE())</f>
        <v>Pulpa de papel, papel y productos de papel; impresos, y artículos similares</v>
      </c>
      <c r="M272" s="21" t="n">
        <f aca="false">VLOOKUP(K272,clasif_filas!$A$2:$J$39,3,FALSE())</f>
        <v>32</v>
      </c>
      <c r="N272" s="21" t="str">
        <f aca="false">VLOOKUP(K272,clasif_filas!$A$2:$J$39,4,FALSE())</f>
        <v>Pulpa de papel, papel y productos de papel; impresos, y artículos similares</v>
      </c>
      <c r="O272" s="21" t="n">
        <f aca="false">VLOOKUP(K272,clasif_filas!$A$2:$J$39,5,FALSE())</f>
        <v>6</v>
      </c>
      <c r="P272" s="21" t="str">
        <f aca="false">VLOOKUP(K272,clasif_filas!$A$2:$J$39,6,FALSE())</f>
        <v>Conocimiento, procesos y servicios relacionados</v>
      </c>
      <c r="Q272" s="21" t="n">
        <f aca="false">VLOOKUP(K272,clasif_filas!$A$2:$J$39,7,FALSE())</f>
        <v>3</v>
      </c>
      <c r="R272" s="21" t="str">
        <f aca="false">VLOOKUP(K272,clasif_filas!$A$2:$J$39,8,FALSE())</f>
        <v>Otros bienes transportables, excepto productos metálicos, maquinaria y equipo</v>
      </c>
      <c r="S272" s="21" t="n">
        <f aca="false">VLOOKUP(K272,clasif_filas!$A$2:$J$39,9,FALSE())</f>
        <v>1</v>
      </c>
      <c r="T272" s="61" t="str">
        <f aca="false">VLOOKUP(K272,clasif_filas!$A$2:$J$39,10,FALSE())</f>
        <v>Bioeconomía</v>
      </c>
    </row>
    <row r="273" customFormat="false" ht="14.25" hidden="false" customHeight="false" outlineLevel="0" collapsed="false">
      <c r="A273" s="29" t="s">
        <v>549</v>
      </c>
      <c r="B273" s="67" t="s">
        <v>1836</v>
      </c>
      <c r="C273" s="58" t="str">
        <f aca="false">VLOOKUP(B273, AT_FILAS!$A$2:$C$8,2,FALSE())</f>
        <v>Consumo intermedio</v>
      </c>
      <c r="D273" s="58" t="n">
        <f aca="false">VLOOKUP(B273, AT_FILAS!$A$2:$C$8,3,FALSE())</f>
        <v>2</v>
      </c>
      <c r="E273" s="60" t="s">
        <v>2045</v>
      </c>
      <c r="F273" s="60" t="s">
        <v>2046</v>
      </c>
      <c r="G273" s="1" t="s">
        <v>2042</v>
      </c>
      <c r="H273" s="1" t="n">
        <v>2</v>
      </c>
      <c r="I273" s="1" t="s">
        <v>1963</v>
      </c>
      <c r="J273" s="1" t="s">
        <v>2042</v>
      </c>
      <c r="K273" s="21" t="n">
        <v>32</v>
      </c>
      <c r="L273" s="21" t="str">
        <f aca="false">VLOOKUP(K273,clasif_filas!$A$2:$J$39,2,FALSE())</f>
        <v>Pulpa de papel, papel y productos de papel; impresos, y artículos similares</v>
      </c>
      <c r="M273" s="21" t="n">
        <f aca="false">VLOOKUP(K273,clasif_filas!$A$2:$J$39,3,FALSE())</f>
        <v>32</v>
      </c>
      <c r="N273" s="21" t="str">
        <f aca="false">VLOOKUP(K273,clasif_filas!$A$2:$J$39,4,FALSE())</f>
        <v>Pulpa de papel, papel y productos de papel; impresos, y artículos similares</v>
      </c>
      <c r="O273" s="21" t="n">
        <f aca="false">VLOOKUP(K273,clasif_filas!$A$2:$J$39,5,FALSE())</f>
        <v>6</v>
      </c>
      <c r="P273" s="21" t="str">
        <f aca="false">VLOOKUP(K273,clasif_filas!$A$2:$J$39,6,FALSE())</f>
        <v>Conocimiento, procesos y servicios relacionados</v>
      </c>
      <c r="Q273" s="21" t="n">
        <f aca="false">VLOOKUP(K273,clasif_filas!$A$2:$J$39,7,FALSE())</f>
        <v>3</v>
      </c>
      <c r="R273" s="21" t="str">
        <f aca="false">VLOOKUP(K273,clasif_filas!$A$2:$J$39,8,FALSE())</f>
        <v>Otros bienes transportables, excepto productos metálicos, maquinaria y equipo</v>
      </c>
      <c r="S273" s="21" t="n">
        <f aca="false">VLOOKUP(K273,clasif_filas!$A$2:$J$39,9,FALSE())</f>
        <v>1</v>
      </c>
      <c r="T273" s="61" t="str">
        <f aca="false">VLOOKUP(K273,clasif_filas!$A$2:$J$39,10,FALSE())</f>
        <v>Bioeconomía</v>
      </c>
    </row>
    <row r="274" customFormat="false" ht="14.25" hidden="false" customHeight="false" outlineLevel="0" collapsed="false">
      <c r="A274" s="29" t="s">
        <v>551</v>
      </c>
      <c r="B274" s="67" t="s">
        <v>1836</v>
      </c>
      <c r="C274" s="58" t="str">
        <f aca="false">VLOOKUP(B274, AT_FILAS!$A$2:$C$8,2,FALSE())</f>
        <v>Consumo intermedio</v>
      </c>
      <c r="D274" s="58" t="n">
        <f aca="false">VLOOKUP(B274, AT_FILAS!$A$2:$C$8,3,FALSE())</f>
        <v>2</v>
      </c>
      <c r="E274" s="60" t="s">
        <v>2047</v>
      </c>
      <c r="F274" s="60" t="s">
        <v>2048</v>
      </c>
      <c r="G274" s="1" t="s">
        <v>1602</v>
      </c>
      <c r="H274" s="1" t="n">
        <v>4</v>
      </c>
      <c r="I274" s="1" t="s">
        <v>1602</v>
      </c>
      <c r="J274" s="1" t="s">
        <v>1602</v>
      </c>
      <c r="K274" s="21" t="n">
        <v>342</v>
      </c>
      <c r="L274" s="21" t="str">
        <f aca="false">VLOOKUP(K274,clasif_filas!$A$2:$J$39,2,FALSE())</f>
        <v>Otros químicos, plásticos, caucho y fibras sintéticas</v>
      </c>
      <c r="M274" s="21" t="n">
        <f aca="false">VLOOKUP(K274,clasif_filas!$A$2:$J$39,3,FALSE())</f>
        <v>34</v>
      </c>
      <c r="N274" s="21" t="str">
        <f aca="false">VLOOKUP(K274,clasif_filas!$A$2:$J$39,4,FALSE())</f>
        <v>Químicos básicos</v>
      </c>
      <c r="O274" s="21" t="n">
        <f aca="false">VLOOKUP(K274,clasif_filas!$A$2:$J$39,5,FALSE())</f>
        <v>99</v>
      </c>
      <c r="P274" s="21" t="str">
        <f aca="false">VLOOKUP(K274,clasif_filas!$A$2:$J$39,6,FALSE())</f>
        <v>No Bioeconomía</v>
      </c>
      <c r="Q274" s="21" t="n">
        <f aca="false">VLOOKUP(K274,clasif_filas!$A$2:$J$39,7,FALSE())</f>
        <v>3</v>
      </c>
      <c r="R274" s="21" t="str">
        <f aca="false">VLOOKUP(K274,clasif_filas!$A$2:$J$39,8,FALSE())</f>
        <v>Otros bienes transportables, excepto productos metálicos, maquinaria y equipo</v>
      </c>
      <c r="S274" s="21" t="n">
        <f aca="false">VLOOKUP(K274,clasif_filas!$A$2:$J$39,9,FALSE())</f>
        <v>3</v>
      </c>
      <c r="T274" s="61" t="str">
        <f aca="false">VLOOKUP(K274,clasif_filas!$A$2:$J$39,10,FALSE())</f>
        <v>No bioeconomía</v>
      </c>
    </row>
    <row r="275" customFormat="false" ht="14.25" hidden="false" customHeight="false" outlineLevel="0" collapsed="false">
      <c r="A275" s="29" t="s">
        <v>553</v>
      </c>
      <c r="B275" s="67" t="s">
        <v>1836</v>
      </c>
      <c r="C275" s="58" t="str">
        <f aca="false">VLOOKUP(B275, AT_FILAS!$A$2:$C$8,2,FALSE())</f>
        <v>Consumo intermedio</v>
      </c>
      <c r="D275" s="58" t="n">
        <f aca="false">VLOOKUP(B275, AT_FILAS!$A$2:$C$8,3,FALSE())</f>
        <v>2</v>
      </c>
      <c r="E275" s="60" t="s">
        <v>2049</v>
      </c>
      <c r="F275" s="60" t="s">
        <v>2050</v>
      </c>
      <c r="G275" s="1" t="s">
        <v>1602</v>
      </c>
      <c r="H275" s="1" t="n">
        <v>4</v>
      </c>
      <c r="I275" s="1" t="s">
        <v>1602</v>
      </c>
      <c r="J275" s="1" t="s">
        <v>1602</v>
      </c>
      <c r="K275" s="21" t="n">
        <v>342</v>
      </c>
      <c r="L275" s="21" t="str">
        <f aca="false">VLOOKUP(K275,clasif_filas!$A$2:$J$39,2,FALSE())</f>
        <v>Otros químicos, plásticos, caucho y fibras sintéticas</v>
      </c>
      <c r="M275" s="21" t="n">
        <f aca="false">VLOOKUP(K275,clasif_filas!$A$2:$J$39,3,FALSE())</f>
        <v>34</v>
      </c>
      <c r="N275" s="21" t="str">
        <f aca="false">VLOOKUP(K275,clasif_filas!$A$2:$J$39,4,FALSE())</f>
        <v>Químicos básicos</v>
      </c>
      <c r="O275" s="21" t="n">
        <f aca="false">VLOOKUP(K275,clasif_filas!$A$2:$J$39,5,FALSE())</f>
        <v>99</v>
      </c>
      <c r="P275" s="21" t="str">
        <f aca="false">VLOOKUP(K275,clasif_filas!$A$2:$J$39,6,FALSE())</f>
        <v>No Bioeconomía</v>
      </c>
      <c r="Q275" s="21" t="n">
        <f aca="false">VLOOKUP(K275,clasif_filas!$A$2:$J$39,7,FALSE())</f>
        <v>3</v>
      </c>
      <c r="R275" s="21" t="str">
        <f aca="false">VLOOKUP(K275,clasif_filas!$A$2:$J$39,8,FALSE())</f>
        <v>Otros bienes transportables, excepto productos metálicos, maquinaria y equipo</v>
      </c>
      <c r="S275" s="21" t="n">
        <f aca="false">VLOOKUP(K275,clasif_filas!$A$2:$J$39,9,FALSE())</f>
        <v>3</v>
      </c>
      <c r="T275" s="61" t="str">
        <f aca="false">VLOOKUP(K275,clasif_filas!$A$2:$J$39,10,FALSE())</f>
        <v>No bioeconomía</v>
      </c>
    </row>
    <row r="276" customFormat="false" ht="14.25" hidden="false" customHeight="false" outlineLevel="0" collapsed="false">
      <c r="A276" s="29" t="s">
        <v>555</v>
      </c>
      <c r="B276" s="67" t="s">
        <v>1836</v>
      </c>
      <c r="C276" s="58" t="str">
        <f aca="false">VLOOKUP(B276, AT_FILAS!$A$2:$C$8,2,FALSE())</f>
        <v>Consumo intermedio</v>
      </c>
      <c r="D276" s="58" t="n">
        <f aca="false">VLOOKUP(B276, AT_FILAS!$A$2:$C$8,3,FALSE())</f>
        <v>2</v>
      </c>
      <c r="E276" s="60" t="s">
        <v>2051</v>
      </c>
      <c r="F276" s="60" t="s">
        <v>2052</v>
      </c>
      <c r="G276" s="1" t="s">
        <v>1602</v>
      </c>
      <c r="H276" s="1" t="n">
        <v>4</v>
      </c>
      <c r="I276" s="1" t="s">
        <v>1602</v>
      </c>
      <c r="J276" s="1" t="s">
        <v>1602</v>
      </c>
      <c r="K276" s="21" t="n">
        <v>342</v>
      </c>
      <c r="L276" s="21" t="str">
        <f aca="false">VLOOKUP(K276,clasif_filas!$A$2:$J$39,2,FALSE())</f>
        <v>Otros químicos, plásticos, caucho y fibras sintéticas</v>
      </c>
      <c r="M276" s="21" t="n">
        <f aca="false">VLOOKUP(K276,clasif_filas!$A$2:$J$39,3,FALSE())</f>
        <v>34</v>
      </c>
      <c r="N276" s="21" t="str">
        <f aca="false">VLOOKUP(K276,clasif_filas!$A$2:$J$39,4,FALSE())</f>
        <v>Químicos básicos</v>
      </c>
      <c r="O276" s="21" t="n">
        <f aca="false">VLOOKUP(K276,clasif_filas!$A$2:$J$39,5,FALSE())</f>
        <v>99</v>
      </c>
      <c r="P276" s="21" t="str">
        <f aca="false">VLOOKUP(K276,clasif_filas!$A$2:$J$39,6,FALSE())</f>
        <v>No Bioeconomía</v>
      </c>
      <c r="Q276" s="21" t="n">
        <f aca="false">VLOOKUP(K276,clasif_filas!$A$2:$J$39,7,FALSE())</f>
        <v>3</v>
      </c>
      <c r="R276" s="21" t="str">
        <f aca="false">VLOOKUP(K276,clasif_filas!$A$2:$J$39,8,FALSE())</f>
        <v>Otros bienes transportables, excepto productos metálicos, maquinaria y equipo</v>
      </c>
      <c r="S276" s="21" t="n">
        <f aca="false">VLOOKUP(K276,clasif_filas!$A$2:$J$39,9,FALSE())</f>
        <v>3</v>
      </c>
      <c r="T276" s="61" t="str">
        <f aca="false">VLOOKUP(K276,clasif_filas!$A$2:$J$39,10,FALSE())</f>
        <v>No bioeconomía</v>
      </c>
    </row>
    <row r="277" customFormat="false" ht="25.55" hidden="false" customHeight="false" outlineLevel="0" collapsed="false">
      <c r="A277" s="29" t="s">
        <v>557</v>
      </c>
      <c r="B277" s="67" t="s">
        <v>1836</v>
      </c>
      <c r="C277" s="58" t="str">
        <f aca="false">VLOOKUP(B277, AT_FILAS!$A$2:$C$8,2,FALSE())</f>
        <v>Consumo intermedio</v>
      </c>
      <c r="D277" s="58" t="n">
        <f aca="false">VLOOKUP(B277, AT_FILAS!$A$2:$C$8,3,FALSE())</f>
        <v>2</v>
      </c>
      <c r="E277" s="60" t="s">
        <v>2053</v>
      </c>
      <c r="F277" s="60" t="s">
        <v>2054</v>
      </c>
      <c r="G277" s="1" t="s">
        <v>1602</v>
      </c>
      <c r="H277" s="1" t="n">
        <v>4</v>
      </c>
      <c r="I277" s="1" t="s">
        <v>1602</v>
      </c>
      <c r="J277" s="1" t="s">
        <v>1602</v>
      </c>
      <c r="K277" s="21" t="n">
        <v>342</v>
      </c>
      <c r="L277" s="21" t="str">
        <f aca="false">VLOOKUP(K277,clasif_filas!$A$2:$J$39,2,FALSE())</f>
        <v>Otros químicos, plásticos, caucho y fibras sintéticas</v>
      </c>
      <c r="M277" s="21" t="n">
        <f aca="false">VLOOKUP(K277,clasif_filas!$A$2:$J$39,3,FALSE())</f>
        <v>34</v>
      </c>
      <c r="N277" s="21" t="str">
        <f aca="false">VLOOKUP(K277,clasif_filas!$A$2:$J$39,4,FALSE())</f>
        <v>Químicos básicos</v>
      </c>
      <c r="O277" s="21" t="n">
        <f aca="false">VLOOKUP(K277,clasif_filas!$A$2:$J$39,5,FALSE())</f>
        <v>99</v>
      </c>
      <c r="P277" s="21" t="str">
        <f aca="false">VLOOKUP(K277,clasif_filas!$A$2:$J$39,6,FALSE())</f>
        <v>No Bioeconomía</v>
      </c>
      <c r="Q277" s="21" t="n">
        <f aca="false">VLOOKUP(K277,clasif_filas!$A$2:$J$39,7,FALSE())</f>
        <v>3</v>
      </c>
      <c r="R277" s="21" t="str">
        <f aca="false">VLOOKUP(K277,clasif_filas!$A$2:$J$39,8,FALSE())</f>
        <v>Otros bienes transportables, excepto productos metálicos, maquinaria y equipo</v>
      </c>
      <c r="S277" s="21" t="n">
        <f aca="false">VLOOKUP(K277,clasif_filas!$A$2:$J$39,9,FALSE())</f>
        <v>3</v>
      </c>
      <c r="T277" s="61" t="str">
        <f aca="false">VLOOKUP(K277,clasif_filas!$A$2:$J$39,10,FALSE())</f>
        <v>No bioeconomía</v>
      </c>
    </row>
    <row r="278" customFormat="false" ht="25.55" hidden="false" customHeight="false" outlineLevel="0" collapsed="false">
      <c r="A278" s="29" t="s">
        <v>559</v>
      </c>
      <c r="B278" s="67" t="s">
        <v>1836</v>
      </c>
      <c r="C278" s="58" t="str">
        <f aca="false">VLOOKUP(B278, AT_FILAS!$A$2:$C$8,2,FALSE())</f>
        <v>Consumo intermedio</v>
      </c>
      <c r="D278" s="58" t="n">
        <f aca="false">VLOOKUP(B278, AT_FILAS!$A$2:$C$8,3,FALSE())</f>
        <v>2</v>
      </c>
      <c r="E278" s="60" t="s">
        <v>2055</v>
      </c>
      <c r="F278" s="60" t="s">
        <v>2056</v>
      </c>
      <c r="G278" s="1" t="s">
        <v>1602</v>
      </c>
      <c r="H278" s="1" t="n">
        <v>4</v>
      </c>
      <c r="I278" s="1" t="s">
        <v>1602</v>
      </c>
      <c r="J278" s="1" t="s">
        <v>1602</v>
      </c>
      <c r="K278" s="21" t="n">
        <v>342</v>
      </c>
      <c r="L278" s="21" t="str">
        <f aca="false">VLOOKUP(K278,clasif_filas!$A$2:$J$39,2,FALSE())</f>
        <v>Otros químicos, plásticos, caucho y fibras sintéticas</v>
      </c>
      <c r="M278" s="21" t="n">
        <f aca="false">VLOOKUP(K278,clasif_filas!$A$2:$J$39,3,FALSE())</f>
        <v>34</v>
      </c>
      <c r="N278" s="21" t="str">
        <f aca="false">VLOOKUP(K278,clasif_filas!$A$2:$J$39,4,FALSE())</f>
        <v>Químicos básicos</v>
      </c>
      <c r="O278" s="21" t="n">
        <f aca="false">VLOOKUP(K278,clasif_filas!$A$2:$J$39,5,FALSE())</f>
        <v>99</v>
      </c>
      <c r="P278" s="21" t="str">
        <f aca="false">VLOOKUP(K278,clasif_filas!$A$2:$J$39,6,FALSE())</f>
        <v>No Bioeconomía</v>
      </c>
      <c r="Q278" s="21" t="n">
        <f aca="false">VLOOKUP(K278,clasif_filas!$A$2:$J$39,7,FALSE())</f>
        <v>3</v>
      </c>
      <c r="R278" s="21" t="str">
        <f aca="false">VLOOKUP(K278,clasif_filas!$A$2:$J$39,8,FALSE())</f>
        <v>Otros bienes transportables, excepto productos metálicos, maquinaria y equipo</v>
      </c>
      <c r="S278" s="21" t="n">
        <f aca="false">VLOOKUP(K278,clasif_filas!$A$2:$J$39,9,FALSE())</f>
        <v>3</v>
      </c>
      <c r="T278" s="61" t="str">
        <f aca="false">VLOOKUP(K278,clasif_filas!$A$2:$J$39,10,FALSE())</f>
        <v>No bioeconomía</v>
      </c>
    </row>
    <row r="279" customFormat="false" ht="14.25" hidden="false" customHeight="false" outlineLevel="0" collapsed="false">
      <c r="A279" s="29" t="s">
        <v>561</v>
      </c>
      <c r="B279" s="67" t="s">
        <v>1836</v>
      </c>
      <c r="C279" s="58" t="str">
        <f aca="false">VLOOKUP(B279, AT_FILAS!$A$2:$C$8,2,FALSE())</f>
        <v>Consumo intermedio</v>
      </c>
      <c r="D279" s="58" t="n">
        <f aca="false">VLOOKUP(B279, AT_FILAS!$A$2:$C$8,3,FALSE())</f>
        <v>2</v>
      </c>
      <c r="E279" s="60" t="s">
        <v>2057</v>
      </c>
      <c r="F279" s="60" t="s">
        <v>2058</v>
      </c>
      <c r="G279" s="1" t="s">
        <v>1602</v>
      </c>
      <c r="H279" s="1" t="n">
        <v>4</v>
      </c>
      <c r="I279" s="1" t="s">
        <v>1602</v>
      </c>
      <c r="J279" s="1" t="s">
        <v>1602</v>
      </c>
      <c r="K279" s="21" t="n">
        <v>342</v>
      </c>
      <c r="L279" s="21" t="str">
        <f aca="false">VLOOKUP(K279,clasif_filas!$A$2:$J$39,2,FALSE())</f>
        <v>Otros químicos, plásticos, caucho y fibras sintéticas</v>
      </c>
      <c r="M279" s="21" t="n">
        <f aca="false">VLOOKUP(K279,clasif_filas!$A$2:$J$39,3,FALSE())</f>
        <v>34</v>
      </c>
      <c r="N279" s="21" t="str">
        <f aca="false">VLOOKUP(K279,clasif_filas!$A$2:$J$39,4,FALSE())</f>
        <v>Químicos básicos</v>
      </c>
      <c r="O279" s="21" t="n">
        <f aca="false">VLOOKUP(K279,clasif_filas!$A$2:$J$39,5,FALSE())</f>
        <v>99</v>
      </c>
      <c r="P279" s="21" t="str">
        <f aca="false">VLOOKUP(K279,clasif_filas!$A$2:$J$39,6,FALSE())</f>
        <v>No Bioeconomía</v>
      </c>
      <c r="Q279" s="21" t="n">
        <f aca="false">VLOOKUP(K279,clasif_filas!$A$2:$J$39,7,FALSE())</f>
        <v>3</v>
      </c>
      <c r="R279" s="21" t="str">
        <f aca="false">VLOOKUP(K279,clasif_filas!$A$2:$J$39,8,FALSE())</f>
        <v>Otros bienes transportables, excepto productos metálicos, maquinaria y equipo</v>
      </c>
      <c r="S279" s="21" t="n">
        <f aca="false">VLOOKUP(K279,clasif_filas!$A$2:$J$39,9,FALSE())</f>
        <v>3</v>
      </c>
      <c r="T279" s="61" t="str">
        <f aca="false">VLOOKUP(K279,clasif_filas!$A$2:$J$39,10,FALSE())</f>
        <v>No bioeconomía</v>
      </c>
    </row>
    <row r="280" customFormat="false" ht="25.55" hidden="false" customHeight="false" outlineLevel="0" collapsed="false">
      <c r="A280" s="29" t="s">
        <v>563</v>
      </c>
      <c r="B280" s="67" t="s">
        <v>1836</v>
      </c>
      <c r="C280" s="58" t="str">
        <f aca="false">VLOOKUP(B280, AT_FILAS!$A$2:$C$8,2,FALSE())</f>
        <v>Consumo intermedio</v>
      </c>
      <c r="D280" s="58" t="n">
        <f aca="false">VLOOKUP(B280, AT_FILAS!$A$2:$C$8,3,FALSE())</f>
        <v>2</v>
      </c>
      <c r="E280" s="60" t="s">
        <v>2059</v>
      </c>
      <c r="F280" s="60" t="s">
        <v>2060</v>
      </c>
      <c r="G280" s="1" t="s">
        <v>1602</v>
      </c>
      <c r="H280" s="1" t="n">
        <v>4</v>
      </c>
      <c r="I280" s="1" t="s">
        <v>1602</v>
      </c>
      <c r="J280" s="1" t="s">
        <v>1602</v>
      </c>
      <c r="K280" s="21" t="n">
        <v>342</v>
      </c>
      <c r="L280" s="21" t="str">
        <f aca="false">VLOOKUP(K280,clasif_filas!$A$2:$J$39,2,FALSE())</f>
        <v>Otros químicos, plásticos, caucho y fibras sintéticas</v>
      </c>
      <c r="M280" s="21" t="n">
        <f aca="false">VLOOKUP(K280,clasif_filas!$A$2:$J$39,3,FALSE())</f>
        <v>34</v>
      </c>
      <c r="N280" s="21" t="str">
        <f aca="false">VLOOKUP(K280,clasif_filas!$A$2:$J$39,4,FALSE())</f>
        <v>Químicos básicos</v>
      </c>
      <c r="O280" s="21" t="n">
        <f aca="false">VLOOKUP(K280,clasif_filas!$A$2:$J$39,5,FALSE())</f>
        <v>99</v>
      </c>
      <c r="P280" s="21" t="str">
        <f aca="false">VLOOKUP(K280,clasif_filas!$A$2:$J$39,6,FALSE())</f>
        <v>No Bioeconomía</v>
      </c>
      <c r="Q280" s="21" t="n">
        <f aca="false">VLOOKUP(K280,clasif_filas!$A$2:$J$39,7,FALSE())</f>
        <v>3</v>
      </c>
      <c r="R280" s="21" t="str">
        <f aca="false">VLOOKUP(K280,clasif_filas!$A$2:$J$39,8,FALSE())</f>
        <v>Otros bienes transportables, excepto productos metálicos, maquinaria y equipo</v>
      </c>
      <c r="S280" s="21" t="n">
        <f aca="false">VLOOKUP(K280,clasif_filas!$A$2:$J$39,9,FALSE())</f>
        <v>3</v>
      </c>
      <c r="T280" s="61" t="str">
        <f aca="false">VLOOKUP(K280,clasif_filas!$A$2:$J$39,10,FALSE())</f>
        <v>No bioeconomía</v>
      </c>
    </row>
    <row r="281" customFormat="false" ht="14.25" hidden="false" customHeight="false" outlineLevel="0" collapsed="false">
      <c r="A281" s="29" t="s">
        <v>565</v>
      </c>
      <c r="B281" s="67" t="s">
        <v>1836</v>
      </c>
      <c r="C281" s="58" t="str">
        <f aca="false">VLOOKUP(B281, AT_FILAS!$A$2:$C$8,2,FALSE())</f>
        <v>Consumo intermedio</v>
      </c>
      <c r="D281" s="58" t="n">
        <f aca="false">VLOOKUP(B281, AT_FILAS!$A$2:$C$8,3,FALSE())</f>
        <v>2</v>
      </c>
      <c r="E281" s="60" t="s">
        <v>2061</v>
      </c>
      <c r="F281" s="60" t="s">
        <v>2062</v>
      </c>
      <c r="G281" s="1" t="s">
        <v>1602</v>
      </c>
      <c r="H281" s="1" t="n">
        <v>4</v>
      </c>
      <c r="I281" s="1" t="s">
        <v>1602</v>
      </c>
      <c r="J281" s="1" t="s">
        <v>1602</v>
      </c>
      <c r="K281" s="21" t="n">
        <v>342</v>
      </c>
      <c r="L281" s="21" t="str">
        <f aca="false">VLOOKUP(K281,clasif_filas!$A$2:$J$39,2,FALSE())</f>
        <v>Otros químicos, plásticos, caucho y fibras sintéticas</v>
      </c>
      <c r="M281" s="21" t="n">
        <f aca="false">VLOOKUP(K281,clasif_filas!$A$2:$J$39,3,FALSE())</f>
        <v>34</v>
      </c>
      <c r="N281" s="21" t="str">
        <f aca="false">VLOOKUP(K281,clasif_filas!$A$2:$J$39,4,FALSE())</f>
        <v>Químicos básicos</v>
      </c>
      <c r="O281" s="21" t="n">
        <f aca="false">VLOOKUP(K281,clasif_filas!$A$2:$J$39,5,FALSE())</f>
        <v>99</v>
      </c>
      <c r="P281" s="21" t="str">
        <f aca="false">VLOOKUP(K281,clasif_filas!$A$2:$J$39,6,FALSE())</f>
        <v>No Bioeconomía</v>
      </c>
      <c r="Q281" s="21" t="n">
        <f aca="false">VLOOKUP(K281,clasif_filas!$A$2:$J$39,7,FALSE())</f>
        <v>3</v>
      </c>
      <c r="R281" s="21" t="str">
        <f aca="false">VLOOKUP(K281,clasif_filas!$A$2:$J$39,8,FALSE())</f>
        <v>Otros bienes transportables, excepto productos metálicos, maquinaria y equipo</v>
      </c>
      <c r="S281" s="21" t="n">
        <f aca="false">VLOOKUP(K281,clasif_filas!$A$2:$J$39,9,FALSE())</f>
        <v>3</v>
      </c>
      <c r="T281" s="61" t="str">
        <f aca="false">VLOOKUP(K281,clasif_filas!$A$2:$J$39,10,FALSE())</f>
        <v>No bioeconomía</v>
      </c>
    </row>
    <row r="282" customFormat="false" ht="14.25" hidden="false" customHeight="false" outlineLevel="0" collapsed="false">
      <c r="A282" s="29" t="s">
        <v>567</v>
      </c>
      <c r="B282" s="67" t="s">
        <v>1836</v>
      </c>
      <c r="C282" s="58" t="str">
        <f aca="false">VLOOKUP(B282, AT_FILAS!$A$2:$C$8,2,FALSE())</f>
        <v>Consumo intermedio</v>
      </c>
      <c r="D282" s="58" t="n">
        <f aca="false">VLOOKUP(B282, AT_FILAS!$A$2:$C$8,3,FALSE())</f>
        <v>2</v>
      </c>
      <c r="E282" s="60" t="s">
        <v>2063</v>
      </c>
      <c r="F282" s="60" t="s">
        <v>2064</v>
      </c>
      <c r="G282" s="1" t="s">
        <v>2065</v>
      </c>
      <c r="H282" s="1" t="n">
        <v>3</v>
      </c>
      <c r="I282" s="1" t="s">
        <v>1937</v>
      </c>
      <c r="J282" s="1" t="s">
        <v>2065</v>
      </c>
      <c r="K282" s="21" t="n">
        <v>346</v>
      </c>
      <c r="L282" s="21" t="str">
        <f aca="false">VLOOKUP(K282,clasif_filas!$A$2:$J$39,2,FALSE())</f>
        <v>Fertilizantes y pesticidas</v>
      </c>
      <c r="M282" s="21" t="n">
        <f aca="false">VLOOKUP(K282,clasif_filas!$A$2:$J$39,3,FALSE())</f>
        <v>34</v>
      </c>
      <c r="N282" s="21" t="str">
        <f aca="false">VLOOKUP(K282,clasif_filas!$A$2:$J$39,4,FALSE())</f>
        <v>Químicos básicos</v>
      </c>
      <c r="O282" s="21" t="n">
        <f aca="false">VLOOKUP(K282,clasif_filas!$A$2:$J$39,5,FALSE())</f>
        <v>6</v>
      </c>
      <c r="P282" s="21" t="str">
        <f aca="false">VLOOKUP(K282,clasif_filas!$A$2:$J$39,6,FALSE())</f>
        <v>Conocimiento, procesos y servicios relacionados</v>
      </c>
      <c r="Q282" s="21" t="n">
        <f aca="false">VLOOKUP(K282,clasif_filas!$A$2:$J$39,7,FALSE())</f>
        <v>3</v>
      </c>
      <c r="R282" s="21" t="str">
        <f aca="false">VLOOKUP(K282,clasif_filas!$A$2:$J$39,8,FALSE())</f>
        <v>Otros bienes transportables, excepto productos metálicos, maquinaria y equipo</v>
      </c>
      <c r="S282" s="21" t="n">
        <f aca="false">VLOOKUP(K282,clasif_filas!$A$2:$J$39,9,FALSE())</f>
        <v>2</v>
      </c>
      <c r="T282" s="61" t="str">
        <f aca="false">VLOOKUP(K282,clasif_filas!$A$2:$J$39,10,FALSE())</f>
        <v>Bioeconomía extendida</v>
      </c>
    </row>
    <row r="283" customFormat="false" ht="25.55" hidden="false" customHeight="false" outlineLevel="0" collapsed="false">
      <c r="A283" s="29" t="s">
        <v>569</v>
      </c>
      <c r="B283" s="67" t="s">
        <v>1836</v>
      </c>
      <c r="C283" s="58" t="str">
        <f aca="false">VLOOKUP(B283, AT_FILAS!$A$2:$C$8,2,FALSE())</f>
        <v>Consumo intermedio</v>
      </c>
      <c r="D283" s="58" t="n">
        <f aca="false">VLOOKUP(B283, AT_FILAS!$A$2:$C$8,3,FALSE())</f>
        <v>2</v>
      </c>
      <c r="E283" s="60" t="s">
        <v>2066</v>
      </c>
      <c r="F283" s="60" t="s">
        <v>2067</v>
      </c>
      <c r="G283" s="1" t="s">
        <v>1602</v>
      </c>
      <c r="H283" s="1" t="n">
        <v>4</v>
      </c>
      <c r="I283" s="1" t="s">
        <v>1602</v>
      </c>
      <c r="J283" s="1" t="s">
        <v>1602</v>
      </c>
      <c r="K283" s="21" t="n">
        <v>342</v>
      </c>
      <c r="L283" s="21" t="str">
        <f aca="false">VLOOKUP(K283,clasif_filas!$A$2:$J$39,2,FALSE())</f>
        <v>Otros químicos, plásticos, caucho y fibras sintéticas</v>
      </c>
      <c r="M283" s="21" t="n">
        <f aca="false">VLOOKUP(K283,clasif_filas!$A$2:$J$39,3,FALSE())</f>
        <v>34</v>
      </c>
      <c r="N283" s="21" t="str">
        <f aca="false">VLOOKUP(K283,clasif_filas!$A$2:$J$39,4,FALSE())</f>
        <v>Químicos básicos</v>
      </c>
      <c r="O283" s="21" t="n">
        <f aca="false">VLOOKUP(K283,clasif_filas!$A$2:$J$39,5,FALSE())</f>
        <v>99</v>
      </c>
      <c r="P283" s="21" t="str">
        <f aca="false">VLOOKUP(K283,clasif_filas!$A$2:$J$39,6,FALSE())</f>
        <v>No Bioeconomía</v>
      </c>
      <c r="Q283" s="21" t="n">
        <f aca="false">VLOOKUP(K283,clasif_filas!$A$2:$J$39,7,FALSE())</f>
        <v>3</v>
      </c>
      <c r="R283" s="21" t="str">
        <f aca="false">VLOOKUP(K283,clasif_filas!$A$2:$J$39,8,FALSE())</f>
        <v>Otros bienes transportables, excepto productos metálicos, maquinaria y equipo</v>
      </c>
      <c r="S283" s="21" t="n">
        <f aca="false">VLOOKUP(K283,clasif_filas!$A$2:$J$39,9,FALSE())</f>
        <v>3</v>
      </c>
      <c r="T283" s="61" t="str">
        <f aca="false">VLOOKUP(K283,clasif_filas!$A$2:$J$39,10,FALSE())</f>
        <v>No bioeconomía</v>
      </c>
    </row>
    <row r="284" customFormat="false" ht="25.55" hidden="false" customHeight="false" outlineLevel="0" collapsed="false">
      <c r="A284" s="29" t="s">
        <v>571</v>
      </c>
      <c r="B284" s="67" t="s">
        <v>1836</v>
      </c>
      <c r="C284" s="58" t="str">
        <f aca="false">VLOOKUP(B284, AT_FILAS!$A$2:$C$8,2,FALSE())</f>
        <v>Consumo intermedio</v>
      </c>
      <c r="D284" s="58" t="n">
        <f aca="false">VLOOKUP(B284, AT_FILAS!$A$2:$C$8,3,FALSE())</f>
        <v>2</v>
      </c>
      <c r="E284" s="60" t="s">
        <v>2068</v>
      </c>
      <c r="F284" s="60" t="s">
        <v>2069</v>
      </c>
      <c r="G284" s="17" t="s">
        <v>2070</v>
      </c>
      <c r="H284" s="1" t="n">
        <v>3</v>
      </c>
      <c r="I284" s="1" t="s">
        <v>1937</v>
      </c>
      <c r="J284" s="17" t="s">
        <v>2070</v>
      </c>
      <c r="K284" s="21" t="n">
        <v>351</v>
      </c>
      <c r="L284" s="21" t="str">
        <f aca="false">VLOOKUP(K284,clasif_filas!$A$2:$J$39,2,FALSE())</f>
        <v>Pinturas y barnices y productos relacionados; colores para la pintura artística; tinta</v>
      </c>
      <c r="M284" s="21" t="n">
        <f aca="false">VLOOKUP(K284,clasif_filas!$A$2:$J$39,3,FALSE())</f>
        <v>35</v>
      </c>
      <c r="N284" s="21" t="str">
        <f aca="false">VLOOKUP(K284,clasif_filas!$A$2:$J$39,4,FALSE())</f>
        <v>Otros productos químicos; Fibras textiles artificiales o sintéticas</v>
      </c>
      <c r="O284" s="21" t="n">
        <f aca="false">VLOOKUP(K284,clasif_filas!$A$2:$J$39,5,FALSE())</f>
        <v>6</v>
      </c>
      <c r="P284" s="21" t="str">
        <f aca="false">VLOOKUP(K284,clasif_filas!$A$2:$J$39,6,FALSE())</f>
        <v>Conocimiento, procesos y servicios relacionados</v>
      </c>
      <c r="Q284" s="21" t="n">
        <f aca="false">VLOOKUP(K284,clasif_filas!$A$2:$J$39,7,FALSE())</f>
        <v>3</v>
      </c>
      <c r="R284" s="21" t="str">
        <f aca="false">VLOOKUP(K284,clasif_filas!$A$2:$J$39,8,FALSE())</f>
        <v>Otros bienes transportables, excepto productos metálicos, maquinaria y equipo</v>
      </c>
      <c r="S284" s="21" t="n">
        <f aca="false">VLOOKUP(K284,clasif_filas!$A$2:$J$39,9,FALSE())</f>
        <v>2</v>
      </c>
      <c r="T284" s="61" t="str">
        <f aca="false">VLOOKUP(K284,clasif_filas!$A$2:$J$39,10,FALSE())</f>
        <v>Bioeconomía extendida</v>
      </c>
    </row>
    <row r="285" customFormat="false" ht="25.55" hidden="false" customHeight="false" outlineLevel="0" collapsed="false">
      <c r="A285" s="29" t="s">
        <v>573</v>
      </c>
      <c r="B285" s="67" t="s">
        <v>1836</v>
      </c>
      <c r="C285" s="58" t="str">
        <f aca="false">VLOOKUP(B285, AT_FILAS!$A$2:$C$8,2,FALSE())</f>
        <v>Consumo intermedio</v>
      </c>
      <c r="D285" s="58" t="n">
        <f aca="false">VLOOKUP(B285, AT_FILAS!$A$2:$C$8,3,FALSE())</f>
        <v>2</v>
      </c>
      <c r="E285" s="60" t="s">
        <v>2071</v>
      </c>
      <c r="F285" s="60" t="s">
        <v>2072</v>
      </c>
      <c r="G285" s="1" t="s">
        <v>2073</v>
      </c>
      <c r="H285" s="1" t="n">
        <v>3</v>
      </c>
      <c r="I285" s="1" t="s">
        <v>1937</v>
      </c>
      <c r="J285" s="1" t="s">
        <v>2073</v>
      </c>
      <c r="K285" s="21" t="n">
        <v>353</v>
      </c>
      <c r="L285" s="21" t="str">
        <f aca="false">VLOOKUP(K285,clasif_filas!$A$2:$J$39,2,FALSE())</f>
        <v>Jabón, preparados para la limpieza, perfumes y preparados de tocador</v>
      </c>
      <c r="M285" s="21" t="n">
        <f aca="false">VLOOKUP(K285,clasif_filas!$A$2:$J$39,3,FALSE())</f>
        <v>35</v>
      </c>
      <c r="N285" s="21" t="str">
        <f aca="false">VLOOKUP(K285,clasif_filas!$A$2:$J$39,4,FALSE())</f>
        <v>Otros productos químicos; Fibras textiles artificiales o sintéticas</v>
      </c>
      <c r="O285" s="21" t="n">
        <f aca="false">VLOOKUP(K285,clasif_filas!$A$2:$J$39,5,FALSE())</f>
        <v>6</v>
      </c>
      <c r="P285" s="21" t="str">
        <f aca="false">VLOOKUP(K285,clasif_filas!$A$2:$J$39,6,FALSE())</f>
        <v>Conocimiento, procesos y servicios relacionados</v>
      </c>
      <c r="Q285" s="21" t="n">
        <f aca="false">VLOOKUP(K285,clasif_filas!$A$2:$J$39,7,FALSE())</f>
        <v>3</v>
      </c>
      <c r="R285" s="21" t="str">
        <f aca="false">VLOOKUP(K285,clasif_filas!$A$2:$J$39,8,FALSE())</f>
        <v>Otros bienes transportables, excepto productos metálicos, maquinaria y equipo</v>
      </c>
      <c r="S285" s="21" t="n">
        <f aca="false">VLOOKUP(K285,clasif_filas!$A$2:$J$39,9,FALSE())</f>
        <v>2</v>
      </c>
      <c r="T285" s="61" t="str">
        <f aca="false">VLOOKUP(K285,clasif_filas!$A$2:$J$39,10,FALSE())</f>
        <v>Bioeconomía extendida</v>
      </c>
    </row>
    <row r="286" customFormat="false" ht="25.55" hidden="false" customHeight="false" outlineLevel="0" collapsed="false">
      <c r="A286" s="29" t="s">
        <v>575</v>
      </c>
      <c r="B286" s="67" t="s">
        <v>1836</v>
      </c>
      <c r="C286" s="58" t="str">
        <f aca="false">VLOOKUP(B286, AT_FILAS!$A$2:$C$8,2,FALSE())</f>
        <v>Consumo intermedio</v>
      </c>
      <c r="D286" s="58" t="n">
        <f aca="false">VLOOKUP(B286, AT_FILAS!$A$2:$C$8,3,FALSE())</f>
        <v>2</v>
      </c>
      <c r="E286" s="60" t="s">
        <v>2074</v>
      </c>
      <c r="F286" s="60" t="s">
        <v>2075</v>
      </c>
      <c r="G286" s="1" t="s">
        <v>1602</v>
      </c>
      <c r="H286" s="1" t="n">
        <v>4</v>
      </c>
      <c r="I286" s="1" t="s">
        <v>1602</v>
      </c>
      <c r="J286" s="1" t="s">
        <v>1602</v>
      </c>
      <c r="K286" s="21" t="n">
        <v>342</v>
      </c>
      <c r="L286" s="21" t="str">
        <f aca="false">VLOOKUP(K286,clasif_filas!$A$2:$J$39,2,FALSE())</f>
        <v>Otros químicos, plásticos, caucho y fibras sintéticas</v>
      </c>
      <c r="M286" s="21" t="n">
        <f aca="false">VLOOKUP(K286,clasif_filas!$A$2:$J$39,3,FALSE())</f>
        <v>34</v>
      </c>
      <c r="N286" s="21" t="str">
        <f aca="false">VLOOKUP(K286,clasif_filas!$A$2:$J$39,4,FALSE())</f>
        <v>Químicos básicos</v>
      </c>
      <c r="O286" s="21" t="n">
        <f aca="false">VLOOKUP(K286,clasif_filas!$A$2:$J$39,5,FALSE())</f>
        <v>99</v>
      </c>
      <c r="P286" s="21" t="str">
        <f aca="false">VLOOKUP(K286,clasif_filas!$A$2:$J$39,6,FALSE())</f>
        <v>No Bioeconomía</v>
      </c>
      <c r="Q286" s="21" t="n">
        <f aca="false">VLOOKUP(K286,clasif_filas!$A$2:$J$39,7,FALSE())</f>
        <v>3</v>
      </c>
      <c r="R286" s="21" t="str">
        <f aca="false">VLOOKUP(K286,clasif_filas!$A$2:$J$39,8,FALSE())</f>
        <v>Otros bienes transportables, excepto productos metálicos, maquinaria y equipo</v>
      </c>
      <c r="S286" s="21" t="n">
        <f aca="false">VLOOKUP(K286,clasif_filas!$A$2:$J$39,9,FALSE())</f>
        <v>3</v>
      </c>
      <c r="T286" s="61" t="str">
        <f aca="false">VLOOKUP(K286,clasif_filas!$A$2:$J$39,10,FALSE())</f>
        <v>No bioeconomía</v>
      </c>
    </row>
    <row r="287" customFormat="false" ht="14.25" hidden="false" customHeight="false" outlineLevel="0" collapsed="false">
      <c r="A287" s="29" t="s">
        <v>577</v>
      </c>
      <c r="B287" s="67" t="s">
        <v>1836</v>
      </c>
      <c r="C287" s="58" t="str">
        <f aca="false">VLOOKUP(B287, AT_FILAS!$A$2:$C$8,2,FALSE())</f>
        <v>Consumo intermedio</v>
      </c>
      <c r="D287" s="58" t="n">
        <f aca="false">VLOOKUP(B287, AT_FILAS!$A$2:$C$8,3,FALSE())</f>
        <v>2</v>
      </c>
      <c r="E287" s="60" t="s">
        <v>2076</v>
      </c>
      <c r="F287" s="60" t="s">
        <v>2077</v>
      </c>
      <c r="G287" s="1" t="s">
        <v>2078</v>
      </c>
      <c r="H287" s="1" t="n">
        <v>3</v>
      </c>
      <c r="I287" s="1" t="s">
        <v>1937</v>
      </c>
      <c r="J287" s="1" t="s">
        <v>2078</v>
      </c>
      <c r="K287" s="21" t="n">
        <v>352</v>
      </c>
      <c r="L287" s="21" t="str">
        <f aca="false">VLOOKUP(K287,clasif_filas!$A$2:$J$39,2,FALSE())</f>
        <v>Productos farmacéuticos</v>
      </c>
      <c r="M287" s="21" t="n">
        <f aca="false">VLOOKUP(K287,clasif_filas!$A$2:$J$39,3,FALSE())</f>
        <v>35</v>
      </c>
      <c r="N287" s="21" t="str">
        <f aca="false">VLOOKUP(K287,clasif_filas!$A$2:$J$39,4,FALSE())</f>
        <v>Otros productos químicos; Fibras textiles artificiales o sintéticas</v>
      </c>
      <c r="O287" s="21" t="n">
        <f aca="false">VLOOKUP(K287,clasif_filas!$A$2:$J$39,5,FALSE())</f>
        <v>6</v>
      </c>
      <c r="P287" s="21" t="str">
        <f aca="false">VLOOKUP(K287,clasif_filas!$A$2:$J$39,6,FALSE())</f>
        <v>Conocimiento, procesos y servicios relacionados</v>
      </c>
      <c r="Q287" s="21" t="n">
        <f aca="false">VLOOKUP(K287,clasif_filas!$A$2:$J$39,7,FALSE())</f>
        <v>3</v>
      </c>
      <c r="R287" s="21" t="str">
        <f aca="false">VLOOKUP(K287,clasif_filas!$A$2:$J$39,8,FALSE())</f>
        <v>Otros bienes transportables, excepto productos metálicos, maquinaria y equipo</v>
      </c>
      <c r="S287" s="21" t="n">
        <f aca="false">VLOOKUP(K287,clasif_filas!$A$2:$J$39,9,FALSE())</f>
        <v>2</v>
      </c>
      <c r="T287" s="61" t="str">
        <f aca="false">VLOOKUP(K287,clasif_filas!$A$2:$J$39,10,FALSE())</f>
        <v>Bioeconomía extendida</v>
      </c>
    </row>
    <row r="288" customFormat="false" ht="14.25" hidden="false" customHeight="false" outlineLevel="0" collapsed="false">
      <c r="A288" s="29" t="s">
        <v>579</v>
      </c>
      <c r="B288" s="67" t="s">
        <v>1836</v>
      </c>
      <c r="C288" s="58" t="str">
        <f aca="false">VLOOKUP(B288, AT_FILAS!$A$2:$C$8,2,FALSE())</f>
        <v>Consumo intermedio</v>
      </c>
      <c r="D288" s="58" t="n">
        <f aca="false">VLOOKUP(B288, AT_FILAS!$A$2:$C$8,3,FALSE())</f>
        <v>2</v>
      </c>
      <c r="E288" s="60" t="s">
        <v>2079</v>
      </c>
      <c r="F288" s="60" t="s">
        <v>2080</v>
      </c>
      <c r="G288" s="1" t="s">
        <v>1602</v>
      </c>
      <c r="H288" s="1" t="n">
        <v>4</v>
      </c>
      <c r="I288" s="1" t="s">
        <v>1602</v>
      </c>
      <c r="J288" s="1" t="s">
        <v>1602</v>
      </c>
      <c r="K288" s="21" t="n">
        <v>342</v>
      </c>
      <c r="L288" s="21" t="str">
        <f aca="false">VLOOKUP(K288,clasif_filas!$A$2:$J$39,2,FALSE())</f>
        <v>Otros químicos, plásticos, caucho y fibras sintéticas</v>
      </c>
      <c r="M288" s="21" t="n">
        <f aca="false">VLOOKUP(K288,clasif_filas!$A$2:$J$39,3,FALSE())</f>
        <v>34</v>
      </c>
      <c r="N288" s="21" t="str">
        <f aca="false">VLOOKUP(K288,clasif_filas!$A$2:$J$39,4,FALSE())</f>
        <v>Químicos básicos</v>
      </c>
      <c r="O288" s="21" t="n">
        <f aca="false">VLOOKUP(K288,clasif_filas!$A$2:$J$39,5,FALSE())</f>
        <v>99</v>
      </c>
      <c r="P288" s="21" t="str">
        <f aca="false">VLOOKUP(K288,clasif_filas!$A$2:$J$39,6,FALSE())</f>
        <v>No Bioeconomía</v>
      </c>
      <c r="Q288" s="21" t="n">
        <f aca="false">VLOOKUP(K288,clasif_filas!$A$2:$J$39,7,FALSE())</f>
        <v>3</v>
      </c>
      <c r="R288" s="21" t="str">
        <f aca="false">VLOOKUP(K288,clasif_filas!$A$2:$J$39,8,FALSE())</f>
        <v>Otros bienes transportables, excepto productos metálicos, maquinaria y equipo</v>
      </c>
      <c r="S288" s="21" t="n">
        <f aca="false">VLOOKUP(K288,clasif_filas!$A$2:$J$39,9,FALSE())</f>
        <v>3</v>
      </c>
      <c r="T288" s="61" t="str">
        <f aca="false">VLOOKUP(K288,clasif_filas!$A$2:$J$39,10,FALSE())</f>
        <v>No bioeconomía</v>
      </c>
    </row>
    <row r="289" customFormat="false" ht="14.25" hidden="false" customHeight="false" outlineLevel="0" collapsed="false">
      <c r="A289" s="29" t="s">
        <v>581</v>
      </c>
      <c r="B289" s="67" t="s">
        <v>1836</v>
      </c>
      <c r="C289" s="58" t="str">
        <f aca="false">VLOOKUP(B289, AT_FILAS!$A$2:$C$8,2,FALSE())</f>
        <v>Consumo intermedio</v>
      </c>
      <c r="D289" s="58" t="n">
        <f aca="false">VLOOKUP(B289, AT_FILAS!$A$2:$C$8,3,FALSE())</f>
        <v>2</v>
      </c>
      <c r="E289" s="60" t="s">
        <v>2081</v>
      </c>
      <c r="F289" s="60" t="s">
        <v>2082</v>
      </c>
      <c r="G289" s="1" t="s">
        <v>1602</v>
      </c>
      <c r="H289" s="1" t="n">
        <v>4</v>
      </c>
      <c r="I289" s="1" t="s">
        <v>1602</v>
      </c>
      <c r="J289" s="1" t="s">
        <v>1602</v>
      </c>
      <c r="K289" s="21" t="n">
        <v>342</v>
      </c>
      <c r="L289" s="21" t="str">
        <f aca="false">VLOOKUP(K289,clasif_filas!$A$2:$J$39,2,FALSE())</f>
        <v>Otros químicos, plásticos, caucho y fibras sintéticas</v>
      </c>
      <c r="M289" s="21" t="n">
        <f aca="false">VLOOKUP(K289,clasif_filas!$A$2:$J$39,3,FALSE())</f>
        <v>34</v>
      </c>
      <c r="N289" s="21" t="str">
        <f aca="false">VLOOKUP(K289,clasif_filas!$A$2:$J$39,4,FALSE())</f>
        <v>Químicos básicos</v>
      </c>
      <c r="O289" s="21" t="n">
        <f aca="false">VLOOKUP(K289,clasif_filas!$A$2:$J$39,5,FALSE())</f>
        <v>99</v>
      </c>
      <c r="P289" s="21" t="str">
        <f aca="false">VLOOKUP(K289,clasif_filas!$A$2:$J$39,6,FALSE())</f>
        <v>No Bioeconomía</v>
      </c>
      <c r="Q289" s="21" t="n">
        <f aca="false">VLOOKUP(K289,clasif_filas!$A$2:$J$39,7,FALSE())</f>
        <v>3</v>
      </c>
      <c r="R289" s="21" t="str">
        <f aca="false">VLOOKUP(K289,clasif_filas!$A$2:$J$39,8,FALSE())</f>
        <v>Otros bienes transportables, excepto productos metálicos, maquinaria y equipo</v>
      </c>
      <c r="S289" s="21" t="n">
        <f aca="false">VLOOKUP(K289,clasif_filas!$A$2:$J$39,9,FALSE())</f>
        <v>3</v>
      </c>
      <c r="T289" s="61" t="str">
        <f aca="false">VLOOKUP(K289,clasif_filas!$A$2:$J$39,10,FALSE())</f>
        <v>No bioeconomía</v>
      </c>
    </row>
    <row r="290" customFormat="false" ht="14.25" hidden="false" customHeight="false" outlineLevel="0" collapsed="false">
      <c r="A290" s="29" t="s">
        <v>583</v>
      </c>
      <c r="B290" s="67" t="s">
        <v>1836</v>
      </c>
      <c r="C290" s="58" t="str">
        <f aca="false">VLOOKUP(B290, AT_FILAS!$A$2:$C$8,2,FALSE())</f>
        <v>Consumo intermedio</v>
      </c>
      <c r="D290" s="58" t="n">
        <f aca="false">VLOOKUP(B290, AT_FILAS!$A$2:$C$8,3,FALSE())</f>
        <v>2</v>
      </c>
      <c r="E290" s="60" t="s">
        <v>2083</v>
      </c>
      <c r="F290" s="60" t="s">
        <v>2084</v>
      </c>
      <c r="G290" s="1" t="s">
        <v>1602</v>
      </c>
      <c r="H290" s="1" t="n">
        <v>4</v>
      </c>
      <c r="I290" s="1" t="s">
        <v>1602</v>
      </c>
      <c r="J290" s="1" t="s">
        <v>1602</v>
      </c>
      <c r="K290" s="21" t="n">
        <v>342</v>
      </c>
      <c r="L290" s="21" t="str">
        <f aca="false">VLOOKUP(K290,clasif_filas!$A$2:$J$39,2,FALSE())</f>
        <v>Otros químicos, plásticos, caucho y fibras sintéticas</v>
      </c>
      <c r="M290" s="21" t="n">
        <f aca="false">VLOOKUP(K290,clasif_filas!$A$2:$J$39,3,FALSE())</f>
        <v>34</v>
      </c>
      <c r="N290" s="21" t="str">
        <f aca="false">VLOOKUP(K290,clasif_filas!$A$2:$J$39,4,FALSE())</f>
        <v>Químicos básicos</v>
      </c>
      <c r="O290" s="21" t="n">
        <f aca="false">VLOOKUP(K290,clasif_filas!$A$2:$J$39,5,FALSE())</f>
        <v>99</v>
      </c>
      <c r="P290" s="21" t="str">
        <f aca="false">VLOOKUP(K290,clasif_filas!$A$2:$J$39,6,FALSE())</f>
        <v>No Bioeconomía</v>
      </c>
      <c r="Q290" s="21" t="n">
        <f aca="false">VLOOKUP(K290,clasif_filas!$A$2:$J$39,7,FALSE())</f>
        <v>3</v>
      </c>
      <c r="R290" s="21" t="str">
        <f aca="false">VLOOKUP(K290,clasif_filas!$A$2:$J$39,8,FALSE())</f>
        <v>Otros bienes transportables, excepto productos metálicos, maquinaria y equipo</v>
      </c>
      <c r="S290" s="21" t="n">
        <f aca="false">VLOOKUP(K290,clasif_filas!$A$2:$J$39,9,FALSE())</f>
        <v>3</v>
      </c>
      <c r="T290" s="61" t="str">
        <f aca="false">VLOOKUP(K290,clasif_filas!$A$2:$J$39,10,FALSE())</f>
        <v>No bioeconomía</v>
      </c>
    </row>
    <row r="291" customFormat="false" ht="14.25" hidden="false" customHeight="false" outlineLevel="0" collapsed="false">
      <c r="A291" s="29" t="s">
        <v>585</v>
      </c>
      <c r="B291" s="67" t="s">
        <v>1836</v>
      </c>
      <c r="C291" s="58" t="str">
        <f aca="false">VLOOKUP(B291, AT_FILAS!$A$2:$C$8,2,FALSE())</f>
        <v>Consumo intermedio</v>
      </c>
      <c r="D291" s="58" t="n">
        <f aca="false">VLOOKUP(B291, AT_FILAS!$A$2:$C$8,3,FALSE())</f>
        <v>2</v>
      </c>
      <c r="E291" s="60" t="s">
        <v>2085</v>
      </c>
      <c r="F291" s="60" t="s">
        <v>2086</v>
      </c>
      <c r="G291" s="1" t="s">
        <v>1602</v>
      </c>
      <c r="H291" s="1" t="n">
        <v>4</v>
      </c>
      <c r="I291" s="1" t="s">
        <v>1602</v>
      </c>
      <c r="J291" s="1" t="s">
        <v>1602</v>
      </c>
      <c r="K291" s="21" t="n">
        <v>37</v>
      </c>
      <c r="L291" s="21" t="str">
        <f aca="false">VLOOKUP(K291,clasif_filas!$A$2:$J$39,2,FALSE())</f>
        <v>Vidrios y productos de vidrio y otros productos no metálicos n.c.p.</v>
      </c>
      <c r="M291" s="21" t="n">
        <f aca="false">VLOOKUP(K291,clasif_filas!$A$2:$J$39,3,FALSE())</f>
        <v>37</v>
      </c>
      <c r="N291" s="21" t="str">
        <f aca="false">VLOOKUP(K291,clasif_filas!$A$2:$J$39,4,FALSE())</f>
        <v>Vidrios y productos de vidrio y otros productos no metálicos n.c.p.</v>
      </c>
      <c r="O291" s="21" t="n">
        <f aca="false">VLOOKUP(K291,clasif_filas!$A$2:$J$39,5,FALSE())</f>
        <v>99</v>
      </c>
      <c r="P291" s="21" t="str">
        <f aca="false">VLOOKUP(K291,clasif_filas!$A$2:$J$39,6,FALSE())</f>
        <v>No Bioeconomía</v>
      </c>
      <c r="Q291" s="21" t="n">
        <f aca="false">VLOOKUP(K291,clasif_filas!$A$2:$J$39,7,FALSE())</f>
        <v>3</v>
      </c>
      <c r="R291" s="21" t="str">
        <f aca="false">VLOOKUP(K291,clasif_filas!$A$2:$J$39,8,FALSE())</f>
        <v>Otros bienes transportables, excepto productos metálicos, maquinaria y equipo</v>
      </c>
      <c r="S291" s="21" t="n">
        <f aca="false">VLOOKUP(K291,clasif_filas!$A$2:$J$39,9,FALSE())</f>
        <v>3</v>
      </c>
      <c r="T291" s="61" t="str">
        <f aca="false">VLOOKUP(K291,clasif_filas!$A$2:$J$39,10,FALSE())</f>
        <v>No bioeconomía</v>
      </c>
    </row>
    <row r="292" customFormat="false" ht="14.25" hidden="false" customHeight="false" outlineLevel="0" collapsed="false">
      <c r="A292" s="29" t="s">
        <v>587</v>
      </c>
      <c r="B292" s="67" t="s">
        <v>1836</v>
      </c>
      <c r="C292" s="58" t="str">
        <f aca="false">VLOOKUP(B292, AT_FILAS!$A$2:$C$8,2,FALSE())</f>
        <v>Consumo intermedio</v>
      </c>
      <c r="D292" s="58" t="n">
        <f aca="false">VLOOKUP(B292, AT_FILAS!$A$2:$C$8,3,FALSE())</f>
        <v>2</v>
      </c>
      <c r="E292" s="60" t="s">
        <v>2087</v>
      </c>
      <c r="F292" s="60" t="s">
        <v>2088</v>
      </c>
      <c r="G292" s="1" t="s">
        <v>1602</v>
      </c>
      <c r="H292" s="1" t="n">
        <v>4</v>
      </c>
      <c r="I292" s="1" t="s">
        <v>1602</v>
      </c>
      <c r="J292" s="1" t="s">
        <v>1602</v>
      </c>
      <c r="K292" s="21" t="n">
        <v>37</v>
      </c>
      <c r="L292" s="21" t="str">
        <f aca="false">VLOOKUP(K292,clasif_filas!$A$2:$J$39,2,FALSE())</f>
        <v>Vidrios y productos de vidrio y otros productos no metálicos n.c.p.</v>
      </c>
      <c r="M292" s="21" t="n">
        <f aca="false">VLOOKUP(K292,clasif_filas!$A$2:$J$39,3,FALSE())</f>
        <v>37</v>
      </c>
      <c r="N292" s="21" t="str">
        <f aca="false">VLOOKUP(K292,clasif_filas!$A$2:$J$39,4,FALSE())</f>
        <v>Vidrios y productos de vidrio y otros productos no metálicos n.c.p.</v>
      </c>
      <c r="O292" s="21" t="n">
        <f aca="false">VLOOKUP(K292,clasif_filas!$A$2:$J$39,5,FALSE())</f>
        <v>99</v>
      </c>
      <c r="P292" s="21" t="str">
        <f aca="false">VLOOKUP(K292,clasif_filas!$A$2:$J$39,6,FALSE())</f>
        <v>No Bioeconomía</v>
      </c>
      <c r="Q292" s="21" t="n">
        <f aca="false">VLOOKUP(K292,clasif_filas!$A$2:$J$39,7,FALSE())</f>
        <v>3</v>
      </c>
      <c r="R292" s="21" t="str">
        <f aca="false">VLOOKUP(K292,clasif_filas!$A$2:$J$39,8,FALSE())</f>
        <v>Otros bienes transportables, excepto productos metálicos, maquinaria y equipo</v>
      </c>
      <c r="S292" s="21" t="n">
        <f aca="false">VLOOKUP(K292,clasif_filas!$A$2:$J$39,9,FALSE())</f>
        <v>3</v>
      </c>
      <c r="T292" s="61" t="str">
        <f aca="false">VLOOKUP(K292,clasif_filas!$A$2:$J$39,10,FALSE())</f>
        <v>No bioeconomía</v>
      </c>
    </row>
    <row r="293" customFormat="false" ht="25.55" hidden="false" customHeight="false" outlineLevel="0" collapsed="false">
      <c r="A293" s="29" t="s">
        <v>589</v>
      </c>
      <c r="B293" s="67" t="s">
        <v>1836</v>
      </c>
      <c r="C293" s="58" t="str">
        <f aca="false">VLOOKUP(B293, AT_FILAS!$A$2:$C$8,2,FALSE())</f>
        <v>Consumo intermedio</v>
      </c>
      <c r="D293" s="58" t="n">
        <f aca="false">VLOOKUP(B293, AT_FILAS!$A$2:$C$8,3,FALSE())</f>
        <v>2</v>
      </c>
      <c r="E293" s="60" t="s">
        <v>2089</v>
      </c>
      <c r="F293" s="60" t="s">
        <v>2090</v>
      </c>
      <c r="G293" s="1" t="s">
        <v>1602</v>
      </c>
      <c r="H293" s="1" t="n">
        <v>4</v>
      </c>
      <c r="I293" s="1" t="s">
        <v>1602</v>
      </c>
      <c r="J293" s="1" t="s">
        <v>1602</v>
      </c>
      <c r="K293" s="21" t="n">
        <v>37</v>
      </c>
      <c r="L293" s="21" t="str">
        <f aca="false">VLOOKUP(K293,clasif_filas!$A$2:$J$39,2,FALSE())</f>
        <v>Vidrios y productos de vidrio y otros productos no metálicos n.c.p.</v>
      </c>
      <c r="M293" s="21" t="n">
        <f aca="false">VLOOKUP(K293,clasif_filas!$A$2:$J$39,3,FALSE())</f>
        <v>37</v>
      </c>
      <c r="N293" s="21" t="str">
        <f aca="false">VLOOKUP(K293,clasif_filas!$A$2:$J$39,4,FALSE())</f>
        <v>Vidrios y productos de vidrio y otros productos no metálicos n.c.p.</v>
      </c>
      <c r="O293" s="21" t="n">
        <f aca="false">VLOOKUP(K293,clasif_filas!$A$2:$J$39,5,FALSE())</f>
        <v>99</v>
      </c>
      <c r="P293" s="21" t="str">
        <f aca="false">VLOOKUP(K293,clasif_filas!$A$2:$J$39,6,FALSE())</f>
        <v>No Bioeconomía</v>
      </c>
      <c r="Q293" s="21" t="n">
        <f aca="false">VLOOKUP(K293,clasif_filas!$A$2:$J$39,7,FALSE())</f>
        <v>3</v>
      </c>
      <c r="R293" s="21" t="str">
        <f aca="false">VLOOKUP(K293,clasif_filas!$A$2:$J$39,8,FALSE())</f>
        <v>Otros bienes transportables, excepto productos metálicos, maquinaria y equipo</v>
      </c>
      <c r="S293" s="21" t="n">
        <f aca="false">VLOOKUP(K293,clasif_filas!$A$2:$J$39,9,FALSE())</f>
        <v>3</v>
      </c>
      <c r="T293" s="61" t="str">
        <f aca="false">VLOOKUP(K293,clasif_filas!$A$2:$J$39,10,FALSE())</f>
        <v>No bioeconomía</v>
      </c>
    </row>
    <row r="294" customFormat="false" ht="25.55" hidden="false" customHeight="false" outlineLevel="0" collapsed="false">
      <c r="A294" s="29" t="s">
        <v>591</v>
      </c>
      <c r="B294" s="67" t="s">
        <v>1836</v>
      </c>
      <c r="C294" s="58" t="str">
        <f aca="false">VLOOKUP(B294, AT_FILAS!$A$2:$C$8,2,FALSE())</f>
        <v>Consumo intermedio</v>
      </c>
      <c r="D294" s="58" t="n">
        <f aca="false">VLOOKUP(B294, AT_FILAS!$A$2:$C$8,3,FALSE())</f>
        <v>2</v>
      </c>
      <c r="E294" s="60" t="s">
        <v>2091</v>
      </c>
      <c r="F294" s="60" t="s">
        <v>2092</v>
      </c>
      <c r="G294" s="1" t="s">
        <v>1602</v>
      </c>
      <c r="H294" s="1" t="n">
        <v>4</v>
      </c>
      <c r="I294" s="1" t="s">
        <v>1602</v>
      </c>
      <c r="J294" s="1" t="s">
        <v>1602</v>
      </c>
      <c r="K294" s="21" t="n">
        <v>37</v>
      </c>
      <c r="L294" s="21" t="str">
        <f aca="false">VLOOKUP(K294,clasif_filas!$A$2:$J$39,2,FALSE())</f>
        <v>Vidrios y productos de vidrio y otros productos no metálicos n.c.p.</v>
      </c>
      <c r="M294" s="21" t="n">
        <f aca="false">VLOOKUP(K294,clasif_filas!$A$2:$J$39,3,FALSE())</f>
        <v>37</v>
      </c>
      <c r="N294" s="21" t="str">
        <f aca="false">VLOOKUP(K294,clasif_filas!$A$2:$J$39,4,FALSE())</f>
        <v>Vidrios y productos de vidrio y otros productos no metálicos n.c.p.</v>
      </c>
      <c r="O294" s="21" t="n">
        <f aca="false">VLOOKUP(K294,clasif_filas!$A$2:$J$39,5,FALSE())</f>
        <v>99</v>
      </c>
      <c r="P294" s="21" t="str">
        <f aca="false">VLOOKUP(K294,clasif_filas!$A$2:$J$39,6,FALSE())</f>
        <v>No Bioeconomía</v>
      </c>
      <c r="Q294" s="21" t="n">
        <f aca="false">VLOOKUP(K294,clasif_filas!$A$2:$J$39,7,FALSE())</f>
        <v>3</v>
      </c>
      <c r="R294" s="21" t="str">
        <f aca="false">VLOOKUP(K294,clasif_filas!$A$2:$J$39,8,FALSE())</f>
        <v>Otros bienes transportables, excepto productos metálicos, maquinaria y equipo</v>
      </c>
      <c r="S294" s="21" t="n">
        <f aca="false">VLOOKUP(K294,clasif_filas!$A$2:$J$39,9,FALSE())</f>
        <v>3</v>
      </c>
      <c r="T294" s="61" t="str">
        <f aca="false">VLOOKUP(K294,clasif_filas!$A$2:$J$39,10,FALSE())</f>
        <v>No bioeconomía</v>
      </c>
    </row>
    <row r="295" customFormat="false" ht="14.25" hidden="false" customHeight="false" outlineLevel="0" collapsed="false">
      <c r="A295" s="29" t="s">
        <v>593</v>
      </c>
      <c r="B295" s="67" t="s">
        <v>1836</v>
      </c>
      <c r="C295" s="58" t="str">
        <f aca="false">VLOOKUP(B295, AT_FILAS!$A$2:$C$8,2,FALSE())</f>
        <v>Consumo intermedio</v>
      </c>
      <c r="D295" s="58" t="n">
        <f aca="false">VLOOKUP(B295, AT_FILAS!$A$2:$C$8,3,FALSE())</f>
        <v>2</v>
      </c>
      <c r="E295" s="60" t="s">
        <v>2093</v>
      </c>
      <c r="F295" s="60" t="s">
        <v>2094</v>
      </c>
      <c r="G295" s="1" t="s">
        <v>1602</v>
      </c>
      <c r="H295" s="1" t="n">
        <v>4</v>
      </c>
      <c r="I295" s="1" t="s">
        <v>1602</v>
      </c>
      <c r="J295" s="1" t="s">
        <v>1602</v>
      </c>
      <c r="K295" s="21" t="n">
        <v>37</v>
      </c>
      <c r="L295" s="21" t="str">
        <f aca="false">VLOOKUP(K295,clasif_filas!$A$2:$J$39,2,FALSE())</f>
        <v>Vidrios y productos de vidrio y otros productos no metálicos n.c.p.</v>
      </c>
      <c r="M295" s="21" t="n">
        <f aca="false">VLOOKUP(K295,clasif_filas!$A$2:$J$39,3,FALSE())</f>
        <v>37</v>
      </c>
      <c r="N295" s="21" t="str">
        <f aca="false">VLOOKUP(K295,clasif_filas!$A$2:$J$39,4,FALSE())</f>
        <v>Vidrios y productos de vidrio y otros productos no metálicos n.c.p.</v>
      </c>
      <c r="O295" s="21" t="n">
        <f aca="false">VLOOKUP(K295,clasif_filas!$A$2:$J$39,5,FALSE())</f>
        <v>99</v>
      </c>
      <c r="P295" s="21" t="str">
        <f aca="false">VLOOKUP(K295,clasif_filas!$A$2:$J$39,6,FALSE())</f>
        <v>No Bioeconomía</v>
      </c>
      <c r="Q295" s="21" t="n">
        <f aca="false">VLOOKUP(K295,clasif_filas!$A$2:$J$39,7,FALSE())</f>
        <v>3</v>
      </c>
      <c r="R295" s="21" t="str">
        <f aca="false">VLOOKUP(K295,clasif_filas!$A$2:$J$39,8,FALSE())</f>
        <v>Otros bienes transportables, excepto productos metálicos, maquinaria y equipo</v>
      </c>
      <c r="S295" s="21" t="n">
        <f aca="false">VLOOKUP(K295,clasif_filas!$A$2:$J$39,9,FALSE())</f>
        <v>3</v>
      </c>
      <c r="T295" s="61" t="str">
        <f aca="false">VLOOKUP(K295,clasif_filas!$A$2:$J$39,10,FALSE())</f>
        <v>No bioeconomía</v>
      </c>
    </row>
    <row r="296" customFormat="false" ht="14.25" hidden="false" customHeight="false" outlineLevel="0" collapsed="false">
      <c r="A296" s="29" t="s">
        <v>595</v>
      </c>
      <c r="B296" s="67" t="s">
        <v>1836</v>
      </c>
      <c r="C296" s="58" t="str">
        <f aca="false">VLOOKUP(B296, AT_FILAS!$A$2:$C$8,2,FALSE())</f>
        <v>Consumo intermedio</v>
      </c>
      <c r="D296" s="58" t="n">
        <f aca="false">VLOOKUP(B296, AT_FILAS!$A$2:$C$8,3,FALSE())</f>
        <v>2</v>
      </c>
      <c r="E296" s="60" t="s">
        <v>2095</v>
      </c>
      <c r="F296" s="60" t="s">
        <v>2096</v>
      </c>
      <c r="G296" s="1" t="s">
        <v>1602</v>
      </c>
      <c r="H296" s="1" t="n">
        <v>4</v>
      </c>
      <c r="I296" s="1" t="s">
        <v>1602</v>
      </c>
      <c r="J296" s="1" t="s">
        <v>1602</v>
      </c>
      <c r="K296" s="21" t="n">
        <v>11</v>
      </c>
      <c r="L296" s="21" t="str">
        <f aca="false">VLOOKUP(K296,clasif_filas!$A$2:$J$39,2,FALSE())</f>
        <v>Minerales, combustibles y derivados</v>
      </c>
      <c r="M296" s="21" t="n">
        <f aca="false">VLOOKUP(K296,clasif_filas!$A$2:$J$39,3,FALSE())</f>
        <v>11</v>
      </c>
      <c r="N296" s="21" t="str">
        <f aca="false">VLOOKUP(K296,clasif_filas!$A$2:$J$39,4,FALSE())</f>
        <v>Minerales, combustibles y derivados</v>
      </c>
      <c r="O296" s="21" t="n">
        <f aca="false">VLOOKUP(K296,clasif_filas!$A$2:$J$39,5,FALSE())</f>
        <v>99</v>
      </c>
      <c r="P296" s="21" t="str">
        <f aca="false">VLOOKUP(K296,clasif_filas!$A$2:$J$39,6,FALSE())</f>
        <v>No Bioeconomía</v>
      </c>
      <c r="Q296" s="21" t="n">
        <f aca="false">VLOOKUP(K296,clasif_filas!$A$2:$J$39,7,FALSE())</f>
        <v>1</v>
      </c>
      <c r="R296" s="21" t="str">
        <f aca="false">VLOOKUP(K296,clasif_filas!$A$2:$J$39,8,FALSE())</f>
        <v>Minerales; electricidad, gas y agua</v>
      </c>
      <c r="S296" s="21" t="n">
        <f aca="false">VLOOKUP(K296,clasif_filas!$A$2:$J$39,9,FALSE())</f>
        <v>3</v>
      </c>
      <c r="T296" s="61" t="str">
        <f aca="false">VLOOKUP(K296,clasif_filas!$A$2:$J$39,10,FALSE())</f>
        <v>No bioeconomía</v>
      </c>
    </row>
    <row r="297" customFormat="false" ht="14.25" hidden="false" customHeight="false" outlineLevel="0" collapsed="false">
      <c r="A297" s="29" t="s">
        <v>597</v>
      </c>
      <c r="B297" s="67" t="s">
        <v>1836</v>
      </c>
      <c r="C297" s="58" t="str">
        <f aca="false">VLOOKUP(B297, AT_FILAS!$A$2:$C$8,2,FALSE())</f>
        <v>Consumo intermedio</v>
      </c>
      <c r="D297" s="58" t="n">
        <f aca="false">VLOOKUP(B297, AT_FILAS!$A$2:$C$8,3,FALSE())</f>
        <v>2</v>
      </c>
      <c r="E297" s="60" t="s">
        <v>2097</v>
      </c>
      <c r="F297" s="60" t="s">
        <v>2098</v>
      </c>
      <c r="G297" s="1" t="s">
        <v>1602</v>
      </c>
      <c r="H297" s="1" t="n">
        <v>4</v>
      </c>
      <c r="I297" s="1" t="s">
        <v>1602</v>
      </c>
      <c r="J297" s="1" t="s">
        <v>1602</v>
      </c>
      <c r="K297" s="21" t="n">
        <v>11</v>
      </c>
      <c r="L297" s="21" t="str">
        <f aca="false">VLOOKUP(K297,clasif_filas!$A$2:$J$39,2,FALSE())</f>
        <v>Minerales, combustibles y derivados</v>
      </c>
      <c r="M297" s="21" t="n">
        <f aca="false">VLOOKUP(K297,clasif_filas!$A$2:$J$39,3,FALSE())</f>
        <v>11</v>
      </c>
      <c r="N297" s="21" t="str">
        <f aca="false">VLOOKUP(K297,clasif_filas!$A$2:$J$39,4,FALSE())</f>
        <v>Minerales, combustibles y derivados</v>
      </c>
      <c r="O297" s="21" t="n">
        <f aca="false">VLOOKUP(K297,clasif_filas!$A$2:$J$39,5,FALSE())</f>
        <v>99</v>
      </c>
      <c r="P297" s="21" t="str">
        <f aca="false">VLOOKUP(K297,clasif_filas!$A$2:$J$39,6,FALSE())</f>
        <v>No Bioeconomía</v>
      </c>
      <c r="Q297" s="21" t="n">
        <f aca="false">VLOOKUP(K297,clasif_filas!$A$2:$J$39,7,FALSE())</f>
        <v>1</v>
      </c>
      <c r="R297" s="21" t="str">
        <f aca="false">VLOOKUP(K297,clasif_filas!$A$2:$J$39,8,FALSE())</f>
        <v>Minerales; electricidad, gas y agua</v>
      </c>
      <c r="S297" s="21" t="n">
        <f aca="false">VLOOKUP(K297,clasif_filas!$A$2:$J$39,9,FALSE())</f>
        <v>3</v>
      </c>
      <c r="T297" s="61" t="str">
        <f aca="false">VLOOKUP(K297,clasif_filas!$A$2:$J$39,10,FALSE())</f>
        <v>No bioeconomía</v>
      </c>
    </row>
    <row r="298" customFormat="false" ht="14.25" hidden="false" customHeight="false" outlineLevel="0" collapsed="false">
      <c r="A298" s="29" t="s">
        <v>599</v>
      </c>
      <c r="B298" s="67" t="s">
        <v>1836</v>
      </c>
      <c r="C298" s="58" t="str">
        <f aca="false">VLOOKUP(B298, AT_FILAS!$A$2:$C$8,2,FALSE())</f>
        <v>Consumo intermedio</v>
      </c>
      <c r="D298" s="58" t="n">
        <f aca="false">VLOOKUP(B298, AT_FILAS!$A$2:$C$8,3,FALSE())</f>
        <v>2</v>
      </c>
      <c r="E298" s="60" t="s">
        <v>2099</v>
      </c>
      <c r="F298" s="60" t="s">
        <v>2100</v>
      </c>
      <c r="G298" s="1" t="s">
        <v>1602</v>
      </c>
      <c r="H298" s="1" t="n">
        <v>4</v>
      </c>
      <c r="I298" s="1" t="s">
        <v>1602</v>
      </c>
      <c r="J298" s="1" t="s">
        <v>1602</v>
      </c>
      <c r="K298" s="62" t="s">
        <v>2101</v>
      </c>
      <c r="L298" s="21" t="str">
        <f aca="false">VLOOKUP(K298,clasif_filas!$A$2:$J$39,2,FALSE())</f>
        <v>Metales, Maquianria, equipos y transporte</v>
      </c>
      <c r="M298" s="21" t="str">
        <f aca="false">VLOOKUP(K298,clasif_filas!$A$2:$J$39,3,FALSE())</f>
        <v>41-49</v>
      </c>
      <c r="N298" s="21" t="str">
        <f aca="false">VLOOKUP(K298,clasif_filas!$A$2:$J$39,4,FALSE())</f>
        <v>Metales, Maquianria, equipos y transporte</v>
      </c>
      <c r="O298" s="21" t="n">
        <f aca="false">VLOOKUP(K298,clasif_filas!$A$2:$J$39,5,FALSE())</f>
        <v>99</v>
      </c>
      <c r="P298" s="21" t="str">
        <f aca="false">VLOOKUP(K298,clasif_filas!$A$2:$J$39,6,FALSE())</f>
        <v>No Bioeconomía</v>
      </c>
      <c r="Q298" s="21" t="n">
        <f aca="false">VLOOKUP(K298,clasif_filas!$A$2:$J$39,7,FALSE())</f>
        <v>4</v>
      </c>
      <c r="R298" s="21" t="str">
        <f aca="false">VLOOKUP(K298,clasif_filas!$A$2:$J$39,8,FALSE())</f>
        <v>Productos metálicos, maquinaria y equipo</v>
      </c>
      <c r="S298" s="21" t="n">
        <f aca="false">VLOOKUP(K298,clasif_filas!$A$2:$J$39,9,FALSE())</f>
        <v>3</v>
      </c>
      <c r="T298" s="61" t="str">
        <f aca="false">VLOOKUP(K298,clasif_filas!$A$2:$J$39,10,FALSE())</f>
        <v>No bioeconomía</v>
      </c>
    </row>
    <row r="299" customFormat="false" ht="25.55" hidden="false" customHeight="false" outlineLevel="0" collapsed="false">
      <c r="A299" s="29" t="s">
        <v>601</v>
      </c>
      <c r="B299" s="67" t="s">
        <v>1836</v>
      </c>
      <c r="C299" s="58" t="str">
        <f aca="false">VLOOKUP(B299, AT_FILAS!$A$2:$C$8,2,FALSE())</f>
        <v>Consumo intermedio</v>
      </c>
      <c r="D299" s="58" t="n">
        <f aca="false">VLOOKUP(B299, AT_FILAS!$A$2:$C$8,3,FALSE())</f>
        <v>2</v>
      </c>
      <c r="E299" s="60" t="s">
        <v>2102</v>
      </c>
      <c r="F299" s="60" t="s">
        <v>2103</v>
      </c>
      <c r="G299" s="1" t="s">
        <v>1602</v>
      </c>
      <c r="H299" s="1" t="n">
        <v>4</v>
      </c>
      <c r="I299" s="1" t="s">
        <v>1602</v>
      </c>
      <c r="J299" s="1" t="s">
        <v>1602</v>
      </c>
      <c r="K299" s="62" t="s">
        <v>2101</v>
      </c>
      <c r="L299" s="21" t="str">
        <f aca="false">VLOOKUP(K299,clasif_filas!$A$2:$J$39,2,FALSE())</f>
        <v>Metales, Maquianria, equipos y transporte</v>
      </c>
      <c r="M299" s="21" t="str">
        <f aca="false">VLOOKUP(K299,clasif_filas!$A$2:$J$39,3,FALSE())</f>
        <v>41-49</v>
      </c>
      <c r="N299" s="21" t="str">
        <f aca="false">VLOOKUP(K299,clasif_filas!$A$2:$J$39,4,FALSE())</f>
        <v>Metales, Maquianria, equipos y transporte</v>
      </c>
      <c r="O299" s="21" t="n">
        <f aca="false">VLOOKUP(K299,clasif_filas!$A$2:$J$39,5,FALSE())</f>
        <v>99</v>
      </c>
      <c r="P299" s="21" t="str">
        <f aca="false">VLOOKUP(K299,clasif_filas!$A$2:$J$39,6,FALSE())</f>
        <v>No Bioeconomía</v>
      </c>
      <c r="Q299" s="21" t="n">
        <f aca="false">VLOOKUP(K299,clasif_filas!$A$2:$J$39,7,FALSE())</f>
        <v>4</v>
      </c>
      <c r="R299" s="21" t="str">
        <f aca="false">VLOOKUP(K299,clasif_filas!$A$2:$J$39,8,FALSE())</f>
        <v>Productos metálicos, maquinaria y equipo</v>
      </c>
      <c r="S299" s="21" t="n">
        <f aca="false">VLOOKUP(K299,clasif_filas!$A$2:$J$39,9,FALSE())</f>
        <v>3</v>
      </c>
      <c r="T299" s="61" t="str">
        <f aca="false">VLOOKUP(K299,clasif_filas!$A$2:$J$39,10,FALSE())</f>
        <v>No bioeconomía</v>
      </c>
    </row>
    <row r="300" customFormat="false" ht="25.55" hidden="false" customHeight="false" outlineLevel="0" collapsed="false">
      <c r="A300" s="29" t="s">
        <v>603</v>
      </c>
      <c r="B300" s="67" t="s">
        <v>1836</v>
      </c>
      <c r="C300" s="58" t="str">
        <f aca="false">VLOOKUP(B300, AT_FILAS!$A$2:$C$8,2,FALSE())</f>
        <v>Consumo intermedio</v>
      </c>
      <c r="D300" s="58" t="n">
        <f aca="false">VLOOKUP(B300, AT_FILAS!$A$2:$C$8,3,FALSE())</f>
        <v>2</v>
      </c>
      <c r="E300" s="60" t="s">
        <v>2104</v>
      </c>
      <c r="F300" s="60" t="s">
        <v>2105</v>
      </c>
      <c r="G300" s="1" t="s">
        <v>1602</v>
      </c>
      <c r="H300" s="1" t="n">
        <v>4</v>
      </c>
      <c r="I300" s="1" t="s">
        <v>1602</v>
      </c>
      <c r="J300" s="1" t="s">
        <v>1602</v>
      </c>
      <c r="K300" s="62" t="s">
        <v>2101</v>
      </c>
      <c r="L300" s="21" t="str">
        <f aca="false">VLOOKUP(K300,clasif_filas!$A$2:$J$39,2,FALSE())</f>
        <v>Metales, Maquianria, equipos y transporte</v>
      </c>
      <c r="M300" s="21" t="str">
        <f aca="false">VLOOKUP(K300,clasif_filas!$A$2:$J$39,3,FALSE())</f>
        <v>41-49</v>
      </c>
      <c r="N300" s="21" t="str">
        <f aca="false">VLOOKUP(K300,clasif_filas!$A$2:$J$39,4,FALSE())</f>
        <v>Metales, Maquianria, equipos y transporte</v>
      </c>
      <c r="O300" s="21" t="n">
        <f aca="false">VLOOKUP(K300,clasif_filas!$A$2:$J$39,5,FALSE())</f>
        <v>99</v>
      </c>
      <c r="P300" s="21" t="str">
        <f aca="false">VLOOKUP(K300,clasif_filas!$A$2:$J$39,6,FALSE())</f>
        <v>No Bioeconomía</v>
      </c>
      <c r="Q300" s="21" t="n">
        <f aca="false">VLOOKUP(K300,clasif_filas!$A$2:$J$39,7,FALSE())</f>
        <v>4</v>
      </c>
      <c r="R300" s="21" t="str">
        <f aca="false">VLOOKUP(K300,clasif_filas!$A$2:$J$39,8,FALSE())</f>
        <v>Productos metálicos, maquinaria y equipo</v>
      </c>
      <c r="S300" s="21" t="n">
        <f aca="false">VLOOKUP(K300,clasif_filas!$A$2:$J$39,9,FALSE())</f>
        <v>3</v>
      </c>
      <c r="T300" s="61" t="str">
        <f aca="false">VLOOKUP(K300,clasif_filas!$A$2:$J$39,10,FALSE())</f>
        <v>No bioeconomía</v>
      </c>
    </row>
    <row r="301" customFormat="false" ht="14.25" hidden="false" customHeight="false" outlineLevel="0" collapsed="false">
      <c r="A301" s="29" t="s">
        <v>605</v>
      </c>
      <c r="B301" s="67" t="s">
        <v>1836</v>
      </c>
      <c r="C301" s="58" t="str">
        <f aca="false">VLOOKUP(B301, AT_FILAS!$A$2:$C$8,2,FALSE())</f>
        <v>Consumo intermedio</v>
      </c>
      <c r="D301" s="58" t="n">
        <f aca="false">VLOOKUP(B301, AT_FILAS!$A$2:$C$8,3,FALSE())</f>
        <v>2</v>
      </c>
      <c r="E301" s="60" t="s">
        <v>2106</v>
      </c>
      <c r="F301" s="60" t="s">
        <v>2107</v>
      </c>
      <c r="G301" s="1" t="s">
        <v>1602</v>
      </c>
      <c r="H301" s="1" t="n">
        <v>4</v>
      </c>
      <c r="I301" s="1" t="s">
        <v>1602</v>
      </c>
      <c r="J301" s="1" t="s">
        <v>1602</v>
      </c>
      <c r="K301" s="62" t="s">
        <v>2101</v>
      </c>
      <c r="L301" s="21" t="str">
        <f aca="false">VLOOKUP(K301,clasif_filas!$A$2:$J$39,2,FALSE())</f>
        <v>Metales, Maquianria, equipos y transporte</v>
      </c>
      <c r="M301" s="21" t="str">
        <f aca="false">VLOOKUP(K301,clasif_filas!$A$2:$J$39,3,FALSE())</f>
        <v>41-49</v>
      </c>
      <c r="N301" s="21" t="str">
        <f aca="false">VLOOKUP(K301,clasif_filas!$A$2:$J$39,4,FALSE())</f>
        <v>Metales, Maquianria, equipos y transporte</v>
      </c>
      <c r="O301" s="21" t="n">
        <f aca="false">VLOOKUP(K301,clasif_filas!$A$2:$J$39,5,FALSE())</f>
        <v>99</v>
      </c>
      <c r="P301" s="21" t="str">
        <f aca="false">VLOOKUP(K301,clasif_filas!$A$2:$J$39,6,FALSE())</f>
        <v>No Bioeconomía</v>
      </c>
      <c r="Q301" s="21" t="n">
        <f aca="false">VLOOKUP(K301,clasif_filas!$A$2:$J$39,7,FALSE())</f>
        <v>4</v>
      </c>
      <c r="R301" s="21" t="str">
        <f aca="false">VLOOKUP(K301,clasif_filas!$A$2:$J$39,8,FALSE())</f>
        <v>Productos metálicos, maquinaria y equipo</v>
      </c>
      <c r="S301" s="21" t="n">
        <f aca="false">VLOOKUP(K301,clasif_filas!$A$2:$J$39,9,FALSE())</f>
        <v>3</v>
      </c>
      <c r="T301" s="61" t="str">
        <f aca="false">VLOOKUP(K301,clasif_filas!$A$2:$J$39,10,FALSE())</f>
        <v>No bioeconomía</v>
      </c>
    </row>
    <row r="302" customFormat="false" ht="25.55" hidden="false" customHeight="false" outlineLevel="0" collapsed="false">
      <c r="A302" s="29" t="s">
        <v>607</v>
      </c>
      <c r="B302" s="67" t="s">
        <v>1836</v>
      </c>
      <c r="C302" s="58" t="str">
        <f aca="false">VLOOKUP(B302, AT_FILAS!$A$2:$C$8,2,FALSE())</f>
        <v>Consumo intermedio</v>
      </c>
      <c r="D302" s="58" t="n">
        <f aca="false">VLOOKUP(B302, AT_FILAS!$A$2:$C$8,3,FALSE())</f>
        <v>2</v>
      </c>
      <c r="E302" s="60" t="s">
        <v>2108</v>
      </c>
      <c r="F302" s="60" t="s">
        <v>2109</v>
      </c>
      <c r="G302" s="1" t="s">
        <v>1602</v>
      </c>
      <c r="H302" s="1" t="n">
        <v>4</v>
      </c>
      <c r="I302" s="1" t="s">
        <v>1602</v>
      </c>
      <c r="J302" s="1" t="s">
        <v>1602</v>
      </c>
      <c r="K302" s="62" t="s">
        <v>2101</v>
      </c>
      <c r="L302" s="21" t="str">
        <f aca="false">VLOOKUP(K302,clasif_filas!$A$2:$J$39,2,FALSE())</f>
        <v>Metales, Maquianria, equipos y transporte</v>
      </c>
      <c r="M302" s="21" t="str">
        <f aca="false">VLOOKUP(K302,clasif_filas!$A$2:$J$39,3,FALSE())</f>
        <v>41-49</v>
      </c>
      <c r="N302" s="21" t="str">
        <f aca="false">VLOOKUP(K302,clasif_filas!$A$2:$J$39,4,FALSE())</f>
        <v>Metales, Maquianria, equipos y transporte</v>
      </c>
      <c r="O302" s="21" t="n">
        <f aca="false">VLOOKUP(K302,clasif_filas!$A$2:$J$39,5,FALSE())</f>
        <v>99</v>
      </c>
      <c r="P302" s="21" t="str">
        <f aca="false">VLOOKUP(K302,clasif_filas!$A$2:$J$39,6,FALSE())</f>
        <v>No Bioeconomía</v>
      </c>
      <c r="Q302" s="21" t="n">
        <f aca="false">VLOOKUP(K302,clasif_filas!$A$2:$J$39,7,FALSE())</f>
        <v>4</v>
      </c>
      <c r="R302" s="21" t="str">
        <f aca="false">VLOOKUP(K302,clasif_filas!$A$2:$J$39,8,FALSE())</f>
        <v>Productos metálicos, maquinaria y equipo</v>
      </c>
      <c r="S302" s="21" t="n">
        <f aca="false">VLOOKUP(K302,clasif_filas!$A$2:$J$39,9,FALSE())</f>
        <v>3</v>
      </c>
      <c r="T302" s="61" t="str">
        <f aca="false">VLOOKUP(K302,clasif_filas!$A$2:$J$39,10,FALSE())</f>
        <v>No bioeconomía</v>
      </c>
    </row>
    <row r="303" customFormat="false" ht="37.55" hidden="false" customHeight="false" outlineLevel="0" collapsed="false">
      <c r="A303" s="29" t="s">
        <v>609</v>
      </c>
      <c r="B303" s="67" t="s">
        <v>1836</v>
      </c>
      <c r="C303" s="58" t="str">
        <f aca="false">VLOOKUP(B303, AT_FILAS!$A$2:$C$8,2,FALSE())</f>
        <v>Consumo intermedio</v>
      </c>
      <c r="D303" s="58" t="n">
        <f aca="false">VLOOKUP(B303, AT_FILAS!$A$2:$C$8,3,FALSE())</f>
        <v>2</v>
      </c>
      <c r="E303" s="60" t="s">
        <v>2110</v>
      </c>
      <c r="F303" s="60" t="s">
        <v>2111</v>
      </c>
      <c r="G303" s="1" t="s">
        <v>1602</v>
      </c>
      <c r="H303" s="1" t="n">
        <v>4</v>
      </c>
      <c r="I303" s="1" t="s">
        <v>1602</v>
      </c>
      <c r="J303" s="1" t="s">
        <v>1602</v>
      </c>
      <c r="K303" s="62" t="s">
        <v>2101</v>
      </c>
      <c r="L303" s="21" t="str">
        <f aca="false">VLOOKUP(K303,clasif_filas!$A$2:$J$39,2,FALSE())</f>
        <v>Metales, Maquianria, equipos y transporte</v>
      </c>
      <c r="M303" s="21" t="str">
        <f aca="false">VLOOKUP(K303,clasif_filas!$A$2:$J$39,3,FALSE())</f>
        <v>41-49</v>
      </c>
      <c r="N303" s="21" t="str">
        <f aca="false">VLOOKUP(K303,clasif_filas!$A$2:$J$39,4,FALSE())</f>
        <v>Metales, Maquianria, equipos y transporte</v>
      </c>
      <c r="O303" s="21" t="n">
        <f aca="false">VLOOKUP(K303,clasif_filas!$A$2:$J$39,5,FALSE())</f>
        <v>99</v>
      </c>
      <c r="P303" s="21" t="str">
        <f aca="false">VLOOKUP(K303,clasif_filas!$A$2:$J$39,6,FALSE())</f>
        <v>No Bioeconomía</v>
      </c>
      <c r="Q303" s="21" t="n">
        <f aca="false">VLOOKUP(K303,clasif_filas!$A$2:$J$39,7,FALSE())</f>
        <v>4</v>
      </c>
      <c r="R303" s="21" t="str">
        <f aca="false">VLOOKUP(K303,clasif_filas!$A$2:$J$39,8,FALSE())</f>
        <v>Productos metálicos, maquinaria y equipo</v>
      </c>
      <c r="S303" s="21" t="n">
        <f aca="false">VLOOKUP(K303,clasif_filas!$A$2:$J$39,9,FALSE())</f>
        <v>3</v>
      </c>
      <c r="T303" s="61" t="str">
        <f aca="false">VLOOKUP(K303,clasif_filas!$A$2:$J$39,10,FALSE())</f>
        <v>No bioeconomía</v>
      </c>
    </row>
    <row r="304" customFormat="false" ht="25.55" hidden="false" customHeight="false" outlineLevel="0" collapsed="false">
      <c r="A304" s="29" t="s">
        <v>611</v>
      </c>
      <c r="B304" s="67" t="s">
        <v>1836</v>
      </c>
      <c r="C304" s="58" t="str">
        <f aca="false">VLOOKUP(B304, AT_FILAS!$A$2:$C$8,2,FALSE())</f>
        <v>Consumo intermedio</v>
      </c>
      <c r="D304" s="58" t="n">
        <f aca="false">VLOOKUP(B304, AT_FILAS!$A$2:$C$8,3,FALSE())</f>
        <v>2</v>
      </c>
      <c r="E304" s="60" t="s">
        <v>2112</v>
      </c>
      <c r="F304" s="60" t="s">
        <v>2113</v>
      </c>
      <c r="G304" s="1" t="s">
        <v>1602</v>
      </c>
      <c r="H304" s="1" t="n">
        <v>4</v>
      </c>
      <c r="I304" s="1" t="s">
        <v>1602</v>
      </c>
      <c r="J304" s="1" t="s">
        <v>1602</v>
      </c>
      <c r="K304" s="62" t="s">
        <v>2101</v>
      </c>
      <c r="L304" s="21" t="str">
        <f aca="false">VLOOKUP(K304,clasif_filas!$A$2:$J$39,2,FALSE())</f>
        <v>Metales, Maquianria, equipos y transporte</v>
      </c>
      <c r="M304" s="21" t="str">
        <f aca="false">VLOOKUP(K304,clasif_filas!$A$2:$J$39,3,FALSE())</f>
        <v>41-49</v>
      </c>
      <c r="N304" s="21" t="str">
        <f aca="false">VLOOKUP(K304,clasif_filas!$A$2:$J$39,4,FALSE())</f>
        <v>Metales, Maquianria, equipos y transporte</v>
      </c>
      <c r="O304" s="21" t="n">
        <f aca="false">VLOOKUP(K304,clasif_filas!$A$2:$J$39,5,FALSE())</f>
        <v>99</v>
      </c>
      <c r="P304" s="21" t="str">
        <f aca="false">VLOOKUP(K304,clasif_filas!$A$2:$J$39,6,FALSE())</f>
        <v>No Bioeconomía</v>
      </c>
      <c r="Q304" s="21" t="n">
        <f aca="false">VLOOKUP(K304,clasif_filas!$A$2:$J$39,7,FALSE())</f>
        <v>4</v>
      </c>
      <c r="R304" s="21" t="str">
        <f aca="false">VLOOKUP(K304,clasif_filas!$A$2:$J$39,8,FALSE())</f>
        <v>Productos metálicos, maquinaria y equipo</v>
      </c>
      <c r="S304" s="21" t="n">
        <f aca="false">VLOOKUP(K304,clasif_filas!$A$2:$J$39,9,FALSE())</f>
        <v>3</v>
      </c>
      <c r="T304" s="61" t="str">
        <f aca="false">VLOOKUP(K304,clasif_filas!$A$2:$J$39,10,FALSE())</f>
        <v>No bioeconomía</v>
      </c>
    </row>
    <row r="305" customFormat="false" ht="25.55" hidden="false" customHeight="false" outlineLevel="0" collapsed="false">
      <c r="A305" s="29" t="s">
        <v>613</v>
      </c>
      <c r="B305" s="67" t="s">
        <v>1836</v>
      </c>
      <c r="C305" s="58" t="str">
        <f aca="false">VLOOKUP(B305, AT_FILAS!$A$2:$C$8,2,FALSE())</f>
        <v>Consumo intermedio</v>
      </c>
      <c r="D305" s="58" t="n">
        <f aca="false">VLOOKUP(B305, AT_FILAS!$A$2:$C$8,3,FALSE())</f>
        <v>2</v>
      </c>
      <c r="E305" s="60" t="s">
        <v>2114</v>
      </c>
      <c r="F305" s="60" t="s">
        <v>2115</v>
      </c>
      <c r="G305" s="1" t="s">
        <v>1602</v>
      </c>
      <c r="H305" s="1" t="n">
        <v>4</v>
      </c>
      <c r="I305" s="1" t="s">
        <v>1602</v>
      </c>
      <c r="J305" s="1" t="s">
        <v>1602</v>
      </c>
      <c r="K305" s="62" t="s">
        <v>2101</v>
      </c>
      <c r="L305" s="21" t="str">
        <f aca="false">VLOOKUP(K305,clasif_filas!$A$2:$J$39,2,FALSE())</f>
        <v>Metales, Maquianria, equipos y transporte</v>
      </c>
      <c r="M305" s="21" t="str">
        <f aca="false">VLOOKUP(K305,clasif_filas!$A$2:$J$39,3,FALSE())</f>
        <v>41-49</v>
      </c>
      <c r="N305" s="21" t="str">
        <f aca="false">VLOOKUP(K305,clasif_filas!$A$2:$J$39,4,FALSE())</f>
        <v>Metales, Maquianria, equipos y transporte</v>
      </c>
      <c r="O305" s="21" t="n">
        <f aca="false">VLOOKUP(K305,clasif_filas!$A$2:$J$39,5,FALSE())</f>
        <v>99</v>
      </c>
      <c r="P305" s="21" t="str">
        <f aca="false">VLOOKUP(K305,clasif_filas!$A$2:$J$39,6,FALSE())</f>
        <v>No Bioeconomía</v>
      </c>
      <c r="Q305" s="21" t="n">
        <f aca="false">VLOOKUP(K305,clasif_filas!$A$2:$J$39,7,FALSE())</f>
        <v>4</v>
      </c>
      <c r="R305" s="21" t="str">
        <f aca="false">VLOOKUP(K305,clasif_filas!$A$2:$J$39,8,FALSE())</f>
        <v>Productos metálicos, maquinaria y equipo</v>
      </c>
      <c r="S305" s="21" t="n">
        <f aca="false">VLOOKUP(K305,clasif_filas!$A$2:$J$39,9,FALSE())</f>
        <v>3</v>
      </c>
      <c r="T305" s="61" t="str">
        <f aca="false">VLOOKUP(K305,clasif_filas!$A$2:$J$39,10,FALSE())</f>
        <v>No bioeconomía</v>
      </c>
    </row>
    <row r="306" customFormat="false" ht="25.55" hidden="false" customHeight="false" outlineLevel="0" collapsed="false">
      <c r="A306" s="29" t="s">
        <v>615</v>
      </c>
      <c r="B306" s="67" t="s">
        <v>1836</v>
      </c>
      <c r="C306" s="58" t="str">
        <f aca="false">VLOOKUP(B306, AT_FILAS!$A$2:$C$8,2,FALSE())</f>
        <v>Consumo intermedio</v>
      </c>
      <c r="D306" s="58" t="n">
        <f aca="false">VLOOKUP(B306, AT_FILAS!$A$2:$C$8,3,FALSE())</f>
        <v>2</v>
      </c>
      <c r="E306" s="60" t="s">
        <v>2116</v>
      </c>
      <c r="F306" s="60" t="s">
        <v>2117</v>
      </c>
      <c r="G306" s="1" t="s">
        <v>1602</v>
      </c>
      <c r="H306" s="1" t="n">
        <v>4</v>
      </c>
      <c r="I306" s="1" t="s">
        <v>1602</v>
      </c>
      <c r="J306" s="1" t="s">
        <v>1602</v>
      </c>
      <c r="K306" s="62" t="s">
        <v>2101</v>
      </c>
      <c r="L306" s="21" t="str">
        <f aca="false">VLOOKUP(K306,clasif_filas!$A$2:$J$39,2,FALSE())</f>
        <v>Metales, Maquianria, equipos y transporte</v>
      </c>
      <c r="M306" s="21" t="str">
        <f aca="false">VLOOKUP(K306,clasif_filas!$A$2:$J$39,3,FALSE())</f>
        <v>41-49</v>
      </c>
      <c r="N306" s="21" t="str">
        <f aca="false">VLOOKUP(K306,clasif_filas!$A$2:$J$39,4,FALSE())</f>
        <v>Metales, Maquianria, equipos y transporte</v>
      </c>
      <c r="O306" s="21" t="n">
        <f aca="false">VLOOKUP(K306,clasif_filas!$A$2:$J$39,5,FALSE())</f>
        <v>99</v>
      </c>
      <c r="P306" s="21" t="str">
        <f aca="false">VLOOKUP(K306,clasif_filas!$A$2:$J$39,6,FALSE())</f>
        <v>No Bioeconomía</v>
      </c>
      <c r="Q306" s="21" t="n">
        <f aca="false">VLOOKUP(K306,clasif_filas!$A$2:$J$39,7,FALSE())</f>
        <v>4</v>
      </c>
      <c r="R306" s="21" t="str">
        <f aca="false">VLOOKUP(K306,clasif_filas!$A$2:$J$39,8,FALSE())</f>
        <v>Productos metálicos, maquinaria y equipo</v>
      </c>
      <c r="S306" s="21" t="n">
        <f aca="false">VLOOKUP(K306,clasif_filas!$A$2:$J$39,9,FALSE())</f>
        <v>3</v>
      </c>
      <c r="T306" s="61" t="str">
        <f aca="false">VLOOKUP(K306,clasif_filas!$A$2:$J$39,10,FALSE())</f>
        <v>No bioeconomía</v>
      </c>
    </row>
    <row r="307" customFormat="false" ht="25.55" hidden="false" customHeight="false" outlineLevel="0" collapsed="false">
      <c r="A307" s="29" t="s">
        <v>617</v>
      </c>
      <c r="B307" s="67" t="s">
        <v>1836</v>
      </c>
      <c r="C307" s="58" t="str">
        <f aca="false">VLOOKUP(B307, AT_FILAS!$A$2:$C$8,2,FALSE())</f>
        <v>Consumo intermedio</v>
      </c>
      <c r="D307" s="58" t="n">
        <f aca="false">VLOOKUP(B307, AT_FILAS!$A$2:$C$8,3,FALSE())</f>
        <v>2</v>
      </c>
      <c r="E307" s="60" t="s">
        <v>2118</v>
      </c>
      <c r="F307" s="60" t="s">
        <v>2119</v>
      </c>
      <c r="G307" s="1" t="s">
        <v>1602</v>
      </c>
      <c r="H307" s="1" t="n">
        <v>4</v>
      </c>
      <c r="I307" s="1" t="s">
        <v>1602</v>
      </c>
      <c r="J307" s="1" t="s">
        <v>1602</v>
      </c>
      <c r="K307" s="62" t="s">
        <v>2101</v>
      </c>
      <c r="L307" s="21" t="str">
        <f aca="false">VLOOKUP(K307,clasif_filas!$A$2:$J$39,2,FALSE())</f>
        <v>Metales, Maquianria, equipos y transporte</v>
      </c>
      <c r="M307" s="21" t="str">
        <f aca="false">VLOOKUP(K307,clasif_filas!$A$2:$J$39,3,FALSE())</f>
        <v>41-49</v>
      </c>
      <c r="N307" s="21" t="str">
        <f aca="false">VLOOKUP(K307,clasif_filas!$A$2:$J$39,4,FALSE())</f>
        <v>Metales, Maquianria, equipos y transporte</v>
      </c>
      <c r="O307" s="21" t="n">
        <f aca="false">VLOOKUP(K307,clasif_filas!$A$2:$J$39,5,FALSE())</f>
        <v>99</v>
      </c>
      <c r="P307" s="21" t="str">
        <f aca="false">VLOOKUP(K307,clasif_filas!$A$2:$J$39,6,FALSE())</f>
        <v>No Bioeconomía</v>
      </c>
      <c r="Q307" s="21" t="n">
        <f aca="false">VLOOKUP(K307,clasif_filas!$A$2:$J$39,7,FALSE())</f>
        <v>4</v>
      </c>
      <c r="R307" s="21" t="str">
        <f aca="false">VLOOKUP(K307,clasif_filas!$A$2:$J$39,8,FALSE())</f>
        <v>Productos metálicos, maquinaria y equipo</v>
      </c>
      <c r="S307" s="21" t="n">
        <f aca="false">VLOOKUP(K307,clasif_filas!$A$2:$J$39,9,FALSE())</f>
        <v>3</v>
      </c>
      <c r="T307" s="61" t="str">
        <f aca="false">VLOOKUP(K307,clasif_filas!$A$2:$J$39,10,FALSE())</f>
        <v>No bioeconomía</v>
      </c>
    </row>
    <row r="308" customFormat="false" ht="25.55" hidden="false" customHeight="false" outlineLevel="0" collapsed="false">
      <c r="A308" s="29" t="s">
        <v>619</v>
      </c>
      <c r="B308" s="67" t="s">
        <v>1836</v>
      </c>
      <c r="C308" s="58" t="str">
        <f aca="false">VLOOKUP(B308, AT_FILAS!$A$2:$C$8,2,FALSE())</f>
        <v>Consumo intermedio</v>
      </c>
      <c r="D308" s="58" t="n">
        <f aca="false">VLOOKUP(B308, AT_FILAS!$A$2:$C$8,3,FALSE())</f>
        <v>2</v>
      </c>
      <c r="E308" s="60" t="s">
        <v>2120</v>
      </c>
      <c r="F308" s="60" t="s">
        <v>2121</v>
      </c>
      <c r="G308" s="1" t="s">
        <v>1602</v>
      </c>
      <c r="H308" s="1" t="n">
        <v>4</v>
      </c>
      <c r="I308" s="1" t="s">
        <v>1602</v>
      </c>
      <c r="J308" s="1" t="s">
        <v>1602</v>
      </c>
      <c r="K308" s="62" t="s">
        <v>2101</v>
      </c>
      <c r="L308" s="21" t="str">
        <f aca="false">VLOOKUP(K308,clasif_filas!$A$2:$J$39,2,FALSE())</f>
        <v>Metales, Maquianria, equipos y transporte</v>
      </c>
      <c r="M308" s="21" t="str">
        <f aca="false">VLOOKUP(K308,clasif_filas!$A$2:$J$39,3,FALSE())</f>
        <v>41-49</v>
      </c>
      <c r="N308" s="21" t="str">
        <f aca="false">VLOOKUP(K308,clasif_filas!$A$2:$J$39,4,FALSE())</f>
        <v>Metales, Maquianria, equipos y transporte</v>
      </c>
      <c r="O308" s="21" t="n">
        <f aca="false">VLOOKUP(K308,clasif_filas!$A$2:$J$39,5,FALSE())</f>
        <v>99</v>
      </c>
      <c r="P308" s="21" t="str">
        <f aca="false">VLOOKUP(K308,clasif_filas!$A$2:$J$39,6,FALSE())</f>
        <v>No Bioeconomía</v>
      </c>
      <c r="Q308" s="21" t="n">
        <f aca="false">VLOOKUP(K308,clasif_filas!$A$2:$J$39,7,FALSE())</f>
        <v>4</v>
      </c>
      <c r="R308" s="21" t="str">
        <f aca="false">VLOOKUP(K308,clasif_filas!$A$2:$J$39,8,FALSE())</f>
        <v>Productos metálicos, maquinaria y equipo</v>
      </c>
      <c r="S308" s="21" t="n">
        <f aca="false">VLOOKUP(K308,clasif_filas!$A$2:$J$39,9,FALSE())</f>
        <v>3</v>
      </c>
      <c r="T308" s="61" t="str">
        <f aca="false">VLOOKUP(K308,clasif_filas!$A$2:$J$39,10,FALSE())</f>
        <v>No bioeconomía</v>
      </c>
    </row>
    <row r="309" customFormat="false" ht="25.55" hidden="false" customHeight="false" outlineLevel="0" collapsed="false">
      <c r="A309" s="29" t="s">
        <v>621</v>
      </c>
      <c r="B309" s="67" t="s">
        <v>1836</v>
      </c>
      <c r="C309" s="58" t="str">
        <f aca="false">VLOOKUP(B309, AT_FILAS!$A$2:$C$8,2,FALSE())</f>
        <v>Consumo intermedio</v>
      </c>
      <c r="D309" s="58" t="n">
        <f aca="false">VLOOKUP(B309, AT_FILAS!$A$2:$C$8,3,FALSE())</f>
        <v>2</v>
      </c>
      <c r="E309" s="60" t="s">
        <v>2122</v>
      </c>
      <c r="F309" s="60" t="s">
        <v>2123</v>
      </c>
      <c r="G309" s="1" t="s">
        <v>1602</v>
      </c>
      <c r="H309" s="1" t="n">
        <v>4</v>
      </c>
      <c r="I309" s="1" t="s">
        <v>1602</v>
      </c>
      <c r="J309" s="1" t="s">
        <v>1602</v>
      </c>
      <c r="K309" s="62" t="s">
        <v>2101</v>
      </c>
      <c r="L309" s="21" t="str">
        <f aca="false">VLOOKUP(K309,clasif_filas!$A$2:$J$39,2,FALSE())</f>
        <v>Metales, Maquianria, equipos y transporte</v>
      </c>
      <c r="M309" s="21" t="str">
        <f aca="false">VLOOKUP(K309,clasif_filas!$A$2:$J$39,3,FALSE())</f>
        <v>41-49</v>
      </c>
      <c r="N309" s="21" t="str">
        <f aca="false">VLOOKUP(K309,clasif_filas!$A$2:$J$39,4,FALSE())</f>
        <v>Metales, Maquianria, equipos y transporte</v>
      </c>
      <c r="O309" s="21" t="n">
        <f aca="false">VLOOKUP(K309,clasif_filas!$A$2:$J$39,5,FALSE())</f>
        <v>99</v>
      </c>
      <c r="P309" s="21" t="str">
        <f aca="false">VLOOKUP(K309,clasif_filas!$A$2:$J$39,6,FALSE())</f>
        <v>No Bioeconomía</v>
      </c>
      <c r="Q309" s="21" t="n">
        <f aca="false">VLOOKUP(K309,clasif_filas!$A$2:$J$39,7,FALSE())</f>
        <v>4</v>
      </c>
      <c r="R309" s="21" t="str">
        <f aca="false">VLOOKUP(K309,clasif_filas!$A$2:$J$39,8,FALSE())</f>
        <v>Productos metálicos, maquinaria y equipo</v>
      </c>
      <c r="S309" s="21" t="n">
        <f aca="false">VLOOKUP(K309,clasif_filas!$A$2:$J$39,9,FALSE())</f>
        <v>3</v>
      </c>
      <c r="T309" s="61" t="str">
        <f aca="false">VLOOKUP(K309,clasif_filas!$A$2:$J$39,10,FALSE())</f>
        <v>No bioeconomía</v>
      </c>
    </row>
    <row r="310" customFormat="false" ht="14.25" hidden="false" customHeight="false" outlineLevel="0" collapsed="false">
      <c r="A310" s="29" t="s">
        <v>623</v>
      </c>
      <c r="B310" s="67" t="s">
        <v>1836</v>
      </c>
      <c r="C310" s="58" t="str">
        <f aca="false">VLOOKUP(B310, AT_FILAS!$A$2:$C$8,2,FALSE())</f>
        <v>Consumo intermedio</v>
      </c>
      <c r="D310" s="58" t="n">
        <f aca="false">VLOOKUP(B310, AT_FILAS!$A$2:$C$8,3,FALSE())</f>
        <v>2</v>
      </c>
      <c r="E310" s="60" t="s">
        <v>2124</v>
      </c>
      <c r="F310" s="60" t="s">
        <v>2125</v>
      </c>
      <c r="G310" s="1" t="s">
        <v>1602</v>
      </c>
      <c r="H310" s="1" t="n">
        <v>4</v>
      </c>
      <c r="I310" s="1" t="s">
        <v>1602</v>
      </c>
      <c r="J310" s="1" t="s">
        <v>1602</v>
      </c>
      <c r="K310" s="1" t="n">
        <v>38</v>
      </c>
      <c r="L310" s="21" t="str">
        <f aca="false">VLOOKUP(K310,clasif_filas!$A$2:$J$39,2,FALSE())</f>
        <v>Muebles; otros bienes transportables n.c.p.</v>
      </c>
      <c r="M310" s="21" t="n">
        <f aca="false">VLOOKUP(K310,clasif_filas!$A$2:$J$39,3,FALSE())</f>
        <v>38</v>
      </c>
      <c r="N310" s="21" t="str">
        <f aca="false">VLOOKUP(K310,clasif_filas!$A$2:$J$39,4,FALSE())</f>
        <v>Muebles; otros bienes transportables n.c.p.</v>
      </c>
      <c r="O310" s="21" t="n">
        <f aca="false">VLOOKUP(K310,clasif_filas!$A$2:$J$39,5,FALSE())</f>
        <v>99</v>
      </c>
      <c r="P310" s="21" t="str">
        <f aca="false">VLOOKUP(K310,clasif_filas!$A$2:$J$39,6,FALSE())</f>
        <v>No Bioeconomía</v>
      </c>
      <c r="Q310" s="21" t="n">
        <f aca="false">VLOOKUP(K310,clasif_filas!$A$2:$J$39,7,FALSE())</f>
        <v>3</v>
      </c>
      <c r="R310" s="21" t="str">
        <f aca="false">VLOOKUP(K310,clasif_filas!$A$2:$J$39,8,FALSE())</f>
        <v>Otros bienes transportables, excepto productos metálicos, maquinaria y equipo</v>
      </c>
      <c r="S310" s="21" t="n">
        <f aca="false">VLOOKUP(K310,clasif_filas!$A$2:$J$39,9,FALSE())</f>
        <v>3</v>
      </c>
      <c r="T310" s="61" t="str">
        <f aca="false">VLOOKUP(K310,clasif_filas!$A$2:$J$39,10,FALSE())</f>
        <v>No bioeconomía</v>
      </c>
    </row>
    <row r="311" customFormat="false" ht="14.25" hidden="false" customHeight="false" outlineLevel="0" collapsed="false">
      <c r="A311" s="29" t="s">
        <v>625</v>
      </c>
      <c r="B311" s="67" t="s">
        <v>1836</v>
      </c>
      <c r="C311" s="58" t="str">
        <f aca="false">VLOOKUP(B311, AT_FILAS!$A$2:$C$8,2,FALSE())</f>
        <v>Consumo intermedio</v>
      </c>
      <c r="D311" s="58" t="n">
        <f aca="false">VLOOKUP(B311, AT_FILAS!$A$2:$C$8,3,FALSE())</f>
        <v>2</v>
      </c>
      <c r="E311" s="60" t="s">
        <v>2126</v>
      </c>
      <c r="F311" s="60" t="s">
        <v>2127</v>
      </c>
      <c r="G311" s="1" t="s">
        <v>1602</v>
      </c>
      <c r="H311" s="1" t="n">
        <v>4</v>
      </c>
      <c r="I311" s="1" t="s">
        <v>1602</v>
      </c>
      <c r="J311" s="1" t="s">
        <v>1602</v>
      </c>
      <c r="K311" s="1" t="n">
        <v>38</v>
      </c>
      <c r="L311" s="21" t="str">
        <f aca="false">VLOOKUP(K311,clasif_filas!$A$2:$J$39,2,FALSE())</f>
        <v>Muebles; otros bienes transportables n.c.p.</v>
      </c>
      <c r="M311" s="21" t="n">
        <f aca="false">VLOOKUP(K311,clasif_filas!$A$2:$J$39,3,FALSE())</f>
        <v>38</v>
      </c>
      <c r="N311" s="21" t="str">
        <f aca="false">VLOOKUP(K311,clasif_filas!$A$2:$J$39,4,FALSE())</f>
        <v>Muebles; otros bienes transportables n.c.p.</v>
      </c>
      <c r="O311" s="21" t="n">
        <f aca="false">VLOOKUP(K311,clasif_filas!$A$2:$J$39,5,FALSE())</f>
        <v>99</v>
      </c>
      <c r="P311" s="21" t="str">
        <f aca="false">VLOOKUP(K311,clasif_filas!$A$2:$J$39,6,FALSE())</f>
        <v>No Bioeconomía</v>
      </c>
      <c r="Q311" s="21" t="n">
        <f aca="false">VLOOKUP(K311,clasif_filas!$A$2:$J$39,7,FALSE())</f>
        <v>3</v>
      </c>
      <c r="R311" s="21" t="str">
        <f aca="false">VLOOKUP(K311,clasif_filas!$A$2:$J$39,8,FALSE())</f>
        <v>Otros bienes transportables, excepto productos metálicos, maquinaria y equipo</v>
      </c>
      <c r="S311" s="21" t="n">
        <f aca="false">VLOOKUP(K311,clasif_filas!$A$2:$J$39,9,FALSE())</f>
        <v>3</v>
      </c>
      <c r="T311" s="61" t="str">
        <f aca="false">VLOOKUP(K311,clasif_filas!$A$2:$J$39,10,FALSE())</f>
        <v>No bioeconomía</v>
      </c>
    </row>
    <row r="312" customFormat="false" ht="14.25" hidden="false" customHeight="false" outlineLevel="0" collapsed="false">
      <c r="A312" s="29" t="s">
        <v>627</v>
      </c>
      <c r="B312" s="67" t="s">
        <v>1836</v>
      </c>
      <c r="C312" s="58" t="str">
        <f aca="false">VLOOKUP(B312, AT_FILAS!$A$2:$C$8,2,FALSE())</f>
        <v>Consumo intermedio</v>
      </c>
      <c r="D312" s="58" t="n">
        <f aca="false">VLOOKUP(B312, AT_FILAS!$A$2:$C$8,3,FALSE())</f>
        <v>2</v>
      </c>
      <c r="E312" s="60" t="s">
        <v>2128</v>
      </c>
      <c r="F312" s="60" t="s">
        <v>2129</v>
      </c>
      <c r="G312" s="1" t="s">
        <v>1602</v>
      </c>
      <c r="H312" s="1" t="n">
        <v>4</v>
      </c>
      <c r="I312" s="1" t="s">
        <v>1602</v>
      </c>
      <c r="J312" s="1" t="s">
        <v>1602</v>
      </c>
      <c r="K312" s="1" t="n">
        <v>38</v>
      </c>
      <c r="L312" s="21" t="str">
        <f aca="false">VLOOKUP(K312,clasif_filas!$A$2:$J$39,2,FALSE())</f>
        <v>Muebles; otros bienes transportables n.c.p.</v>
      </c>
      <c r="M312" s="21" t="n">
        <f aca="false">VLOOKUP(K312,clasif_filas!$A$2:$J$39,3,FALSE())</f>
        <v>38</v>
      </c>
      <c r="N312" s="21" t="str">
        <f aca="false">VLOOKUP(K312,clasif_filas!$A$2:$J$39,4,FALSE())</f>
        <v>Muebles; otros bienes transportables n.c.p.</v>
      </c>
      <c r="O312" s="21" t="n">
        <f aca="false">VLOOKUP(K312,clasif_filas!$A$2:$J$39,5,FALSE())</f>
        <v>99</v>
      </c>
      <c r="P312" s="21" t="str">
        <f aca="false">VLOOKUP(K312,clasif_filas!$A$2:$J$39,6,FALSE())</f>
        <v>No Bioeconomía</v>
      </c>
      <c r="Q312" s="21" t="n">
        <f aca="false">VLOOKUP(K312,clasif_filas!$A$2:$J$39,7,FALSE())</f>
        <v>3</v>
      </c>
      <c r="R312" s="21" t="str">
        <f aca="false">VLOOKUP(K312,clasif_filas!$A$2:$J$39,8,FALSE())</f>
        <v>Otros bienes transportables, excepto productos metálicos, maquinaria y equipo</v>
      </c>
      <c r="S312" s="21" t="n">
        <f aca="false">VLOOKUP(K312,clasif_filas!$A$2:$J$39,9,FALSE())</f>
        <v>3</v>
      </c>
      <c r="T312" s="61" t="str">
        <f aca="false">VLOOKUP(K312,clasif_filas!$A$2:$J$39,10,FALSE())</f>
        <v>No bioeconomía</v>
      </c>
    </row>
    <row r="313" customFormat="false" ht="14.25" hidden="false" customHeight="false" outlineLevel="0" collapsed="false">
      <c r="A313" s="29" t="s">
        <v>629</v>
      </c>
      <c r="B313" s="67" t="s">
        <v>1836</v>
      </c>
      <c r="C313" s="58" t="str">
        <f aca="false">VLOOKUP(B313, AT_FILAS!$A$2:$C$8,2,FALSE())</f>
        <v>Consumo intermedio</v>
      </c>
      <c r="D313" s="58" t="n">
        <f aca="false">VLOOKUP(B313, AT_FILAS!$A$2:$C$8,3,FALSE())</f>
        <v>2</v>
      </c>
      <c r="E313" s="60" t="s">
        <v>2130</v>
      </c>
      <c r="F313" s="60" t="s">
        <v>2131</v>
      </c>
      <c r="G313" s="1" t="s">
        <v>1602</v>
      </c>
      <c r="H313" s="1" t="n">
        <v>4</v>
      </c>
      <c r="I313" s="1" t="s">
        <v>1602</v>
      </c>
      <c r="J313" s="1" t="s">
        <v>1602</v>
      </c>
      <c r="K313" s="1" t="n">
        <v>38</v>
      </c>
      <c r="L313" s="21" t="str">
        <f aca="false">VLOOKUP(K313,clasif_filas!$A$2:$J$39,2,FALSE())</f>
        <v>Muebles; otros bienes transportables n.c.p.</v>
      </c>
      <c r="M313" s="21" t="n">
        <f aca="false">VLOOKUP(K313,clasif_filas!$A$2:$J$39,3,FALSE())</f>
        <v>38</v>
      </c>
      <c r="N313" s="21" t="str">
        <f aca="false">VLOOKUP(K313,clasif_filas!$A$2:$J$39,4,FALSE())</f>
        <v>Muebles; otros bienes transportables n.c.p.</v>
      </c>
      <c r="O313" s="21" t="n">
        <f aca="false">VLOOKUP(K313,clasif_filas!$A$2:$J$39,5,FALSE())</f>
        <v>99</v>
      </c>
      <c r="P313" s="21" t="str">
        <f aca="false">VLOOKUP(K313,clasif_filas!$A$2:$J$39,6,FALSE())</f>
        <v>No Bioeconomía</v>
      </c>
      <c r="Q313" s="21" t="n">
        <f aca="false">VLOOKUP(K313,clasif_filas!$A$2:$J$39,7,FALSE())</f>
        <v>3</v>
      </c>
      <c r="R313" s="21" t="str">
        <f aca="false">VLOOKUP(K313,clasif_filas!$A$2:$J$39,8,FALSE())</f>
        <v>Otros bienes transportables, excepto productos metálicos, maquinaria y equipo</v>
      </c>
      <c r="S313" s="21" t="n">
        <f aca="false">VLOOKUP(K313,clasif_filas!$A$2:$J$39,9,FALSE())</f>
        <v>3</v>
      </c>
      <c r="T313" s="61" t="str">
        <f aca="false">VLOOKUP(K313,clasif_filas!$A$2:$J$39,10,FALSE())</f>
        <v>No bioeconomía</v>
      </c>
    </row>
    <row r="314" customFormat="false" ht="14.25" hidden="false" customHeight="false" outlineLevel="0" collapsed="false">
      <c r="A314" s="29" t="s">
        <v>631</v>
      </c>
      <c r="B314" s="67" t="s">
        <v>1836</v>
      </c>
      <c r="C314" s="58" t="str">
        <f aca="false">VLOOKUP(B314, AT_FILAS!$A$2:$C$8,2,FALSE())</f>
        <v>Consumo intermedio</v>
      </c>
      <c r="D314" s="58" t="n">
        <f aca="false">VLOOKUP(B314, AT_FILAS!$A$2:$C$8,3,FALSE())</f>
        <v>2</v>
      </c>
      <c r="E314" s="60" t="s">
        <v>2132</v>
      </c>
      <c r="F314" s="60" t="s">
        <v>2133</v>
      </c>
      <c r="G314" s="1" t="s">
        <v>1602</v>
      </c>
      <c r="H314" s="1" t="n">
        <v>4</v>
      </c>
      <c r="I314" s="1" t="s">
        <v>1602</v>
      </c>
      <c r="J314" s="1" t="s">
        <v>1602</v>
      </c>
      <c r="K314" s="1" t="n">
        <v>38</v>
      </c>
      <c r="L314" s="21" t="str">
        <f aca="false">VLOOKUP(K314,clasif_filas!$A$2:$J$39,2,FALSE())</f>
        <v>Muebles; otros bienes transportables n.c.p.</v>
      </c>
      <c r="M314" s="21" t="n">
        <f aca="false">VLOOKUP(K314,clasif_filas!$A$2:$J$39,3,FALSE())</f>
        <v>38</v>
      </c>
      <c r="N314" s="21" t="str">
        <f aca="false">VLOOKUP(K314,clasif_filas!$A$2:$J$39,4,FALSE())</f>
        <v>Muebles; otros bienes transportables n.c.p.</v>
      </c>
      <c r="O314" s="21" t="n">
        <f aca="false">VLOOKUP(K314,clasif_filas!$A$2:$J$39,5,FALSE())</f>
        <v>99</v>
      </c>
      <c r="P314" s="21" t="str">
        <f aca="false">VLOOKUP(K314,clasif_filas!$A$2:$J$39,6,FALSE())</f>
        <v>No Bioeconomía</v>
      </c>
      <c r="Q314" s="21" t="n">
        <f aca="false">VLOOKUP(K314,clasif_filas!$A$2:$J$39,7,FALSE())</f>
        <v>3</v>
      </c>
      <c r="R314" s="21" t="str">
        <f aca="false">VLOOKUP(K314,clasif_filas!$A$2:$J$39,8,FALSE())</f>
        <v>Otros bienes transportables, excepto productos metálicos, maquinaria y equipo</v>
      </c>
      <c r="S314" s="21" t="n">
        <f aca="false">VLOOKUP(K314,clasif_filas!$A$2:$J$39,9,FALSE())</f>
        <v>3</v>
      </c>
      <c r="T314" s="61" t="str">
        <f aca="false">VLOOKUP(K314,clasif_filas!$A$2:$J$39,10,FALSE())</f>
        <v>No bioeconomía</v>
      </c>
    </row>
    <row r="315" customFormat="false" ht="14.25" hidden="false" customHeight="false" outlineLevel="0" collapsed="false">
      <c r="A315" s="29" t="s">
        <v>633</v>
      </c>
      <c r="B315" s="67" t="s">
        <v>1836</v>
      </c>
      <c r="C315" s="58" t="str">
        <f aca="false">VLOOKUP(B315, AT_FILAS!$A$2:$C$8,2,FALSE())</f>
        <v>Consumo intermedio</v>
      </c>
      <c r="D315" s="58" t="n">
        <f aca="false">VLOOKUP(B315, AT_FILAS!$A$2:$C$8,3,FALSE())</f>
        <v>2</v>
      </c>
      <c r="E315" s="60" t="s">
        <v>2134</v>
      </c>
      <c r="F315" s="60" t="s">
        <v>2135</v>
      </c>
      <c r="G315" s="1" t="s">
        <v>1602</v>
      </c>
      <c r="H315" s="1" t="n">
        <v>4</v>
      </c>
      <c r="I315" s="1" t="s">
        <v>1602</v>
      </c>
      <c r="J315" s="1" t="s">
        <v>1602</v>
      </c>
      <c r="K315" s="1" t="n">
        <v>38</v>
      </c>
      <c r="L315" s="21" t="str">
        <f aca="false">VLOOKUP(K315,clasif_filas!$A$2:$J$39,2,FALSE())</f>
        <v>Muebles; otros bienes transportables n.c.p.</v>
      </c>
      <c r="M315" s="21" t="n">
        <f aca="false">VLOOKUP(K315,clasif_filas!$A$2:$J$39,3,FALSE())</f>
        <v>38</v>
      </c>
      <c r="N315" s="21" t="str">
        <f aca="false">VLOOKUP(K315,clasif_filas!$A$2:$J$39,4,FALSE())</f>
        <v>Muebles; otros bienes transportables n.c.p.</v>
      </c>
      <c r="O315" s="21" t="n">
        <f aca="false">VLOOKUP(K315,clasif_filas!$A$2:$J$39,5,FALSE())</f>
        <v>99</v>
      </c>
      <c r="P315" s="21" t="str">
        <f aca="false">VLOOKUP(K315,clasif_filas!$A$2:$J$39,6,FALSE())</f>
        <v>No Bioeconomía</v>
      </c>
      <c r="Q315" s="21" t="n">
        <f aca="false">VLOOKUP(K315,clasif_filas!$A$2:$J$39,7,FALSE())</f>
        <v>3</v>
      </c>
      <c r="R315" s="21" t="str">
        <f aca="false">VLOOKUP(K315,clasif_filas!$A$2:$J$39,8,FALSE())</f>
        <v>Otros bienes transportables, excepto productos metálicos, maquinaria y equipo</v>
      </c>
      <c r="S315" s="21" t="n">
        <f aca="false">VLOOKUP(K315,clasif_filas!$A$2:$J$39,9,FALSE())</f>
        <v>3</v>
      </c>
      <c r="T315" s="61" t="str">
        <f aca="false">VLOOKUP(K315,clasif_filas!$A$2:$J$39,10,FALSE())</f>
        <v>No bioeconomía</v>
      </c>
    </row>
    <row r="316" customFormat="false" ht="14.25" hidden="false" customHeight="false" outlineLevel="0" collapsed="false">
      <c r="A316" s="29" t="s">
        <v>635</v>
      </c>
      <c r="B316" s="67" t="s">
        <v>1836</v>
      </c>
      <c r="C316" s="58" t="str">
        <f aca="false">VLOOKUP(B316, AT_FILAS!$A$2:$C$8,2,FALSE())</f>
        <v>Consumo intermedio</v>
      </c>
      <c r="D316" s="58" t="n">
        <f aca="false">VLOOKUP(B316, AT_FILAS!$A$2:$C$8,3,FALSE())</f>
        <v>2</v>
      </c>
      <c r="E316" s="60" t="s">
        <v>2136</v>
      </c>
      <c r="F316" s="60" t="s">
        <v>2137</v>
      </c>
      <c r="G316" s="1" t="s">
        <v>2138</v>
      </c>
      <c r="H316" s="1" t="n">
        <v>1</v>
      </c>
      <c r="I316" s="1" t="s">
        <v>1865</v>
      </c>
      <c r="J316" s="1" t="s">
        <v>1866</v>
      </c>
      <c r="K316" s="1" t="n">
        <v>39</v>
      </c>
      <c r="L316" s="21" t="str">
        <f aca="false">VLOOKUP(K316,clasif_filas!$A$2:$J$39,2,FALSE())</f>
        <v>Desperdicios o desechos</v>
      </c>
      <c r="M316" s="21" t="n">
        <f aca="false">VLOOKUP(K316,clasif_filas!$A$2:$J$39,3,FALSE())</f>
        <v>39</v>
      </c>
      <c r="N316" s="21" t="str">
        <f aca="false">VLOOKUP(K316,clasif_filas!$A$2:$J$39,4,FALSE())</f>
        <v>Desperdicios o desechos</v>
      </c>
      <c r="O316" s="21" t="n">
        <f aca="false">VLOOKUP(K316,clasif_filas!$A$2:$J$39,5,FALSE())</f>
        <v>4</v>
      </c>
      <c r="P316" s="21" t="str">
        <f aca="false">VLOOKUP(K316,clasif_filas!$A$2:$J$39,6,FALSE())</f>
        <v>Biomasa residual en los sectores agropecuario, pesca y acuacultura, forestal y agroindustrial</v>
      </c>
      <c r="Q316" s="21" t="n">
        <f aca="false">VLOOKUP(K316,clasif_filas!$A$2:$J$39,7,FALSE())</f>
        <v>3</v>
      </c>
      <c r="R316" s="21" t="str">
        <f aca="false">VLOOKUP(K316,clasif_filas!$A$2:$J$39,8,FALSE())</f>
        <v>Otros bienes transportables, excepto productos metálicos, maquinaria y equipo</v>
      </c>
      <c r="S316" s="21" t="n">
        <f aca="false">VLOOKUP(K316,clasif_filas!$A$2:$J$39,9,FALSE())</f>
        <v>2</v>
      </c>
      <c r="T316" s="61" t="str">
        <f aca="false">VLOOKUP(K316,clasif_filas!$A$2:$J$39,10,FALSE())</f>
        <v>Bioeconomía extendida</v>
      </c>
    </row>
    <row r="317" customFormat="false" ht="37.55" hidden="false" customHeight="false" outlineLevel="0" collapsed="false">
      <c r="A317" s="29" t="s">
        <v>637</v>
      </c>
      <c r="B317" s="67" t="s">
        <v>1836</v>
      </c>
      <c r="C317" s="58" t="str">
        <f aca="false">VLOOKUP(B317, AT_FILAS!$A$2:$C$8,2,FALSE())</f>
        <v>Consumo intermedio</v>
      </c>
      <c r="D317" s="58" t="n">
        <f aca="false">VLOOKUP(B317, AT_FILAS!$A$2:$C$8,3,FALSE())</f>
        <v>2</v>
      </c>
      <c r="E317" s="60" t="s">
        <v>2139</v>
      </c>
      <c r="F317" s="60" t="s">
        <v>2140</v>
      </c>
      <c r="G317" s="1" t="s">
        <v>1602</v>
      </c>
      <c r="H317" s="1" t="n">
        <v>4</v>
      </c>
      <c r="I317" s="1" t="s">
        <v>1602</v>
      </c>
      <c r="J317" s="1" t="s">
        <v>1602</v>
      </c>
      <c r="K317" s="1" t="n">
        <v>6</v>
      </c>
      <c r="L317" s="21" t="str">
        <f aca="false">VLOOKUP(K317,clasif_filas!$A$2:$J$39,2,FALSE())</f>
        <v>Otros servicios</v>
      </c>
      <c r="M317" s="21" t="n">
        <f aca="false">VLOOKUP(K317,clasif_filas!$A$2:$J$39,3,FALSE())</f>
        <v>6</v>
      </c>
      <c r="N317" s="21" t="str">
        <f aca="false">VLOOKUP(K317,clasif_filas!$A$2:$J$39,4,FALSE())</f>
        <v>Otros servicios</v>
      </c>
      <c r="O317" s="21" t="n">
        <f aca="false">VLOOKUP(K317,clasif_filas!$A$2:$J$39,5,FALSE())</f>
        <v>99</v>
      </c>
      <c r="P317" s="21" t="str">
        <f aca="false">VLOOKUP(K317,clasif_filas!$A$2:$J$39,6,FALSE())</f>
        <v>No Bioeconomía</v>
      </c>
      <c r="Q317" s="21" t="n">
        <f aca="false">VLOOKUP(K317,clasif_filas!$A$2:$J$39,7,FALSE())</f>
        <v>6</v>
      </c>
      <c r="R317" s="21" t="str">
        <f aca="false">VLOOKUP(K317,clasif_filas!$A$2:$J$39,8,FALSE())</f>
        <v>Servicios comerciales de distribución; alojamiento, servicios de suministro de comidas y bebidas; servicios de transporte; y servicios de distribución de electricidad, gas y agua</v>
      </c>
      <c r="S317" s="21" t="n">
        <f aca="false">VLOOKUP(K317,clasif_filas!$A$2:$J$39,9,FALSE())</f>
        <v>3</v>
      </c>
      <c r="T317" s="61" t="str">
        <f aca="false">VLOOKUP(K317,clasif_filas!$A$2:$J$39,10,FALSE())</f>
        <v>No bioeconomía</v>
      </c>
    </row>
    <row r="318" customFormat="false" ht="14.25" hidden="false" customHeight="false" outlineLevel="0" collapsed="false">
      <c r="A318" s="29" t="s">
        <v>639</v>
      </c>
      <c r="B318" s="67" t="s">
        <v>1836</v>
      </c>
      <c r="C318" s="58" t="str">
        <f aca="false">VLOOKUP(B318, AT_FILAS!$A$2:$C$8,2,FALSE())</f>
        <v>Consumo intermedio</v>
      </c>
      <c r="D318" s="58" t="n">
        <f aca="false">VLOOKUP(B318, AT_FILAS!$A$2:$C$8,3,FALSE())</f>
        <v>2</v>
      </c>
      <c r="E318" s="60" t="s">
        <v>2141</v>
      </c>
      <c r="F318" s="60" t="s">
        <v>2142</v>
      </c>
      <c r="G318" s="1" t="s">
        <v>1602</v>
      </c>
      <c r="H318" s="1" t="n">
        <v>4</v>
      </c>
      <c r="I318" s="1" t="s">
        <v>1602</v>
      </c>
      <c r="J318" s="1" t="s">
        <v>1602</v>
      </c>
      <c r="K318" s="1" t="n">
        <v>6</v>
      </c>
      <c r="L318" s="21" t="str">
        <f aca="false">VLOOKUP(K318,clasif_filas!$A$2:$J$39,2,FALSE())</f>
        <v>Otros servicios</v>
      </c>
      <c r="M318" s="21" t="n">
        <f aca="false">VLOOKUP(K318,clasif_filas!$A$2:$J$39,3,FALSE())</f>
        <v>6</v>
      </c>
      <c r="N318" s="21" t="str">
        <f aca="false">VLOOKUP(K318,clasif_filas!$A$2:$J$39,4,FALSE())</f>
        <v>Otros servicios</v>
      </c>
      <c r="O318" s="21" t="n">
        <f aca="false">VLOOKUP(K318,clasif_filas!$A$2:$J$39,5,FALSE())</f>
        <v>99</v>
      </c>
      <c r="P318" s="21" t="str">
        <f aca="false">VLOOKUP(K318,clasif_filas!$A$2:$J$39,6,FALSE())</f>
        <v>No Bioeconomía</v>
      </c>
      <c r="Q318" s="21" t="n">
        <f aca="false">VLOOKUP(K318,clasif_filas!$A$2:$J$39,7,FALSE())</f>
        <v>6</v>
      </c>
      <c r="R318" s="21" t="str">
        <f aca="false">VLOOKUP(K318,clasif_filas!$A$2:$J$39,8,FALSE())</f>
        <v>Servicios comerciales de distribución; alojamiento, servicios de suministro de comidas y bebidas; servicios de transporte; y servicios de distribución de electricidad, gas y agua</v>
      </c>
      <c r="S318" s="21" t="n">
        <f aca="false">VLOOKUP(K318,clasif_filas!$A$2:$J$39,9,FALSE())</f>
        <v>3</v>
      </c>
      <c r="T318" s="61" t="str">
        <f aca="false">VLOOKUP(K318,clasif_filas!$A$2:$J$39,10,FALSE())</f>
        <v>No bioeconomía</v>
      </c>
    </row>
    <row r="319" customFormat="false" ht="25.55" hidden="false" customHeight="false" outlineLevel="0" collapsed="false">
      <c r="A319" s="29" t="s">
        <v>641</v>
      </c>
      <c r="B319" s="67" t="s">
        <v>1836</v>
      </c>
      <c r="C319" s="58" t="str">
        <f aca="false">VLOOKUP(B319, AT_FILAS!$A$2:$C$8,2,FALSE())</f>
        <v>Consumo intermedio</v>
      </c>
      <c r="D319" s="58" t="n">
        <f aca="false">VLOOKUP(B319, AT_FILAS!$A$2:$C$8,3,FALSE())</f>
        <v>2</v>
      </c>
      <c r="E319" s="60" t="s">
        <v>2143</v>
      </c>
      <c r="F319" s="60" t="s">
        <v>2144</v>
      </c>
      <c r="G319" s="1" t="s">
        <v>1941</v>
      </c>
      <c r="H319" s="1" t="n">
        <v>1</v>
      </c>
      <c r="I319" s="1" t="s">
        <v>1865</v>
      </c>
      <c r="J319" s="1" t="s">
        <v>1941</v>
      </c>
      <c r="K319" s="1" t="n">
        <v>69</v>
      </c>
      <c r="L319" s="21" t="str">
        <f aca="false">VLOOKUP(K319,clasif_filas!$A$2:$J$39,2,FALSE())</f>
        <v>Distribución de electricidad, gas y agua (por cuenta propia)</v>
      </c>
      <c r="M319" s="21" t="n">
        <f aca="false">VLOOKUP(K319,clasif_filas!$A$2:$J$39,3,FALSE())</f>
        <v>69</v>
      </c>
      <c r="N319" s="21" t="str">
        <f aca="false">VLOOKUP(K319,clasif_filas!$A$2:$J$39,4,FALSE())</f>
        <v>Distribución de electricidad, gas y agua (por cuenta propia)</v>
      </c>
      <c r="O319" s="21" t="n">
        <f aca="false">VLOOKUP(K319,clasif_filas!$A$2:$J$39,5,FALSE())</f>
        <v>6</v>
      </c>
      <c r="P319" s="21" t="str">
        <f aca="false">VLOOKUP(K319,clasif_filas!$A$2:$J$39,6,FALSE())</f>
        <v>Conocimiento, procesos y servicios relacionados</v>
      </c>
      <c r="Q319" s="21" t="n">
        <f aca="false">VLOOKUP(K319,clasif_filas!$A$2:$J$39,7,FALSE())</f>
        <v>6</v>
      </c>
      <c r="R319" s="21" t="str">
        <f aca="false">VLOOKUP(K319,clasif_filas!$A$2:$J$39,8,FALSE())</f>
        <v>Servicios comerciales de distribución; alojamiento, servicios de suministro de comidas y bebidas; servicios de transporte; y servicios de distribución de electricidad, gas y agua</v>
      </c>
      <c r="S319" s="21" t="n">
        <f aca="false">VLOOKUP(K319,clasif_filas!$A$2:$J$39,9,FALSE())</f>
        <v>2</v>
      </c>
      <c r="T319" s="61" t="str">
        <f aca="false">VLOOKUP(K319,clasif_filas!$A$2:$J$39,10,FALSE())</f>
        <v>Bioeconomía extendida</v>
      </c>
    </row>
    <row r="320" customFormat="false" ht="25.55" hidden="false" customHeight="false" outlineLevel="0" collapsed="false">
      <c r="A320" s="29" t="s">
        <v>643</v>
      </c>
      <c r="B320" s="67" t="s">
        <v>1836</v>
      </c>
      <c r="C320" s="58" t="str">
        <f aca="false">VLOOKUP(B320, AT_FILAS!$A$2:$C$8,2,FALSE())</f>
        <v>Consumo intermedio</v>
      </c>
      <c r="D320" s="58" t="n">
        <f aca="false">VLOOKUP(B320, AT_FILAS!$A$2:$C$8,3,FALSE())</f>
        <v>2</v>
      </c>
      <c r="E320" s="60" t="s">
        <v>2145</v>
      </c>
      <c r="F320" s="60" t="s">
        <v>2146</v>
      </c>
      <c r="G320" s="1" t="s">
        <v>1936</v>
      </c>
      <c r="H320" s="1" t="n">
        <v>3</v>
      </c>
      <c r="I320" s="1" t="s">
        <v>1937</v>
      </c>
      <c r="J320" s="1" t="s">
        <v>1936</v>
      </c>
      <c r="K320" s="1" t="n">
        <v>69</v>
      </c>
      <c r="L320" s="21" t="str">
        <f aca="false">VLOOKUP(K320,clasif_filas!$A$2:$J$39,2,FALSE())</f>
        <v>Distribución de electricidad, gas y agua (por cuenta propia)</v>
      </c>
      <c r="M320" s="21" t="n">
        <f aca="false">VLOOKUP(K320,clasif_filas!$A$2:$J$39,3,FALSE())</f>
        <v>69</v>
      </c>
      <c r="N320" s="21" t="str">
        <f aca="false">VLOOKUP(K320,clasif_filas!$A$2:$J$39,4,FALSE())</f>
        <v>Distribución de electricidad, gas y agua (por cuenta propia)</v>
      </c>
      <c r="O320" s="21" t="n">
        <f aca="false">VLOOKUP(K320,clasif_filas!$A$2:$J$39,5,FALSE())</f>
        <v>6</v>
      </c>
      <c r="P320" s="21" t="str">
        <f aca="false">VLOOKUP(K320,clasif_filas!$A$2:$J$39,6,FALSE())</f>
        <v>Conocimiento, procesos y servicios relacionados</v>
      </c>
      <c r="Q320" s="21" t="n">
        <f aca="false">VLOOKUP(K320,clasif_filas!$A$2:$J$39,7,FALSE())</f>
        <v>6</v>
      </c>
      <c r="R320" s="21" t="str">
        <f aca="false">VLOOKUP(K320,clasif_filas!$A$2:$J$39,8,FALSE())</f>
        <v>Servicios comerciales de distribución; alojamiento, servicios de suministro de comidas y bebidas; servicios de transporte; y servicios de distribución de electricidad, gas y agua</v>
      </c>
      <c r="S320" s="21" t="n">
        <f aca="false">VLOOKUP(K320,clasif_filas!$A$2:$J$39,9,FALSE())</f>
        <v>2</v>
      </c>
      <c r="T320" s="61" t="str">
        <f aca="false">VLOOKUP(K320,clasif_filas!$A$2:$J$39,10,FALSE())</f>
        <v>Bioeconomía extendida</v>
      </c>
    </row>
    <row r="321" customFormat="false" ht="14.25" hidden="false" customHeight="false" outlineLevel="0" collapsed="false">
      <c r="A321" s="29" t="s">
        <v>645</v>
      </c>
      <c r="B321" s="67" t="s">
        <v>1836</v>
      </c>
      <c r="C321" s="58" t="str">
        <f aca="false">VLOOKUP(B321, AT_FILAS!$A$2:$C$8,2,FALSE())</f>
        <v>Consumo intermedio</v>
      </c>
      <c r="D321" s="58" t="n">
        <f aca="false">VLOOKUP(B321, AT_FILAS!$A$2:$C$8,3,FALSE())</f>
        <v>2</v>
      </c>
      <c r="E321" s="60" t="s">
        <v>2147</v>
      </c>
      <c r="F321" s="60" t="s">
        <v>2148</v>
      </c>
      <c r="G321" s="1" t="s">
        <v>1936</v>
      </c>
      <c r="H321" s="1" t="n">
        <v>3</v>
      </c>
      <c r="I321" s="1" t="s">
        <v>1937</v>
      </c>
      <c r="J321" s="1" t="s">
        <v>1936</v>
      </c>
      <c r="K321" s="1" t="n">
        <v>69</v>
      </c>
      <c r="L321" s="21" t="str">
        <f aca="false">VLOOKUP(K321,clasif_filas!$A$2:$J$39,2,FALSE())</f>
        <v>Distribución de electricidad, gas y agua (por cuenta propia)</v>
      </c>
      <c r="M321" s="21" t="n">
        <f aca="false">VLOOKUP(K321,clasif_filas!$A$2:$J$39,3,FALSE())</f>
        <v>69</v>
      </c>
      <c r="N321" s="21" t="str">
        <f aca="false">VLOOKUP(K321,clasif_filas!$A$2:$J$39,4,FALSE())</f>
        <v>Distribución de electricidad, gas y agua (por cuenta propia)</v>
      </c>
      <c r="O321" s="21" t="n">
        <f aca="false">VLOOKUP(K321,clasif_filas!$A$2:$J$39,5,FALSE())</f>
        <v>6</v>
      </c>
      <c r="P321" s="21" t="str">
        <f aca="false">VLOOKUP(K321,clasif_filas!$A$2:$J$39,6,FALSE())</f>
        <v>Conocimiento, procesos y servicios relacionados</v>
      </c>
      <c r="Q321" s="21" t="n">
        <f aca="false">VLOOKUP(K321,clasif_filas!$A$2:$J$39,7,FALSE())</f>
        <v>6</v>
      </c>
      <c r="R321" s="21" t="str">
        <f aca="false">VLOOKUP(K321,clasif_filas!$A$2:$J$39,8,FALSE())</f>
        <v>Servicios comerciales de distribución; alojamiento, servicios de suministro de comidas y bebidas; servicios de transporte; y servicios de distribución de electricidad, gas y agua</v>
      </c>
      <c r="S321" s="21" t="n">
        <f aca="false">VLOOKUP(K321,clasif_filas!$A$2:$J$39,9,FALSE())</f>
        <v>2</v>
      </c>
      <c r="T321" s="61" t="str">
        <f aca="false">VLOOKUP(K321,clasif_filas!$A$2:$J$39,10,FALSE())</f>
        <v>Bioeconomía extendida</v>
      </c>
    </row>
    <row r="322" customFormat="false" ht="25.55" hidden="false" customHeight="false" outlineLevel="0" collapsed="false">
      <c r="A322" s="29" t="s">
        <v>647</v>
      </c>
      <c r="B322" s="67" t="s">
        <v>1836</v>
      </c>
      <c r="C322" s="58" t="str">
        <f aca="false">VLOOKUP(B322, AT_FILAS!$A$2:$C$8,2,FALSE())</f>
        <v>Consumo intermedio</v>
      </c>
      <c r="D322" s="58" t="n">
        <f aca="false">VLOOKUP(B322, AT_FILAS!$A$2:$C$8,3,FALSE())</f>
        <v>2</v>
      </c>
      <c r="E322" s="60" t="s">
        <v>2149</v>
      </c>
      <c r="F322" s="60" t="s">
        <v>2150</v>
      </c>
      <c r="G322" s="1" t="s">
        <v>1936</v>
      </c>
      <c r="H322" s="1" t="n">
        <v>3</v>
      </c>
      <c r="I322" s="1" t="s">
        <v>1937</v>
      </c>
      <c r="J322" s="1" t="s">
        <v>1936</v>
      </c>
      <c r="K322" s="1" t="n">
        <v>69</v>
      </c>
      <c r="L322" s="21" t="str">
        <f aca="false">VLOOKUP(K322,clasif_filas!$A$2:$J$39,2,FALSE())</f>
        <v>Distribución de electricidad, gas y agua (por cuenta propia)</v>
      </c>
      <c r="M322" s="21" t="n">
        <f aca="false">VLOOKUP(K322,clasif_filas!$A$2:$J$39,3,FALSE())</f>
        <v>69</v>
      </c>
      <c r="N322" s="21" t="str">
        <f aca="false">VLOOKUP(K322,clasif_filas!$A$2:$J$39,4,FALSE())</f>
        <v>Distribución de electricidad, gas y agua (por cuenta propia)</v>
      </c>
      <c r="O322" s="21" t="n">
        <f aca="false">VLOOKUP(K322,clasif_filas!$A$2:$J$39,5,FALSE())</f>
        <v>6</v>
      </c>
      <c r="P322" s="21" t="str">
        <f aca="false">VLOOKUP(K322,clasif_filas!$A$2:$J$39,6,FALSE())</f>
        <v>Conocimiento, procesos y servicios relacionados</v>
      </c>
      <c r="Q322" s="21" t="n">
        <f aca="false">VLOOKUP(K322,clasif_filas!$A$2:$J$39,7,FALSE())</f>
        <v>6</v>
      </c>
      <c r="R322" s="21" t="str">
        <f aca="false">VLOOKUP(K322,clasif_filas!$A$2:$J$39,8,FALSE())</f>
        <v>Servicios comerciales de distribución; alojamiento, servicios de suministro de comidas y bebidas; servicios de transporte; y servicios de distribución de electricidad, gas y agua</v>
      </c>
      <c r="S322" s="21" t="n">
        <f aca="false">VLOOKUP(K322,clasif_filas!$A$2:$J$39,9,FALSE())</f>
        <v>2</v>
      </c>
      <c r="T322" s="61" t="str">
        <f aca="false">VLOOKUP(K322,clasif_filas!$A$2:$J$39,10,FALSE())</f>
        <v>Bioeconomía extendida</v>
      </c>
    </row>
    <row r="323" customFormat="false" ht="14.25" hidden="false" customHeight="false" outlineLevel="0" collapsed="false">
      <c r="A323" s="29" t="s">
        <v>649</v>
      </c>
      <c r="B323" s="67" t="s">
        <v>1836</v>
      </c>
      <c r="C323" s="58" t="str">
        <f aca="false">VLOOKUP(B323, AT_FILAS!$A$2:$C$8,2,FALSE())</f>
        <v>Consumo intermedio</v>
      </c>
      <c r="D323" s="58" t="n">
        <f aca="false">VLOOKUP(B323, AT_FILAS!$A$2:$C$8,3,FALSE())</f>
        <v>2</v>
      </c>
      <c r="E323" s="60" t="s">
        <v>2151</v>
      </c>
      <c r="F323" s="60" t="s">
        <v>2152</v>
      </c>
      <c r="G323" s="1" t="s">
        <v>1936</v>
      </c>
      <c r="H323" s="1" t="n">
        <v>3</v>
      </c>
      <c r="I323" s="1" t="s">
        <v>1937</v>
      </c>
      <c r="J323" s="1" t="s">
        <v>1936</v>
      </c>
      <c r="K323" s="1" t="n">
        <v>69</v>
      </c>
      <c r="L323" s="21" t="str">
        <f aca="false">VLOOKUP(K323,clasif_filas!$A$2:$J$39,2,FALSE())</f>
        <v>Distribución de electricidad, gas y agua (por cuenta propia)</v>
      </c>
      <c r="M323" s="21" t="n">
        <f aca="false">VLOOKUP(K323,clasif_filas!$A$2:$J$39,3,FALSE())</f>
        <v>69</v>
      </c>
      <c r="N323" s="21" t="str">
        <f aca="false">VLOOKUP(K323,clasif_filas!$A$2:$J$39,4,FALSE())</f>
        <v>Distribución de electricidad, gas y agua (por cuenta propia)</v>
      </c>
      <c r="O323" s="21" t="n">
        <f aca="false">VLOOKUP(K323,clasif_filas!$A$2:$J$39,5,FALSE())</f>
        <v>6</v>
      </c>
      <c r="P323" s="21" t="str">
        <f aca="false">VLOOKUP(K323,clasif_filas!$A$2:$J$39,6,FALSE())</f>
        <v>Conocimiento, procesos y servicios relacionados</v>
      </c>
      <c r="Q323" s="21" t="n">
        <f aca="false">VLOOKUP(K323,clasif_filas!$A$2:$J$39,7,FALSE())</f>
        <v>6</v>
      </c>
      <c r="R323" s="21" t="str">
        <f aca="false">VLOOKUP(K323,clasif_filas!$A$2:$J$39,8,FALSE())</f>
        <v>Servicios comerciales de distribución; alojamiento, servicios de suministro de comidas y bebidas; servicios de transporte; y servicios de distribución de electricidad, gas y agua</v>
      </c>
      <c r="S323" s="21" t="n">
        <f aca="false">VLOOKUP(K323,clasif_filas!$A$2:$J$39,9,FALSE())</f>
        <v>2</v>
      </c>
      <c r="T323" s="61" t="str">
        <f aca="false">VLOOKUP(K323,clasif_filas!$A$2:$J$39,10,FALSE())</f>
        <v>Bioeconomía extendida</v>
      </c>
    </row>
    <row r="324" customFormat="false" ht="25.55" hidden="false" customHeight="false" outlineLevel="0" collapsed="false">
      <c r="A324" s="29" t="s">
        <v>651</v>
      </c>
      <c r="B324" s="67" t="s">
        <v>1836</v>
      </c>
      <c r="C324" s="58" t="str">
        <f aca="false">VLOOKUP(B324, AT_FILAS!$A$2:$C$8,2,FALSE())</f>
        <v>Consumo intermedio</v>
      </c>
      <c r="D324" s="58" t="n">
        <f aca="false">VLOOKUP(B324, AT_FILAS!$A$2:$C$8,3,FALSE())</f>
        <v>2</v>
      </c>
      <c r="E324" s="60" t="s">
        <v>2153</v>
      </c>
      <c r="F324" s="60" t="s">
        <v>2154</v>
      </c>
      <c r="G324" s="1" t="s">
        <v>2138</v>
      </c>
      <c r="H324" s="1" t="n">
        <v>1</v>
      </c>
      <c r="I324" s="1" t="s">
        <v>1865</v>
      </c>
      <c r="J324" s="1" t="s">
        <v>1866</v>
      </c>
      <c r="K324" s="1" t="n">
        <v>69</v>
      </c>
      <c r="L324" s="21" t="str">
        <f aca="false">VLOOKUP(K324,clasif_filas!$A$2:$J$39,2,FALSE())</f>
        <v>Distribución de electricidad, gas y agua (por cuenta propia)</v>
      </c>
      <c r="M324" s="21" t="n">
        <f aca="false">VLOOKUP(K324,clasif_filas!$A$2:$J$39,3,FALSE())</f>
        <v>69</v>
      </c>
      <c r="N324" s="21" t="str">
        <f aca="false">VLOOKUP(K324,clasif_filas!$A$2:$J$39,4,FALSE())</f>
        <v>Distribución de electricidad, gas y agua (por cuenta propia)</v>
      </c>
      <c r="O324" s="21" t="n">
        <f aca="false">VLOOKUP(K324,clasif_filas!$A$2:$J$39,5,FALSE())</f>
        <v>6</v>
      </c>
      <c r="P324" s="21" t="str">
        <f aca="false">VLOOKUP(K324,clasif_filas!$A$2:$J$39,6,FALSE())</f>
        <v>Conocimiento, procesos y servicios relacionados</v>
      </c>
      <c r="Q324" s="21" t="n">
        <f aca="false">VLOOKUP(K324,clasif_filas!$A$2:$J$39,7,FALSE())</f>
        <v>6</v>
      </c>
      <c r="R324" s="21" t="str">
        <f aca="false">VLOOKUP(K324,clasif_filas!$A$2:$J$39,8,FALSE())</f>
        <v>Servicios comerciales de distribución; alojamiento, servicios de suministro de comidas y bebidas; servicios de transporte; y servicios de distribución de electricidad, gas y agua</v>
      </c>
      <c r="S324" s="21" t="n">
        <f aca="false">VLOOKUP(K324,clasif_filas!$A$2:$J$39,9,FALSE())</f>
        <v>2</v>
      </c>
      <c r="T324" s="61" t="str">
        <f aca="false">VLOOKUP(K324,clasif_filas!$A$2:$J$39,10,FALSE())</f>
        <v>Bioeconomía extendida</v>
      </c>
    </row>
    <row r="325" customFormat="false" ht="14.25" hidden="false" customHeight="false" outlineLevel="0" collapsed="false">
      <c r="A325" s="29" t="s">
        <v>653</v>
      </c>
      <c r="B325" s="67" t="s">
        <v>1836</v>
      </c>
      <c r="C325" s="58" t="str">
        <f aca="false">VLOOKUP(B325, AT_FILAS!$A$2:$C$8,2,FALSE())</f>
        <v>Consumo intermedio</v>
      </c>
      <c r="D325" s="58" t="n">
        <f aca="false">VLOOKUP(B325, AT_FILAS!$A$2:$C$8,3,FALSE())</f>
        <v>2</v>
      </c>
      <c r="E325" s="60" t="s">
        <v>2155</v>
      </c>
      <c r="F325" s="60" t="s">
        <v>2156</v>
      </c>
      <c r="G325" s="1" t="s">
        <v>1602</v>
      </c>
      <c r="H325" s="1" t="n">
        <v>4</v>
      </c>
      <c r="I325" s="1" t="s">
        <v>1602</v>
      </c>
      <c r="J325" s="1" t="s">
        <v>1602</v>
      </c>
      <c r="K325" s="1" t="n">
        <v>5</v>
      </c>
      <c r="L325" s="21" t="str">
        <f aca="false">VLOOKUP(K325,clasif_filas!$A$2:$J$39,2,FALSE())</f>
        <v>Construcciones y servicios de construcción</v>
      </c>
      <c r="M325" s="21" t="n">
        <f aca="false">VLOOKUP(K325,clasif_filas!$A$2:$J$39,3,FALSE())</f>
        <v>53</v>
      </c>
      <c r="N325" s="21" t="str">
        <f aca="false">VLOOKUP(K325,clasif_filas!$A$2:$J$39,4,FALSE())</f>
        <v>Construcciones y servicios de construcción</v>
      </c>
      <c r="O325" s="21" t="n">
        <f aca="false">VLOOKUP(K325,clasif_filas!$A$2:$J$39,5,FALSE())</f>
        <v>99</v>
      </c>
      <c r="P325" s="21" t="str">
        <f aca="false">VLOOKUP(K325,clasif_filas!$A$2:$J$39,6,FALSE())</f>
        <v>No Bioeconomía</v>
      </c>
      <c r="Q325" s="21" t="n">
        <f aca="false">VLOOKUP(K325,clasif_filas!$A$2:$J$39,7,FALSE())</f>
        <v>5</v>
      </c>
      <c r="R325" s="21" t="str">
        <f aca="false">VLOOKUP(K325,clasif_filas!$A$2:$J$39,8,FALSE())</f>
        <v>Construcciones y servicios de construcción</v>
      </c>
      <c r="S325" s="21" t="n">
        <f aca="false">VLOOKUP(K325,clasif_filas!$A$2:$J$39,9,FALSE())</f>
        <v>3</v>
      </c>
      <c r="T325" s="61" t="str">
        <f aca="false">VLOOKUP(K325,clasif_filas!$A$2:$J$39,10,FALSE())</f>
        <v>No bioeconomía</v>
      </c>
    </row>
    <row r="326" customFormat="false" ht="14.25" hidden="false" customHeight="false" outlineLevel="0" collapsed="false">
      <c r="A326" s="29" t="s">
        <v>655</v>
      </c>
      <c r="B326" s="67" t="s">
        <v>1836</v>
      </c>
      <c r="C326" s="58" t="str">
        <f aca="false">VLOOKUP(B326, AT_FILAS!$A$2:$C$8,2,FALSE())</f>
        <v>Consumo intermedio</v>
      </c>
      <c r="D326" s="58" t="n">
        <f aca="false">VLOOKUP(B326, AT_FILAS!$A$2:$C$8,3,FALSE())</f>
        <v>2</v>
      </c>
      <c r="E326" s="60" t="s">
        <v>2157</v>
      </c>
      <c r="F326" s="60" t="s">
        <v>2158</v>
      </c>
      <c r="G326" s="1" t="s">
        <v>1602</v>
      </c>
      <c r="H326" s="1" t="n">
        <v>4</v>
      </c>
      <c r="I326" s="1" t="s">
        <v>1602</v>
      </c>
      <c r="J326" s="1" t="s">
        <v>1602</v>
      </c>
      <c r="K326" s="1" t="n">
        <v>5</v>
      </c>
      <c r="L326" s="21" t="str">
        <f aca="false">VLOOKUP(K326,clasif_filas!$A$2:$J$39,2,FALSE())</f>
        <v>Construcciones y servicios de construcción</v>
      </c>
      <c r="M326" s="21" t="n">
        <f aca="false">VLOOKUP(K326,clasif_filas!$A$2:$J$39,3,FALSE())</f>
        <v>53</v>
      </c>
      <c r="N326" s="21" t="str">
        <f aca="false">VLOOKUP(K326,clasif_filas!$A$2:$J$39,4,FALSE())</f>
        <v>Construcciones y servicios de construcción</v>
      </c>
      <c r="O326" s="21" t="n">
        <f aca="false">VLOOKUP(K326,clasif_filas!$A$2:$J$39,5,FALSE())</f>
        <v>99</v>
      </c>
      <c r="P326" s="21" t="str">
        <f aca="false">VLOOKUP(K326,clasif_filas!$A$2:$J$39,6,FALSE())</f>
        <v>No Bioeconomía</v>
      </c>
      <c r="Q326" s="21" t="n">
        <f aca="false">VLOOKUP(K326,clasif_filas!$A$2:$J$39,7,FALSE())</f>
        <v>5</v>
      </c>
      <c r="R326" s="21" t="str">
        <f aca="false">VLOOKUP(K326,clasif_filas!$A$2:$J$39,8,FALSE())</f>
        <v>Construcciones y servicios de construcción</v>
      </c>
      <c r="S326" s="21" t="n">
        <f aca="false">VLOOKUP(K326,clasif_filas!$A$2:$J$39,9,FALSE())</f>
        <v>3</v>
      </c>
      <c r="T326" s="61" t="str">
        <f aca="false">VLOOKUP(K326,clasif_filas!$A$2:$J$39,10,FALSE())</f>
        <v>No bioeconomía</v>
      </c>
    </row>
    <row r="327" customFormat="false" ht="14.25" hidden="false" customHeight="false" outlineLevel="0" collapsed="false">
      <c r="A327" s="29" t="s">
        <v>657</v>
      </c>
      <c r="B327" s="67" t="s">
        <v>1836</v>
      </c>
      <c r="C327" s="58" t="str">
        <f aca="false">VLOOKUP(B327, AT_FILAS!$A$2:$C$8,2,FALSE())</f>
        <v>Consumo intermedio</v>
      </c>
      <c r="D327" s="58" t="n">
        <f aca="false">VLOOKUP(B327, AT_FILAS!$A$2:$C$8,3,FALSE())</f>
        <v>2</v>
      </c>
      <c r="E327" s="63" t="s">
        <v>2159</v>
      </c>
      <c r="F327" s="63" t="s">
        <v>2160</v>
      </c>
      <c r="G327" s="1" t="s">
        <v>1602</v>
      </c>
      <c r="H327" s="1" t="n">
        <v>4</v>
      </c>
      <c r="I327" s="1" t="s">
        <v>1602</v>
      </c>
      <c r="J327" s="1" t="s">
        <v>1602</v>
      </c>
      <c r="K327" s="1" t="n">
        <v>5</v>
      </c>
      <c r="L327" s="21" t="str">
        <f aca="false">VLOOKUP(K327,clasif_filas!$A$2:$J$39,2,FALSE())</f>
        <v>Construcciones y servicios de construcción</v>
      </c>
      <c r="M327" s="21" t="n">
        <f aca="false">VLOOKUP(K327,clasif_filas!$A$2:$J$39,3,FALSE())</f>
        <v>53</v>
      </c>
      <c r="N327" s="21" t="str">
        <f aca="false">VLOOKUP(K327,clasif_filas!$A$2:$J$39,4,FALSE())</f>
        <v>Construcciones y servicios de construcción</v>
      </c>
      <c r="O327" s="21" t="n">
        <f aca="false">VLOOKUP(K327,clasif_filas!$A$2:$J$39,5,FALSE())</f>
        <v>99</v>
      </c>
      <c r="P327" s="21" t="str">
        <f aca="false">VLOOKUP(K327,clasif_filas!$A$2:$J$39,6,FALSE())</f>
        <v>No Bioeconomía</v>
      </c>
      <c r="Q327" s="21" t="n">
        <f aca="false">VLOOKUP(K327,clasif_filas!$A$2:$J$39,7,FALSE())</f>
        <v>5</v>
      </c>
      <c r="R327" s="21" t="str">
        <f aca="false">VLOOKUP(K327,clasif_filas!$A$2:$J$39,8,FALSE())</f>
        <v>Construcciones y servicios de construcción</v>
      </c>
      <c r="S327" s="21" t="n">
        <f aca="false">VLOOKUP(K327,clasif_filas!$A$2:$J$39,9,FALSE())</f>
        <v>3</v>
      </c>
      <c r="T327" s="61" t="str">
        <f aca="false">VLOOKUP(K327,clasif_filas!$A$2:$J$39,10,FALSE())</f>
        <v>No bioeconomía</v>
      </c>
    </row>
    <row r="328" customFormat="false" ht="14.25" hidden="false" customHeight="false" outlineLevel="0" collapsed="false">
      <c r="A328" s="29" t="s">
        <v>659</v>
      </c>
      <c r="B328" s="67" t="s">
        <v>1836</v>
      </c>
      <c r="C328" s="58" t="str">
        <f aca="false">VLOOKUP(B328, AT_FILAS!$A$2:$C$8,2,FALSE())</f>
        <v>Consumo intermedio</v>
      </c>
      <c r="D328" s="58" t="n">
        <f aca="false">VLOOKUP(B328, AT_FILAS!$A$2:$C$8,3,FALSE())</f>
        <v>2</v>
      </c>
      <c r="E328" s="60" t="s">
        <v>2161</v>
      </c>
      <c r="F328" s="60" t="s">
        <v>2162</v>
      </c>
      <c r="G328" s="1" t="s">
        <v>1602</v>
      </c>
      <c r="H328" s="1" t="n">
        <v>4</v>
      </c>
      <c r="I328" s="1" t="s">
        <v>1602</v>
      </c>
      <c r="J328" s="1" t="s">
        <v>1602</v>
      </c>
      <c r="K328" s="1" t="n">
        <v>5</v>
      </c>
      <c r="L328" s="21" t="str">
        <f aca="false">VLOOKUP(K328,clasif_filas!$A$2:$J$39,2,FALSE())</f>
        <v>Construcciones y servicios de construcción</v>
      </c>
      <c r="M328" s="21" t="n">
        <f aca="false">VLOOKUP(K328,clasif_filas!$A$2:$J$39,3,FALSE())</f>
        <v>53</v>
      </c>
      <c r="N328" s="21" t="str">
        <f aca="false">VLOOKUP(K328,clasif_filas!$A$2:$J$39,4,FALSE())</f>
        <v>Construcciones y servicios de construcción</v>
      </c>
      <c r="O328" s="21" t="n">
        <f aca="false">VLOOKUP(K328,clasif_filas!$A$2:$J$39,5,FALSE())</f>
        <v>99</v>
      </c>
      <c r="P328" s="21" t="str">
        <f aca="false">VLOOKUP(K328,clasif_filas!$A$2:$J$39,6,FALSE())</f>
        <v>No Bioeconomía</v>
      </c>
      <c r="Q328" s="21" t="n">
        <f aca="false">VLOOKUP(K328,clasif_filas!$A$2:$J$39,7,FALSE())</f>
        <v>5</v>
      </c>
      <c r="R328" s="21" t="str">
        <f aca="false">VLOOKUP(K328,clasif_filas!$A$2:$J$39,8,FALSE())</f>
        <v>Construcciones y servicios de construcción</v>
      </c>
      <c r="S328" s="21" t="n">
        <f aca="false">VLOOKUP(K328,clasif_filas!$A$2:$J$39,9,FALSE())</f>
        <v>3</v>
      </c>
      <c r="T328" s="61" t="str">
        <f aca="false">VLOOKUP(K328,clasif_filas!$A$2:$J$39,10,FALSE())</f>
        <v>No bioeconomía</v>
      </c>
    </row>
    <row r="329" customFormat="false" ht="14.25" hidden="false" customHeight="false" outlineLevel="0" collapsed="false">
      <c r="A329" s="29" t="s">
        <v>661</v>
      </c>
      <c r="B329" s="67" t="s">
        <v>1836</v>
      </c>
      <c r="C329" s="58" t="str">
        <f aca="false">VLOOKUP(B329, AT_FILAS!$A$2:$C$8,2,FALSE())</f>
        <v>Consumo intermedio</v>
      </c>
      <c r="D329" s="58" t="n">
        <f aca="false">VLOOKUP(B329, AT_FILAS!$A$2:$C$8,3,FALSE())</f>
        <v>2</v>
      </c>
      <c r="E329" s="60" t="s">
        <v>2163</v>
      </c>
      <c r="F329" s="60" t="s">
        <v>2164</v>
      </c>
      <c r="G329" s="1" t="s">
        <v>1602</v>
      </c>
      <c r="H329" s="1" t="n">
        <v>4</v>
      </c>
      <c r="I329" s="1" t="s">
        <v>1602</v>
      </c>
      <c r="J329" s="1" t="s">
        <v>1602</v>
      </c>
      <c r="K329" s="1" t="n">
        <v>6</v>
      </c>
      <c r="L329" s="21" t="str">
        <f aca="false">VLOOKUP(K329,clasif_filas!$A$2:$J$39,2,FALSE())</f>
        <v>Otros servicios</v>
      </c>
      <c r="M329" s="21" t="n">
        <f aca="false">VLOOKUP(K329,clasif_filas!$A$2:$J$39,3,FALSE())</f>
        <v>6</v>
      </c>
      <c r="N329" s="21" t="str">
        <f aca="false">VLOOKUP(K329,clasif_filas!$A$2:$J$39,4,FALSE())</f>
        <v>Otros servicios</v>
      </c>
      <c r="O329" s="21" t="n">
        <f aca="false">VLOOKUP(K329,clasif_filas!$A$2:$J$39,5,FALSE())</f>
        <v>99</v>
      </c>
      <c r="P329" s="21" t="str">
        <f aca="false">VLOOKUP(K329,clasif_filas!$A$2:$J$39,6,FALSE())</f>
        <v>No Bioeconomía</v>
      </c>
      <c r="Q329" s="21" t="n">
        <f aca="false">VLOOKUP(K329,clasif_filas!$A$2:$J$39,7,FALSE())</f>
        <v>6</v>
      </c>
      <c r="R329" s="21" t="str">
        <f aca="false">VLOOKUP(K329,clasif_filas!$A$2:$J$39,8,FALSE())</f>
        <v>Servicios comerciales de distribución; alojamiento, servicios de suministro de comidas y bebidas; servicios de transporte; y servicios de distribución de electricidad, gas y agua</v>
      </c>
      <c r="S329" s="21" t="n">
        <f aca="false">VLOOKUP(K329,clasif_filas!$A$2:$J$39,9,FALSE())</f>
        <v>3</v>
      </c>
      <c r="T329" s="61" t="str">
        <f aca="false">VLOOKUP(K329,clasif_filas!$A$2:$J$39,10,FALSE())</f>
        <v>No bioeconomía</v>
      </c>
    </row>
    <row r="330" customFormat="false" ht="25.55" hidden="false" customHeight="false" outlineLevel="0" collapsed="false">
      <c r="A330" s="29" t="s">
        <v>663</v>
      </c>
      <c r="B330" s="67" t="s">
        <v>1836</v>
      </c>
      <c r="C330" s="58" t="str">
        <f aca="false">VLOOKUP(B330, AT_FILAS!$A$2:$C$8,2,FALSE())</f>
        <v>Consumo intermedio</v>
      </c>
      <c r="D330" s="58" t="n">
        <f aca="false">VLOOKUP(B330, AT_FILAS!$A$2:$C$8,3,FALSE())</f>
        <v>2</v>
      </c>
      <c r="E330" s="60" t="s">
        <v>2165</v>
      </c>
      <c r="F330" s="60" t="s">
        <v>2166</v>
      </c>
      <c r="G330" s="1" t="s">
        <v>1602</v>
      </c>
      <c r="H330" s="1" t="n">
        <v>4</v>
      </c>
      <c r="I330" s="1" t="s">
        <v>1602</v>
      </c>
      <c r="J330" s="1" t="s">
        <v>1602</v>
      </c>
      <c r="K330" s="1" t="n">
        <v>6</v>
      </c>
      <c r="L330" s="21" t="str">
        <f aca="false">VLOOKUP(K330,clasif_filas!$A$2:$J$39,2,FALSE())</f>
        <v>Otros servicios</v>
      </c>
      <c r="M330" s="21" t="n">
        <f aca="false">VLOOKUP(K330,clasif_filas!$A$2:$J$39,3,FALSE())</f>
        <v>6</v>
      </c>
      <c r="N330" s="21" t="str">
        <f aca="false">VLOOKUP(K330,clasif_filas!$A$2:$J$39,4,FALSE())</f>
        <v>Otros servicios</v>
      </c>
      <c r="O330" s="21" t="n">
        <f aca="false">VLOOKUP(K330,clasif_filas!$A$2:$J$39,5,FALSE())</f>
        <v>99</v>
      </c>
      <c r="P330" s="21" t="str">
        <f aca="false">VLOOKUP(K330,clasif_filas!$A$2:$J$39,6,FALSE())</f>
        <v>No Bioeconomía</v>
      </c>
      <c r="Q330" s="21" t="n">
        <f aca="false">VLOOKUP(K330,clasif_filas!$A$2:$J$39,7,FALSE())</f>
        <v>6</v>
      </c>
      <c r="R330" s="21" t="str">
        <f aca="false">VLOOKUP(K330,clasif_filas!$A$2:$J$39,8,FALSE())</f>
        <v>Servicios comerciales de distribución; alojamiento, servicios de suministro de comidas y bebidas; servicios de transporte; y servicios de distribución de electricidad, gas y agua</v>
      </c>
      <c r="S330" s="21" t="n">
        <f aca="false">VLOOKUP(K330,clasif_filas!$A$2:$J$39,9,FALSE())</f>
        <v>3</v>
      </c>
      <c r="T330" s="61" t="str">
        <f aca="false">VLOOKUP(K330,clasif_filas!$A$2:$J$39,10,FALSE())</f>
        <v>No bioeconomía</v>
      </c>
    </row>
    <row r="331" customFormat="false" ht="25.55" hidden="false" customHeight="false" outlineLevel="0" collapsed="false">
      <c r="A331" s="29" t="s">
        <v>665</v>
      </c>
      <c r="B331" s="67" t="s">
        <v>1836</v>
      </c>
      <c r="C331" s="58" t="str">
        <f aca="false">VLOOKUP(B331, AT_FILAS!$A$2:$C$8,2,FALSE())</f>
        <v>Consumo intermedio</v>
      </c>
      <c r="D331" s="58" t="n">
        <f aca="false">VLOOKUP(B331, AT_FILAS!$A$2:$C$8,3,FALSE())</f>
        <v>2</v>
      </c>
      <c r="E331" s="60" t="s">
        <v>2167</v>
      </c>
      <c r="F331" s="60" t="s">
        <v>2168</v>
      </c>
      <c r="G331" s="1" t="s">
        <v>1602</v>
      </c>
      <c r="H331" s="1" t="n">
        <v>4</v>
      </c>
      <c r="I331" s="1" t="s">
        <v>1602</v>
      </c>
      <c r="J331" s="1" t="s">
        <v>1602</v>
      </c>
      <c r="K331" s="1" t="n">
        <v>6</v>
      </c>
      <c r="L331" s="21" t="str">
        <f aca="false">VLOOKUP(K331,clasif_filas!$A$2:$J$39,2,FALSE())</f>
        <v>Otros servicios</v>
      </c>
      <c r="M331" s="21" t="n">
        <f aca="false">VLOOKUP(K331,clasif_filas!$A$2:$J$39,3,FALSE())</f>
        <v>6</v>
      </c>
      <c r="N331" s="21" t="str">
        <f aca="false">VLOOKUP(K331,clasif_filas!$A$2:$J$39,4,FALSE())</f>
        <v>Otros servicios</v>
      </c>
      <c r="O331" s="21" t="n">
        <f aca="false">VLOOKUP(K331,clasif_filas!$A$2:$J$39,5,FALSE())</f>
        <v>99</v>
      </c>
      <c r="P331" s="21" t="str">
        <f aca="false">VLOOKUP(K331,clasif_filas!$A$2:$J$39,6,FALSE())</f>
        <v>No Bioeconomía</v>
      </c>
      <c r="Q331" s="21" t="n">
        <f aca="false">VLOOKUP(K331,clasif_filas!$A$2:$J$39,7,FALSE())</f>
        <v>6</v>
      </c>
      <c r="R331" s="21" t="str">
        <f aca="false">VLOOKUP(K331,clasif_filas!$A$2:$J$39,8,FALSE())</f>
        <v>Servicios comerciales de distribución; alojamiento, servicios de suministro de comidas y bebidas; servicios de transporte; y servicios de distribución de electricidad, gas y agua</v>
      </c>
      <c r="S331" s="21" t="n">
        <f aca="false">VLOOKUP(K331,clasif_filas!$A$2:$J$39,9,FALSE())</f>
        <v>3</v>
      </c>
      <c r="T331" s="61" t="str">
        <f aca="false">VLOOKUP(K331,clasif_filas!$A$2:$J$39,10,FALSE())</f>
        <v>No bioeconomía</v>
      </c>
    </row>
    <row r="332" customFormat="false" ht="25.55" hidden="false" customHeight="false" outlineLevel="0" collapsed="false">
      <c r="A332" s="29" t="s">
        <v>667</v>
      </c>
      <c r="B332" s="67" t="s">
        <v>1836</v>
      </c>
      <c r="C332" s="58" t="str">
        <f aca="false">VLOOKUP(B332, AT_FILAS!$A$2:$C$8,2,FALSE())</f>
        <v>Consumo intermedio</v>
      </c>
      <c r="D332" s="58" t="n">
        <f aca="false">VLOOKUP(B332, AT_FILAS!$A$2:$C$8,3,FALSE())</f>
        <v>2</v>
      </c>
      <c r="E332" s="60" t="s">
        <v>2169</v>
      </c>
      <c r="F332" s="60" t="s">
        <v>2170</v>
      </c>
      <c r="G332" s="1" t="s">
        <v>1602</v>
      </c>
      <c r="H332" s="1" t="n">
        <v>4</v>
      </c>
      <c r="I332" s="1" t="s">
        <v>1602</v>
      </c>
      <c r="J332" s="1" t="s">
        <v>1602</v>
      </c>
      <c r="K332" s="1" t="n">
        <v>6</v>
      </c>
      <c r="L332" s="21" t="str">
        <f aca="false">VLOOKUP(K332,clasif_filas!$A$2:$J$39,2,FALSE())</f>
        <v>Otros servicios</v>
      </c>
      <c r="M332" s="21" t="n">
        <f aca="false">VLOOKUP(K332,clasif_filas!$A$2:$J$39,3,FALSE())</f>
        <v>6</v>
      </c>
      <c r="N332" s="21" t="str">
        <f aca="false">VLOOKUP(K332,clasif_filas!$A$2:$J$39,4,FALSE())</f>
        <v>Otros servicios</v>
      </c>
      <c r="O332" s="21" t="n">
        <f aca="false">VLOOKUP(K332,clasif_filas!$A$2:$J$39,5,FALSE())</f>
        <v>99</v>
      </c>
      <c r="P332" s="21" t="str">
        <f aca="false">VLOOKUP(K332,clasif_filas!$A$2:$J$39,6,FALSE())</f>
        <v>No Bioeconomía</v>
      </c>
      <c r="Q332" s="21" t="n">
        <f aca="false">VLOOKUP(K332,clasif_filas!$A$2:$J$39,7,FALSE())</f>
        <v>6</v>
      </c>
      <c r="R332" s="21" t="str">
        <f aca="false">VLOOKUP(K332,clasif_filas!$A$2:$J$39,8,FALSE())</f>
        <v>Servicios comerciales de distribución; alojamiento, servicios de suministro de comidas y bebidas; servicios de transporte; y servicios de distribución de electricidad, gas y agua</v>
      </c>
      <c r="S332" s="21" t="n">
        <f aca="false">VLOOKUP(K332,clasif_filas!$A$2:$J$39,9,FALSE())</f>
        <v>3</v>
      </c>
      <c r="T332" s="61" t="str">
        <f aca="false">VLOOKUP(K332,clasif_filas!$A$2:$J$39,10,FALSE())</f>
        <v>No bioeconomía</v>
      </c>
    </row>
    <row r="333" customFormat="false" ht="14.25" hidden="false" customHeight="false" outlineLevel="0" collapsed="false">
      <c r="A333" s="29" t="s">
        <v>669</v>
      </c>
      <c r="B333" s="67" t="s">
        <v>1836</v>
      </c>
      <c r="C333" s="58" t="str">
        <f aca="false">VLOOKUP(B333, AT_FILAS!$A$2:$C$8,2,FALSE())</f>
        <v>Consumo intermedio</v>
      </c>
      <c r="D333" s="58" t="n">
        <f aca="false">VLOOKUP(B333, AT_FILAS!$A$2:$C$8,3,FALSE())</f>
        <v>2</v>
      </c>
      <c r="E333" s="60" t="s">
        <v>2171</v>
      </c>
      <c r="F333" s="60" t="s">
        <v>2172</v>
      </c>
      <c r="G333" s="1" t="s">
        <v>1602</v>
      </c>
      <c r="H333" s="1" t="n">
        <v>4</v>
      </c>
      <c r="I333" s="1" t="s">
        <v>1602</v>
      </c>
      <c r="J333" s="1" t="s">
        <v>1602</v>
      </c>
      <c r="K333" s="1" t="n">
        <v>6</v>
      </c>
      <c r="L333" s="21" t="str">
        <f aca="false">VLOOKUP(K333,clasif_filas!$A$2:$J$39,2,FALSE())</f>
        <v>Otros servicios</v>
      </c>
      <c r="M333" s="21" t="n">
        <f aca="false">VLOOKUP(K333,clasif_filas!$A$2:$J$39,3,FALSE())</f>
        <v>6</v>
      </c>
      <c r="N333" s="21" t="str">
        <f aca="false">VLOOKUP(K333,clasif_filas!$A$2:$J$39,4,FALSE())</f>
        <v>Otros servicios</v>
      </c>
      <c r="O333" s="21" t="n">
        <f aca="false">VLOOKUP(K333,clasif_filas!$A$2:$J$39,5,FALSE())</f>
        <v>99</v>
      </c>
      <c r="P333" s="21" t="str">
        <f aca="false">VLOOKUP(K333,clasif_filas!$A$2:$J$39,6,FALSE())</f>
        <v>No Bioeconomía</v>
      </c>
      <c r="Q333" s="21" t="n">
        <f aca="false">VLOOKUP(K333,clasif_filas!$A$2:$J$39,7,FALSE())</f>
        <v>6</v>
      </c>
      <c r="R333" s="21" t="str">
        <f aca="false">VLOOKUP(K333,clasif_filas!$A$2:$J$39,8,FALSE())</f>
        <v>Servicios comerciales de distribución; alojamiento, servicios de suministro de comidas y bebidas; servicios de transporte; y servicios de distribución de electricidad, gas y agua</v>
      </c>
      <c r="S333" s="21" t="n">
        <f aca="false">VLOOKUP(K333,clasif_filas!$A$2:$J$39,9,FALSE())</f>
        <v>3</v>
      </c>
      <c r="T333" s="61" t="str">
        <f aca="false">VLOOKUP(K333,clasif_filas!$A$2:$J$39,10,FALSE())</f>
        <v>No bioeconomía</v>
      </c>
    </row>
    <row r="334" customFormat="false" ht="14.25" hidden="false" customHeight="false" outlineLevel="0" collapsed="false">
      <c r="A334" s="29" t="s">
        <v>671</v>
      </c>
      <c r="B334" s="67" t="s">
        <v>1836</v>
      </c>
      <c r="C334" s="58" t="str">
        <f aca="false">VLOOKUP(B334, AT_FILAS!$A$2:$C$8,2,FALSE())</f>
        <v>Consumo intermedio</v>
      </c>
      <c r="D334" s="58" t="n">
        <f aca="false">VLOOKUP(B334, AT_FILAS!$A$2:$C$8,3,FALSE())</f>
        <v>2</v>
      </c>
      <c r="E334" s="60" t="s">
        <v>2173</v>
      </c>
      <c r="F334" s="60" t="s">
        <v>2174</v>
      </c>
      <c r="G334" s="1" t="s">
        <v>1602</v>
      </c>
      <c r="H334" s="1" t="n">
        <v>4</v>
      </c>
      <c r="I334" s="1" t="s">
        <v>1602</v>
      </c>
      <c r="J334" s="1" t="s">
        <v>1602</v>
      </c>
      <c r="K334" s="1" t="n">
        <v>6</v>
      </c>
      <c r="L334" s="21" t="str">
        <f aca="false">VLOOKUP(K334,clasif_filas!$A$2:$J$39,2,FALSE())</f>
        <v>Otros servicios</v>
      </c>
      <c r="M334" s="21" t="n">
        <f aca="false">VLOOKUP(K334,clasif_filas!$A$2:$J$39,3,FALSE())</f>
        <v>6</v>
      </c>
      <c r="N334" s="21" t="str">
        <f aca="false">VLOOKUP(K334,clasif_filas!$A$2:$J$39,4,FALSE())</f>
        <v>Otros servicios</v>
      </c>
      <c r="O334" s="21" t="n">
        <f aca="false">VLOOKUP(K334,clasif_filas!$A$2:$J$39,5,FALSE())</f>
        <v>99</v>
      </c>
      <c r="P334" s="21" t="str">
        <f aca="false">VLOOKUP(K334,clasif_filas!$A$2:$J$39,6,FALSE())</f>
        <v>No Bioeconomía</v>
      </c>
      <c r="Q334" s="21" t="n">
        <f aca="false">VLOOKUP(K334,clasif_filas!$A$2:$J$39,7,FALSE())</f>
        <v>6</v>
      </c>
      <c r="R334" s="21" t="str">
        <f aca="false">VLOOKUP(K334,clasif_filas!$A$2:$J$39,8,FALSE())</f>
        <v>Servicios comerciales de distribución; alojamiento, servicios de suministro de comidas y bebidas; servicios de transporte; y servicios de distribución de electricidad, gas y agua</v>
      </c>
      <c r="S334" s="21" t="n">
        <f aca="false">VLOOKUP(K334,clasif_filas!$A$2:$J$39,9,FALSE())</f>
        <v>3</v>
      </c>
      <c r="T334" s="61" t="str">
        <f aca="false">VLOOKUP(K334,clasif_filas!$A$2:$J$39,10,FALSE())</f>
        <v>No bioeconomía</v>
      </c>
    </row>
    <row r="335" customFormat="false" ht="25.55" hidden="false" customHeight="false" outlineLevel="0" collapsed="false">
      <c r="A335" s="29" t="s">
        <v>673</v>
      </c>
      <c r="B335" s="67" t="s">
        <v>1836</v>
      </c>
      <c r="C335" s="58" t="str">
        <f aca="false">VLOOKUP(B335, AT_FILAS!$A$2:$C$8,2,FALSE())</f>
        <v>Consumo intermedio</v>
      </c>
      <c r="D335" s="58" t="n">
        <f aca="false">VLOOKUP(B335, AT_FILAS!$A$2:$C$8,3,FALSE())</f>
        <v>2</v>
      </c>
      <c r="E335" s="60" t="s">
        <v>2175</v>
      </c>
      <c r="F335" s="60" t="s">
        <v>2176</v>
      </c>
      <c r="G335" s="1" t="s">
        <v>1602</v>
      </c>
      <c r="H335" s="1" t="n">
        <v>4</v>
      </c>
      <c r="I335" s="1" t="s">
        <v>1602</v>
      </c>
      <c r="J335" s="1" t="s">
        <v>1602</v>
      </c>
      <c r="K335" s="1" t="n">
        <v>6</v>
      </c>
      <c r="L335" s="21" t="str">
        <f aca="false">VLOOKUP(K335,clasif_filas!$A$2:$J$39,2,FALSE())</f>
        <v>Otros servicios</v>
      </c>
      <c r="M335" s="21" t="n">
        <f aca="false">VLOOKUP(K335,clasif_filas!$A$2:$J$39,3,FALSE())</f>
        <v>6</v>
      </c>
      <c r="N335" s="21" t="str">
        <f aca="false">VLOOKUP(K335,clasif_filas!$A$2:$J$39,4,FALSE())</f>
        <v>Otros servicios</v>
      </c>
      <c r="O335" s="21" t="n">
        <f aca="false">VLOOKUP(K335,clasif_filas!$A$2:$J$39,5,FALSE())</f>
        <v>99</v>
      </c>
      <c r="P335" s="21" t="str">
        <f aca="false">VLOOKUP(K335,clasif_filas!$A$2:$J$39,6,FALSE())</f>
        <v>No Bioeconomía</v>
      </c>
      <c r="Q335" s="21" t="n">
        <f aca="false">VLOOKUP(K335,clasif_filas!$A$2:$J$39,7,FALSE())</f>
        <v>6</v>
      </c>
      <c r="R335" s="21" t="str">
        <f aca="false">VLOOKUP(K335,clasif_filas!$A$2:$J$39,8,FALSE())</f>
        <v>Servicios comerciales de distribución; alojamiento, servicios de suministro de comidas y bebidas; servicios de transporte; y servicios de distribución de electricidad, gas y agua</v>
      </c>
      <c r="S335" s="21" t="n">
        <f aca="false">VLOOKUP(K335,clasif_filas!$A$2:$J$39,9,FALSE())</f>
        <v>3</v>
      </c>
      <c r="T335" s="61" t="str">
        <f aca="false">VLOOKUP(K335,clasif_filas!$A$2:$J$39,10,FALSE())</f>
        <v>No bioeconomía</v>
      </c>
    </row>
    <row r="336" customFormat="false" ht="25.55" hidden="false" customHeight="false" outlineLevel="0" collapsed="false">
      <c r="A336" s="29" t="s">
        <v>675</v>
      </c>
      <c r="B336" s="67" t="s">
        <v>1836</v>
      </c>
      <c r="C336" s="58" t="str">
        <f aca="false">VLOOKUP(B336, AT_FILAS!$A$2:$C$8,2,FALSE())</f>
        <v>Consumo intermedio</v>
      </c>
      <c r="D336" s="58" t="n">
        <f aca="false">VLOOKUP(B336, AT_FILAS!$A$2:$C$8,3,FALSE())</f>
        <v>2</v>
      </c>
      <c r="E336" s="60" t="s">
        <v>2177</v>
      </c>
      <c r="F336" s="60" t="s">
        <v>2178</v>
      </c>
      <c r="G336" s="1" t="s">
        <v>1602</v>
      </c>
      <c r="H336" s="1" t="n">
        <v>4</v>
      </c>
      <c r="I336" s="1" t="s">
        <v>1602</v>
      </c>
      <c r="J336" s="1" t="s">
        <v>1602</v>
      </c>
      <c r="K336" s="1" t="n">
        <v>6</v>
      </c>
      <c r="L336" s="21" t="str">
        <f aca="false">VLOOKUP(K336,clasif_filas!$A$2:$J$39,2,FALSE())</f>
        <v>Otros servicios</v>
      </c>
      <c r="M336" s="21" t="n">
        <f aca="false">VLOOKUP(K336,clasif_filas!$A$2:$J$39,3,FALSE())</f>
        <v>6</v>
      </c>
      <c r="N336" s="21" t="str">
        <f aca="false">VLOOKUP(K336,clasif_filas!$A$2:$J$39,4,FALSE())</f>
        <v>Otros servicios</v>
      </c>
      <c r="O336" s="21" t="n">
        <f aca="false">VLOOKUP(K336,clasif_filas!$A$2:$J$39,5,FALSE())</f>
        <v>99</v>
      </c>
      <c r="P336" s="21" t="str">
        <f aca="false">VLOOKUP(K336,clasif_filas!$A$2:$J$39,6,FALSE())</f>
        <v>No Bioeconomía</v>
      </c>
      <c r="Q336" s="21" t="n">
        <f aca="false">VLOOKUP(K336,clasif_filas!$A$2:$J$39,7,FALSE())</f>
        <v>6</v>
      </c>
      <c r="R336" s="21" t="str">
        <f aca="false">VLOOKUP(K336,clasif_filas!$A$2:$J$39,8,FALSE())</f>
        <v>Servicios comerciales de distribución; alojamiento, servicios de suministro de comidas y bebidas; servicios de transporte; y servicios de distribución de electricidad, gas y agua</v>
      </c>
      <c r="S336" s="21" t="n">
        <f aca="false">VLOOKUP(K336,clasif_filas!$A$2:$J$39,9,FALSE())</f>
        <v>3</v>
      </c>
      <c r="T336" s="61" t="str">
        <f aca="false">VLOOKUP(K336,clasif_filas!$A$2:$J$39,10,FALSE())</f>
        <v>No bioeconomía</v>
      </c>
    </row>
    <row r="337" customFormat="false" ht="25.55" hidden="false" customHeight="false" outlineLevel="0" collapsed="false">
      <c r="A337" s="29" t="s">
        <v>677</v>
      </c>
      <c r="B337" s="67" t="s">
        <v>1836</v>
      </c>
      <c r="C337" s="58" t="str">
        <f aca="false">VLOOKUP(B337, AT_FILAS!$A$2:$C$8,2,FALSE())</f>
        <v>Consumo intermedio</v>
      </c>
      <c r="D337" s="58" t="n">
        <f aca="false">VLOOKUP(B337, AT_FILAS!$A$2:$C$8,3,FALSE())</f>
        <v>2</v>
      </c>
      <c r="E337" s="60" t="s">
        <v>2179</v>
      </c>
      <c r="F337" s="60" t="s">
        <v>2180</v>
      </c>
      <c r="G337" s="1" t="s">
        <v>1602</v>
      </c>
      <c r="H337" s="1" t="n">
        <v>4</v>
      </c>
      <c r="I337" s="1" t="s">
        <v>1602</v>
      </c>
      <c r="J337" s="1" t="s">
        <v>1602</v>
      </c>
      <c r="K337" s="1" t="n">
        <v>6</v>
      </c>
      <c r="L337" s="21" t="str">
        <f aca="false">VLOOKUP(K337,clasif_filas!$A$2:$J$39,2,FALSE())</f>
        <v>Otros servicios</v>
      </c>
      <c r="M337" s="21" t="n">
        <f aca="false">VLOOKUP(K337,clasif_filas!$A$2:$J$39,3,FALSE())</f>
        <v>6</v>
      </c>
      <c r="N337" s="21" t="str">
        <f aca="false">VLOOKUP(K337,clasif_filas!$A$2:$J$39,4,FALSE())</f>
        <v>Otros servicios</v>
      </c>
      <c r="O337" s="21" t="n">
        <f aca="false">VLOOKUP(K337,clasif_filas!$A$2:$J$39,5,FALSE())</f>
        <v>99</v>
      </c>
      <c r="P337" s="21" t="str">
        <f aca="false">VLOOKUP(K337,clasif_filas!$A$2:$J$39,6,FALSE())</f>
        <v>No Bioeconomía</v>
      </c>
      <c r="Q337" s="21" t="n">
        <f aca="false">VLOOKUP(K337,clasif_filas!$A$2:$J$39,7,FALSE())</f>
        <v>6</v>
      </c>
      <c r="R337" s="21" t="str">
        <f aca="false">VLOOKUP(K337,clasif_filas!$A$2:$J$39,8,FALSE())</f>
        <v>Servicios comerciales de distribución; alojamiento, servicios de suministro de comidas y bebidas; servicios de transporte; y servicios de distribución de electricidad, gas y agua</v>
      </c>
      <c r="S337" s="21" t="n">
        <f aca="false">VLOOKUP(K337,clasif_filas!$A$2:$J$39,9,FALSE())</f>
        <v>3</v>
      </c>
      <c r="T337" s="61" t="str">
        <f aca="false">VLOOKUP(K337,clasif_filas!$A$2:$J$39,10,FALSE())</f>
        <v>No bioeconomía</v>
      </c>
    </row>
    <row r="338" customFormat="false" ht="14.25" hidden="false" customHeight="false" outlineLevel="0" collapsed="false">
      <c r="A338" s="29" t="s">
        <v>679</v>
      </c>
      <c r="B338" s="67" t="s">
        <v>1836</v>
      </c>
      <c r="C338" s="58" t="str">
        <f aca="false">VLOOKUP(B338, AT_FILAS!$A$2:$C$8,2,FALSE())</f>
        <v>Consumo intermedio</v>
      </c>
      <c r="D338" s="58" t="n">
        <f aca="false">VLOOKUP(B338, AT_FILAS!$A$2:$C$8,3,FALSE())</f>
        <v>2</v>
      </c>
      <c r="E338" s="60" t="s">
        <v>2181</v>
      </c>
      <c r="F338" s="60" t="s">
        <v>2182</v>
      </c>
      <c r="G338" s="1" t="s">
        <v>1602</v>
      </c>
      <c r="H338" s="1" t="n">
        <v>4</v>
      </c>
      <c r="I338" s="1" t="s">
        <v>1602</v>
      </c>
      <c r="J338" s="1" t="s">
        <v>1602</v>
      </c>
      <c r="K338" s="1" t="n">
        <v>6</v>
      </c>
      <c r="L338" s="21" t="str">
        <f aca="false">VLOOKUP(K338,clasif_filas!$A$2:$J$39,2,FALSE())</f>
        <v>Otros servicios</v>
      </c>
      <c r="M338" s="21" t="n">
        <f aca="false">VLOOKUP(K338,clasif_filas!$A$2:$J$39,3,FALSE())</f>
        <v>6</v>
      </c>
      <c r="N338" s="21" t="str">
        <f aca="false">VLOOKUP(K338,clasif_filas!$A$2:$J$39,4,FALSE())</f>
        <v>Otros servicios</v>
      </c>
      <c r="O338" s="21" t="n">
        <f aca="false">VLOOKUP(K338,clasif_filas!$A$2:$J$39,5,FALSE())</f>
        <v>99</v>
      </c>
      <c r="P338" s="21" t="str">
        <f aca="false">VLOOKUP(K338,clasif_filas!$A$2:$J$39,6,FALSE())</f>
        <v>No Bioeconomía</v>
      </c>
      <c r="Q338" s="21" t="n">
        <f aca="false">VLOOKUP(K338,clasif_filas!$A$2:$J$39,7,FALSE())</f>
        <v>6</v>
      </c>
      <c r="R338" s="21" t="str">
        <f aca="false">VLOOKUP(K338,clasif_filas!$A$2:$J$39,8,FALSE())</f>
        <v>Servicios comerciales de distribución; alojamiento, servicios de suministro de comidas y bebidas; servicios de transporte; y servicios de distribución de electricidad, gas y agua</v>
      </c>
      <c r="S338" s="21" t="n">
        <f aca="false">VLOOKUP(K338,clasif_filas!$A$2:$J$39,9,FALSE())</f>
        <v>3</v>
      </c>
      <c r="T338" s="61" t="str">
        <f aca="false">VLOOKUP(K338,clasif_filas!$A$2:$J$39,10,FALSE())</f>
        <v>No bioeconomía</v>
      </c>
    </row>
    <row r="339" customFormat="false" ht="25.55" hidden="false" customHeight="false" outlineLevel="0" collapsed="false">
      <c r="A339" s="29" t="s">
        <v>681</v>
      </c>
      <c r="B339" s="67" t="s">
        <v>1836</v>
      </c>
      <c r="C339" s="58" t="str">
        <f aca="false">VLOOKUP(B339, AT_FILAS!$A$2:$C$8,2,FALSE())</f>
        <v>Consumo intermedio</v>
      </c>
      <c r="D339" s="58" t="n">
        <f aca="false">VLOOKUP(B339, AT_FILAS!$A$2:$C$8,3,FALSE())</f>
        <v>2</v>
      </c>
      <c r="E339" s="60" t="s">
        <v>2183</v>
      </c>
      <c r="F339" s="60" t="s">
        <v>2184</v>
      </c>
      <c r="G339" s="1" t="s">
        <v>1602</v>
      </c>
      <c r="H339" s="1" t="n">
        <v>4</v>
      </c>
      <c r="I339" s="1" t="s">
        <v>1602</v>
      </c>
      <c r="J339" s="1" t="s">
        <v>1602</v>
      </c>
      <c r="K339" s="1" t="n">
        <v>6</v>
      </c>
      <c r="L339" s="21" t="str">
        <f aca="false">VLOOKUP(K339,clasif_filas!$A$2:$J$39,2,FALSE())</f>
        <v>Otros servicios</v>
      </c>
      <c r="M339" s="21" t="n">
        <f aca="false">VLOOKUP(K339,clasif_filas!$A$2:$J$39,3,FALSE())</f>
        <v>6</v>
      </c>
      <c r="N339" s="21" t="str">
        <f aca="false">VLOOKUP(K339,clasif_filas!$A$2:$J$39,4,FALSE())</f>
        <v>Otros servicios</v>
      </c>
      <c r="O339" s="21" t="n">
        <f aca="false">VLOOKUP(K339,clasif_filas!$A$2:$J$39,5,FALSE())</f>
        <v>99</v>
      </c>
      <c r="P339" s="21" t="str">
        <f aca="false">VLOOKUP(K339,clasif_filas!$A$2:$J$39,6,FALSE())</f>
        <v>No Bioeconomía</v>
      </c>
      <c r="Q339" s="21" t="n">
        <f aca="false">VLOOKUP(K339,clasif_filas!$A$2:$J$39,7,FALSE())</f>
        <v>6</v>
      </c>
      <c r="R339" s="21" t="str">
        <f aca="false">VLOOKUP(K339,clasif_filas!$A$2:$J$39,8,FALSE())</f>
        <v>Servicios comerciales de distribución; alojamiento, servicios de suministro de comidas y bebidas; servicios de transporte; y servicios de distribución de electricidad, gas y agua</v>
      </c>
      <c r="S339" s="21" t="n">
        <f aca="false">VLOOKUP(K339,clasif_filas!$A$2:$J$39,9,FALSE())</f>
        <v>3</v>
      </c>
      <c r="T339" s="61" t="str">
        <f aca="false">VLOOKUP(K339,clasif_filas!$A$2:$J$39,10,FALSE())</f>
        <v>No bioeconomía</v>
      </c>
    </row>
    <row r="340" customFormat="false" ht="14.25" hidden="false" customHeight="false" outlineLevel="0" collapsed="false">
      <c r="A340" s="29" t="s">
        <v>683</v>
      </c>
      <c r="B340" s="67" t="s">
        <v>1836</v>
      </c>
      <c r="C340" s="58" t="str">
        <f aca="false">VLOOKUP(B340, AT_FILAS!$A$2:$C$8,2,FALSE())</f>
        <v>Consumo intermedio</v>
      </c>
      <c r="D340" s="58" t="n">
        <f aca="false">VLOOKUP(B340, AT_FILAS!$A$2:$C$8,3,FALSE())</f>
        <v>2</v>
      </c>
      <c r="E340" s="60" t="s">
        <v>2185</v>
      </c>
      <c r="F340" s="60" t="s">
        <v>2186</v>
      </c>
      <c r="G340" s="1" t="s">
        <v>1602</v>
      </c>
      <c r="H340" s="1" t="n">
        <v>4</v>
      </c>
      <c r="I340" s="1" t="s">
        <v>1602</v>
      </c>
      <c r="J340" s="1" t="s">
        <v>1602</v>
      </c>
      <c r="K340" s="1" t="n">
        <v>6</v>
      </c>
      <c r="L340" s="21" t="str">
        <f aca="false">VLOOKUP(K340,clasif_filas!$A$2:$J$39,2,FALSE())</f>
        <v>Otros servicios</v>
      </c>
      <c r="M340" s="21" t="n">
        <f aca="false">VLOOKUP(K340,clasif_filas!$A$2:$J$39,3,FALSE())</f>
        <v>6</v>
      </c>
      <c r="N340" s="21" t="str">
        <f aca="false">VLOOKUP(K340,clasif_filas!$A$2:$J$39,4,FALSE())</f>
        <v>Otros servicios</v>
      </c>
      <c r="O340" s="21" t="n">
        <f aca="false">VLOOKUP(K340,clasif_filas!$A$2:$J$39,5,FALSE())</f>
        <v>99</v>
      </c>
      <c r="P340" s="21" t="str">
        <f aca="false">VLOOKUP(K340,clasif_filas!$A$2:$J$39,6,FALSE())</f>
        <v>No Bioeconomía</v>
      </c>
      <c r="Q340" s="21" t="n">
        <f aca="false">VLOOKUP(K340,clasif_filas!$A$2:$J$39,7,FALSE())</f>
        <v>6</v>
      </c>
      <c r="R340" s="21" t="str">
        <f aca="false">VLOOKUP(K340,clasif_filas!$A$2:$J$39,8,FALSE())</f>
        <v>Servicios comerciales de distribución; alojamiento, servicios de suministro de comidas y bebidas; servicios de transporte; y servicios de distribución de electricidad, gas y agua</v>
      </c>
      <c r="S340" s="21" t="n">
        <f aca="false">VLOOKUP(K340,clasif_filas!$A$2:$J$39,9,FALSE())</f>
        <v>3</v>
      </c>
      <c r="T340" s="61" t="str">
        <f aca="false">VLOOKUP(K340,clasif_filas!$A$2:$J$39,10,FALSE())</f>
        <v>No bioeconomía</v>
      </c>
    </row>
    <row r="341" customFormat="false" ht="14.25" hidden="false" customHeight="false" outlineLevel="0" collapsed="false">
      <c r="A341" s="29" t="s">
        <v>685</v>
      </c>
      <c r="B341" s="67" t="s">
        <v>1836</v>
      </c>
      <c r="C341" s="58" t="str">
        <f aca="false">VLOOKUP(B341, AT_FILAS!$A$2:$C$8,2,FALSE())</f>
        <v>Consumo intermedio</v>
      </c>
      <c r="D341" s="58" t="n">
        <f aca="false">VLOOKUP(B341, AT_FILAS!$A$2:$C$8,3,FALSE())</f>
        <v>2</v>
      </c>
      <c r="E341" s="60" t="s">
        <v>2187</v>
      </c>
      <c r="F341" s="60" t="s">
        <v>2188</v>
      </c>
      <c r="G341" s="1" t="s">
        <v>1602</v>
      </c>
      <c r="H341" s="1" t="n">
        <v>4</v>
      </c>
      <c r="I341" s="1" t="s">
        <v>1602</v>
      </c>
      <c r="J341" s="1" t="s">
        <v>1602</v>
      </c>
      <c r="K341" s="1" t="n">
        <v>6</v>
      </c>
      <c r="L341" s="21" t="str">
        <f aca="false">VLOOKUP(K341,clasif_filas!$A$2:$J$39,2,FALSE())</f>
        <v>Otros servicios</v>
      </c>
      <c r="M341" s="21" t="n">
        <f aca="false">VLOOKUP(K341,clasif_filas!$A$2:$J$39,3,FALSE())</f>
        <v>6</v>
      </c>
      <c r="N341" s="21" t="str">
        <f aca="false">VLOOKUP(K341,clasif_filas!$A$2:$J$39,4,FALSE())</f>
        <v>Otros servicios</v>
      </c>
      <c r="O341" s="21" t="n">
        <f aca="false">VLOOKUP(K341,clasif_filas!$A$2:$J$39,5,FALSE())</f>
        <v>99</v>
      </c>
      <c r="P341" s="21" t="str">
        <f aca="false">VLOOKUP(K341,clasif_filas!$A$2:$J$39,6,FALSE())</f>
        <v>No Bioeconomía</v>
      </c>
      <c r="Q341" s="21" t="n">
        <f aca="false">VLOOKUP(K341,clasif_filas!$A$2:$J$39,7,FALSE())</f>
        <v>6</v>
      </c>
      <c r="R341" s="21" t="str">
        <f aca="false">VLOOKUP(K341,clasif_filas!$A$2:$J$39,8,FALSE())</f>
        <v>Servicios comerciales de distribución; alojamiento, servicios de suministro de comidas y bebidas; servicios de transporte; y servicios de distribución de electricidad, gas y agua</v>
      </c>
      <c r="S341" s="21" t="n">
        <f aca="false">VLOOKUP(K341,clasif_filas!$A$2:$J$39,9,FALSE())</f>
        <v>3</v>
      </c>
      <c r="T341" s="61" t="str">
        <f aca="false">VLOOKUP(K341,clasif_filas!$A$2:$J$39,10,FALSE())</f>
        <v>No bioeconomía</v>
      </c>
    </row>
    <row r="342" customFormat="false" ht="14.25" hidden="false" customHeight="false" outlineLevel="0" collapsed="false">
      <c r="A342" s="29" t="s">
        <v>687</v>
      </c>
      <c r="B342" s="67" t="s">
        <v>1836</v>
      </c>
      <c r="C342" s="58" t="str">
        <f aca="false">VLOOKUP(B342, AT_FILAS!$A$2:$C$8,2,FALSE())</f>
        <v>Consumo intermedio</v>
      </c>
      <c r="D342" s="58" t="n">
        <f aca="false">VLOOKUP(B342, AT_FILAS!$A$2:$C$8,3,FALSE())</f>
        <v>2</v>
      </c>
      <c r="E342" s="60" t="s">
        <v>2189</v>
      </c>
      <c r="F342" s="60" t="s">
        <v>2190</v>
      </c>
      <c r="G342" s="1" t="s">
        <v>1602</v>
      </c>
      <c r="H342" s="1" t="n">
        <v>4</v>
      </c>
      <c r="I342" s="1" t="s">
        <v>1602</v>
      </c>
      <c r="J342" s="1" t="s">
        <v>1602</v>
      </c>
      <c r="K342" s="1" t="n">
        <v>6</v>
      </c>
      <c r="L342" s="21" t="str">
        <f aca="false">VLOOKUP(K342,clasif_filas!$A$2:$J$39,2,FALSE())</f>
        <v>Otros servicios</v>
      </c>
      <c r="M342" s="21" t="n">
        <f aca="false">VLOOKUP(K342,clasif_filas!$A$2:$J$39,3,FALSE())</f>
        <v>6</v>
      </c>
      <c r="N342" s="21" t="str">
        <f aca="false">VLOOKUP(K342,clasif_filas!$A$2:$J$39,4,FALSE())</f>
        <v>Otros servicios</v>
      </c>
      <c r="O342" s="21" t="n">
        <f aca="false">VLOOKUP(K342,clasif_filas!$A$2:$J$39,5,FALSE())</f>
        <v>99</v>
      </c>
      <c r="P342" s="21" t="str">
        <f aca="false">VLOOKUP(K342,clasif_filas!$A$2:$J$39,6,FALSE())</f>
        <v>No Bioeconomía</v>
      </c>
      <c r="Q342" s="21" t="n">
        <f aca="false">VLOOKUP(K342,clasif_filas!$A$2:$J$39,7,FALSE())</f>
        <v>6</v>
      </c>
      <c r="R342" s="21" t="str">
        <f aca="false">VLOOKUP(K342,clasif_filas!$A$2:$J$39,8,FALSE())</f>
        <v>Servicios comerciales de distribución; alojamiento, servicios de suministro de comidas y bebidas; servicios de transporte; y servicios de distribución de electricidad, gas y agua</v>
      </c>
      <c r="S342" s="21" t="n">
        <f aca="false">VLOOKUP(K342,clasif_filas!$A$2:$J$39,9,FALSE())</f>
        <v>3</v>
      </c>
      <c r="T342" s="61" t="str">
        <f aca="false">VLOOKUP(K342,clasif_filas!$A$2:$J$39,10,FALSE())</f>
        <v>No bioeconomía</v>
      </c>
    </row>
    <row r="343" customFormat="false" ht="14.25" hidden="false" customHeight="false" outlineLevel="0" collapsed="false">
      <c r="A343" s="29" t="s">
        <v>689</v>
      </c>
      <c r="B343" s="67" t="s">
        <v>1836</v>
      </c>
      <c r="C343" s="58" t="str">
        <f aca="false">VLOOKUP(B343, AT_FILAS!$A$2:$C$8,2,FALSE())</f>
        <v>Consumo intermedio</v>
      </c>
      <c r="D343" s="58" t="n">
        <f aca="false">VLOOKUP(B343, AT_FILAS!$A$2:$C$8,3,FALSE())</f>
        <v>2</v>
      </c>
      <c r="E343" s="60" t="s">
        <v>2191</v>
      </c>
      <c r="F343" s="60" t="s">
        <v>2192</v>
      </c>
      <c r="G343" s="1" t="s">
        <v>1602</v>
      </c>
      <c r="H343" s="1" t="n">
        <v>4</v>
      </c>
      <c r="I343" s="1" t="s">
        <v>1602</v>
      </c>
      <c r="J343" s="1" t="s">
        <v>1602</v>
      </c>
      <c r="K343" s="1" t="n">
        <v>6</v>
      </c>
      <c r="L343" s="21" t="str">
        <f aca="false">VLOOKUP(K343,clasif_filas!$A$2:$J$39,2,FALSE())</f>
        <v>Otros servicios</v>
      </c>
      <c r="M343" s="21" t="n">
        <f aca="false">VLOOKUP(K343,clasif_filas!$A$2:$J$39,3,FALSE())</f>
        <v>6</v>
      </c>
      <c r="N343" s="21" t="str">
        <f aca="false">VLOOKUP(K343,clasif_filas!$A$2:$J$39,4,FALSE())</f>
        <v>Otros servicios</v>
      </c>
      <c r="O343" s="21" t="n">
        <f aca="false">VLOOKUP(K343,clasif_filas!$A$2:$J$39,5,FALSE())</f>
        <v>99</v>
      </c>
      <c r="P343" s="21" t="str">
        <f aca="false">VLOOKUP(K343,clasif_filas!$A$2:$J$39,6,FALSE())</f>
        <v>No Bioeconomía</v>
      </c>
      <c r="Q343" s="21" t="n">
        <f aca="false">VLOOKUP(K343,clasif_filas!$A$2:$J$39,7,FALSE())</f>
        <v>6</v>
      </c>
      <c r="R343" s="21" t="str">
        <f aca="false">VLOOKUP(K343,clasif_filas!$A$2:$J$39,8,FALSE())</f>
        <v>Servicios comerciales de distribución; alojamiento, servicios de suministro de comidas y bebidas; servicios de transporte; y servicios de distribución de electricidad, gas y agua</v>
      </c>
      <c r="S343" s="21" t="n">
        <f aca="false">VLOOKUP(K343,clasif_filas!$A$2:$J$39,9,FALSE())</f>
        <v>3</v>
      </c>
      <c r="T343" s="61" t="str">
        <f aca="false">VLOOKUP(K343,clasif_filas!$A$2:$J$39,10,FALSE())</f>
        <v>No bioeconomía</v>
      </c>
    </row>
    <row r="344" customFormat="false" ht="14.25" hidden="false" customHeight="false" outlineLevel="0" collapsed="false">
      <c r="A344" s="29" t="s">
        <v>691</v>
      </c>
      <c r="B344" s="67" t="s">
        <v>1836</v>
      </c>
      <c r="C344" s="58" t="str">
        <f aca="false">VLOOKUP(B344, AT_FILAS!$A$2:$C$8,2,FALSE())</f>
        <v>Consumo intermedio</v>
      </c>
      <c r="D344" s="58" t="n">
        <f aca="false">VLOOKUP(B344, AT_FILAS!$A$2:$C$8,3,FALSE())</f>
        <v>2</v>
      </c>
      <c r="E344" s="60" t="s">
        <v>2193</v>
      </c>
      <c r="F344" s="60" t="s">
        <v>2194</v>
      </c>
      <c r="G344" s="1" t="s">
        <v>1936</v>
      </c>
      <c r="H344" s="1" t="n">
        <v>3</v>
      </c>
      <c r="I344" s="1" t="s">
        <v>1937</v>
      </c>
      <c r="J344" s="1" t="s">
        <v>1936</v>
      </c>
      <c r="K344" s="1" t="n">
        <v>63</v>
      </c>
      <c r="L344" s="21" t="str">
        <f aca="false">VLOOKUP(K344,clasif_filas!$A$2:$J$39,2,FALSE())</f>
        <v>Alojamiento, servicios de suministro de comidas y bebidas</v>
      </c>
      <c r="M344" s="21" t="n">
        <f aca="false">VLOOKUP(K344,clasif_filas!$A$2:$J$39,3,FALSE())</f>
        <v>63</v>
      </c>
      <c r="N344" s="21" t="str">
        <f aca="false">VLOOKUP(K344,clasif_filas!$A$2:$J$39,4,FALSE())</f>
        <v>Alojamiento, servicios de suministro de comidas y bebidas</v>
      </c>
      <c r="O344" s="21" t="n">
        <f aca="false">VLOOKUP(K344,clasif_filas!$A$2:$J$39,5,FALSE())</f>
        <v>6</v>
      </c>
      <c r="P344" s="21" t="str">
        <f aca="false">VLOOKUP(K344,clasif_filas!$A$2:$J$39,6,FALSE())</f>
        <v>Conocimiento, procesos y servicios relacionados</v>
      </c>
      <c r="Q344" s="21" t="n">
        <f aca="false">VLOOKUP(K344,clasif_filas!$A$2:$J$39,7,FALSE())</f>
        <v>6</v>
      </c>
      <c r="R344" s="21" t="str">
        <f aca="false">VLOOKUP(K344,clasif_filas!$A$2:$J$39,8,FALSE())</f>
        <v>Servicios comerciales de distribución; alojamiento, servicios de suministro de comidas y bebidas; servicios de transporte; y servicios de distribución de electricidad, gas y agua</v>
      </c>
      <c r="S344" s="21" t="n">
        <f aca="false">VLOOKUP(K344,clasif_filas!$A$2:$J$39,9,FALSE())</f>
        <v>2</v>
      </c>
      <c r="T344" s="61" t="str">
        <f aca="false">VLOOKUP(K344,clasif_filas!$A$2:$J$39,10,FALSE())</f>
        <v>Bioeconomía extendida</v>
      </c>
    </row>
    <row r="345" customFormat="false" ht="25.55" hidden="false" customHeight="false" outlineLevel="0" collapsed="false">
      <c r="A345" s="29" t="s">
        <v>693</v>
      </c>
      <c r="B345" s="67" t="s">
        <v>1836</v>
      </c>
      <c r="C345" s="58" t="str">
        <f aca="false">VLOOKUP(B345, AT_FILAS!$A$2:$C$8,2,FALSE())</f>
        <v>Consumo intermedio</v>
      </c>
      <c r="D345" s="58" t="n">
        <f aca="false">VLOOKUP(B345, AT_FILAS!$A$2:$C$8,3,FALSE())</f>
        <v>2</v>
      </c>
      <c r="E345" s="60" t="s">
        <v>2195</v>
      </c>
      <c r="F345" s="60" t="s">
        <v>2196</v>
      </c>
      <c r="G345" s="1" t="s">
        <v>1602</v>
      </c>
      <c r="H345" s="1" t="n">
        <v>4</v>
      </c>
      <c r="I345" s="1" t="s">
        <v>1602</v>
      </c>
      <c r="J345" s="1" t="s">
        <v>1602</v>
      </c>
      <c r="K345" s="1" t="n">
        <v>6</v>
      </c>
      <c r="L345" s="21" t="str">
        <f aca="false">VLOOKUP(K345,clasif_filas!$A$2:$J$39,2,FALSE())</f>
        <v>Otros servicios</v>
      </c>
      <c r="M345" s="21" t="n">
        <f aca="false">VLOOKUP(K345,clasif_filas!$A$2:$J$39,3,FALSE())</f>
        <v>6</v>
      </c>
      <c r="N345" s="21" t="str">
        <f aca="false">VLOOKUP(K345,clasif_filas!$A$2:$J$39,4,FALSE())</f>
        <v>Otros servicios</v>
      </c>
      <c r="O345" s="21" t="n">
        <f aca="false">VLOOKUP(K345,clasif_filas!$A$2:$J$39,5,FALSE())</f>
        <v>99</v>
      </c>
      <c r="P345" s="21" t="str">
        <f aca="false">VLOOKUP(K345,clasif_filas!$A$2:$J$39,6,FALSE())</f>
        <v>No Bioeconomía</v>
      </c>
      <c r="Q345" s="21" t="n">
        <f aca="false">VLOOKUP(K345,clasif_filas!$A$2:$J$39,7,FALSE())</f>
        <v>6</v>
      </c>
      <c r="R345" s="21" t="str">
        <f aca="false">VLOOKUP(K345,clasif_filas!$A$2:$J$39,8,FALSE())</f>
        <v>Servicios comerciales de distribución; alojamiento, servicios de suministro de comidas y bebidas; servicios de transporte; y servicios de distribución de electricidad, gas y agua</v>
      </c>
      <c r="S345" s="21" t="n">
        <f aca="false">VLOOKUP(K345,clasif_filas!$A$2:$J$39,9,FALSE())</f>
        <v>3</v>
      </c>
      <c r="T345" s="61" t="str">
        <f aca="false">VLOOKUP(K345,clasif_filas!$A$2:$J$39,10,FALSE())</f>
        <v>No bioeconomía</v>
      </c>
    </row>
    <row r="346" customFormat="false" ht="37.55" hidden="false" customHeight="false" outlineLevel="0" collapsed="false">
      <c r="A346" s="29" t="s">
        <v>695</v>
      </c>
      <c r="B346" s="67" t="s">
        <v>1836</v>
      </c>
      <c r="C346" s="58" t="str">
        <f aca="false">VLOOKUP(B346, AT_FILAS!$A$2:$C$8,2,FALSE())</f>
        <v>Consumo intermedio</v>
      </c>
      <c r="D346" s="58" t="n">
        <f aca="false">VLOOKUP(B346, AT_FILAS!$A$2:$C$8,3,FALSE())</f>
        <v>2</v>
      </c>
      <c r="E346" s="60" t="s">
        <v>2197</v>
      </c>
      <c r="F346" s="60" t="s">
        <v>2198</v>
      </c>
      <c r="G346" s="1" t="s">
        <v>1602</v>
      </c>
      <c r="H346" s="1" t="n">
        <v>4</v>
      </c>
      <c r="I346" s="1" t="s">
        <v>1602</v>
      </c>
      <c r="J346" s="1" t="s">
        <v>1602</v>
      </c>
      <c r="K346" s="1" t="n">
        <v>6</v>
      </c>
      <c r="L346" s="21" t="str">
        <f aca="false">VLOOKUP(K346,clasif_filas!$A$2:$J$39,2,FALSE())</f>
        <v>Otros servicios</v>
      </c>
      <c r="M346" s="21" t="n">
        <f aca="false">VLOOKUP(K346,clasif_filas!$A$2:$J$39,3,FALSE())</f>
        <v>6</v>
      </c>
      <c r="N346" s="21" t="str">
        <f aca="false">VLOOKUP(K346,clasif_filas!$A$2:$J$39,4,FALSE())</f>
        <v>Otros servicios</v>
      </c>
      <c r="O346" s="21" t="n">
        <f aca="false">VLOOKUP(K346,clasif_filas!$A$2:$J$39,5,FALSE())</f>
        <v>99</v>
      </c>
      <c r="P346" s="21" t="str">
        <f aca="false">VLOOKUP(K346,clasif_filas!$A$2:$J$39,6,FALSE())</f>
        <v>No Bioeconomía</v>
      </c>
      <c r="Q346" s="21" t="n">
        <f aca="false">VLOOKUP(K346,clasif_filas!$A$2:$J$39,7,FALSE())</f>
        <v>6</v>
      </c>
      <c r="R346" s="21" t="str">
        <f aca="false">VLOOKUP(K346,clasif_filas!$A$2:$J$39,8,FALSE())</f>
        <v>Servicios comerciales de distribución; alojamiento, servicios de suministro de comidas y bebidas; servicios de transporte; y servicios de distribución de electricidad, gas y agua</v>
      </c>
      <c r="S346" s="21" t="n">
        <f aca="false">VLOOKUP(K346,clasif_filas!$A$2:$J$39,9,FALSE())</f>
        <v>3</v>
      </c>
      <c r="T346" s="61" t="str">
        <f aca="false">VLOOKUP(K346,clasif_filas!$A$2:$J$39,10,FALSE())</f>
        <v>No bioeconomía</v>
      </c>
    </row>
    <row r="347" customFormat="false" ht="25.55" hidden="false" customHeight="false" outlineLevel="0" collapsed="false">
      <c r="A347" s="29" t="s">
        <v>697</v>
      </c>
      <c r="B347" s="67" t="s">
        <v>1836</v>
      </c>
      <c r="C347" s="58" t="str">
        <f aca="false">VLOOKUP(B347, AT_FILAS!$A$2:$C$8,2,FALSE())</f>
        <v>Consumo intermedio</v>
      </c>
      <c r="D347" s="58" t="n">
        <f aca="false">VLOOKUP(B347, AT_FILAS!$A$2:$C$8,3,FALSE())</f>
        <v>2</v>
      </c>
      <c r="E347" s="60" t="s">
        <v>2199</v>
      </c>
      <c r="F347" s="60" t="s">
        <v>2200</v>
      </c>
      <c r="G347" s="1" t="s">
        <v>1602</v>
      </c>
      <c r="H347" s="1" t="n">
        <v>4</v>
      </c>
      <c r="I347" s="1" t="s">
        <v>1602</v>
      </c>
      <c r="J347" s="1" t="s">
        <v>1602</v>
      </c>
      <c r="K347" s="1" t="n">
        <v>6</v>
      </c>
      <c r="L347" s="21" t="str">
        <f aca="false">VLOOKUP(K347,clasif_filas!$A$2:$J$39,2,FALSE())</f>
        <v>Otros servicios</v>
      </c>
      <c r="M347" s="21" t="n">
        <f aca="false">VLOOKUP(K347,clasif_filas!$A$2:$J$39,3,FALSE())</f>
        <v>6</v>
      </c>
      <c r="N347" s="21" t="str">
        <f aca="false">VLOOKUP(K347,clasif_filas!$A$2:$J$39,4,FALSE())</f>
        <v>Otros servicios</v>
      </c>
      <c r="O347" s="21" t="n">
        <f aca="false">VLOOKUP(K347,clasif_filas!$A$2:$J$39,5,FALSE())</f>
        <v>99</v>
      </c>
      <c r="P347" s="21" t="str">
        <f aca="false">VLOOKUP(K347,clasif_filas!$A$2:$J$39,6,FALSE())</f>
        <v>No Bioeconomía</v>
      </c>
      <c r="Q347" s="21" t="n">
        <f aca="false">VLOOKUP(K347,clasif_filas!$A$2:$J$39,7,FALSE())</f>
        <v>6</v>
      </c>
      <c r="R347" s="21" t="str">
        <f aca="false">VLOOKUP(K347,clasif_filas!$A$2:$J$39,8,FALSE())</f>
        <v>Servicios comerciales de distribución; alojamiento, servicios de suministro de comidas y bebidas; servicios de transporte; y servicios de distribución de electricidad, gas y agua</v>
      </c>
      <c r="S347" s="21" t="n">
        <f aca="false">VLOOKUP(K347,clasif_filas!$A$2:$J$39,9,FALSE())</f>
        <v>3</v>
      </c>
      <c r="T347" s="61" t="str">
        <f aca="false">VLOOKUP(K347,clasif_filas!$A$2:$J$39,10,FALSE())</f>
        <v>No bioeconomía</v>
      </c>
    </row>
    <row r="348" customFormat="false" ht="25.55" hidden="false" customHeight="false" outlineLevel="0" collapsed="false">
      <c r="A348" s="29" t="s">
        <v>699</v>
      </c>
      <c r="B348" s="67" t="s">
        <v>1836</v>
      </c>
      <c r="C348" s="58" t="str">
        <f aca="false">VLOOKUP(B348, AT_FILAS!$A$2:$C$8,2,FALSE())</f>
        <v>Consumo intermedio</v>
      </c>
      <c r="D348" s="58" t="n">
        <f aca="false">VLOOKUP(B348, AT_FILAS!$A$2:$C$8,3,FALSE())</f>
        <v>2</v>
      </c>
      <c r="E348" s="60" t="s">
        <v>2201</v>
      </c>
      <c r="F348" s="60" t="s">
        <v>2202</v>
      </c>
      <c r="G348" s="1" t="s">
        <v>1602</v>
      </c>
      <c r="H348" s="1" t="n">
        <v>4</v>
      </c>
      <c r="I348" s="1" t="s">
        <v>1602</v>
      </c>
      <c r="J348" s="1" t="s">
        <v>1602</v>
      </c>
      <c r="K348" s="1" t="n">
        <v>6</v>
      </c>
      <c r="L348" s="21" t="str">
        <f aca="false">VLOOKUP(K348,clasif_filas!$A$2:$J$39,2,FALSE())</f>
        <v>Otros servicios</v>
      </c>
      <c r="M348" s="21" t="n">
        <f aca="false">VLOOKUP(K348,clasif_filas!$A$2:$J$39,3,FALSE())</f>
        <v>6</v>
      </c>
      <c r="N348" s="21" t="str">
        <f aca="false">VLOOKUP(K348,clasif_filas!$A$2:$J$39,4,FALSE())</f>
        <v>Otros servicios</v>
      </c>
      <c r="O348" s="21" t="n">
        <f aca="false">VLOOKUP(K348,clasif_filas!$A$2:$J$39,5,FALSE())</f>
        <v>99</v>
      </c>
      <c r="P348" s="21" t="str">
        <f aca="false">VLOOKUP(K348,clasif_filas!$A$2:$J$39,6,FALSE())</f>
        <v>No Bioeconomía</v>
      </c>
      <c r="Q348" s="21" t="n">
        <f aca="false">VLOOKUP(K348,clasif_filas!$A$2:$J$39,7,FALSE())</f>
        <v>6</v>
      </c>
      <c r="R348" s="21" t="str">
        <f aca="false">VLOOKUP(K348,clasif_filas!$A$2:$J$39,8,FALSE())</f>
        <v>Servicios comerciales de distribución; alojamiento, servicios de suministro de comidas y bebidas; servicios de transporte; y servicios de distribución de electricidad, gas y agua</v>
      </c>
      <c r="S348" s="21" t="n">
        <f aca="false">VLOOKUP(K348,clasif_filas!$A$2:$J$39,9,FALSE())</f>
        <v>3</v>
      </c>
      <c r="T348" s="61" t="str">
        <f aca="false">VLOOKUP(K348,clasif_filas!$A$2:$J$39,10,FALSE())</f>
        <v>No bioeconomía</v>
      </c>
    </row>
    <row r="349" customFormat="false" ht="25.55" hidden="false" customHeight="false" outlineLevel="0" collapsed="false">
      <c r="A349" s="29" t="s">
        <v>701</v>
      </c>
      <c r="B349" s="67" t="s">
        <v>1836</v>
      </c>
      <c r="C349" s="58" t="str">
        <f aca="false">VLOOKUP(B349, AT_FILAS!$A$2:$C$8,2,FALSE())</f>
        <v>Consumo intermedio</v>
      </c>
      <c r="D349" s="58" t="n">
        <f aca="false">VLOOKUP(B349, AT_FILAS!$A$2:$C$8,3,FALSE())</f>
        <v>2</v>
      </c>
      <c r="E349" s="60" t="s">
        <v>2203</v>
      </c>
      <c r="F349" s="60" t="s">
        <v>2204</v>
      </c>
      <c r="G349" s="1" t="s">
        <v>1602</v>
      </c>
      <c r="H349" s="1" t="n">
        <v>4</v>
      </c>
      <c r="I349" s="1" t="s">
        <v>1602</v>
      </c>
      <c r="J349" s="1" t="s">
        <v>1602</v>
      </c>
      <c r="K349" s="1" t="n">
        <v>6</v>
      </c>
      <c r="L349" s="21" t="str">
        <f aca="false">VLOOKUP(K349,clasif_filas!$A$2:$J$39,2,FALSE())</f>
        <v>Otros servicios</v>
      </c>
      <c r="M349" s="21" t="n">
        <f aca="false">VLOOKUP(K349,clasif_filas!$A$2:$J$39,3,FALSE())</f>
        <v>6</v>
      </c>
      <c r="N349" s="21" t="str">
        <f aca="false">VLOOKUP(K349,clasif_filas!$A$2:$J$39,4,FALSE())</f>
        <v>Otros servicios</v>
      </c>
      <c r="O349" s="21" t="n">
        <f aca="false">VLOOKUP(K349,clasif_filas!$A$2:$J$39,5,FALSE())</f>
        <v>99</v>
      </c>
      <c r="P349" s="21" t="str">
        <f aca="false">VLOOKUP(K349,clasif_filas!$A$2:$J$39,6,FALSE())</f>
        <v>No Bioeconomía</v>
      </c>
      <c r="Q349" s="21" t="n">
        <f aca="false">VLOOKUP(K349,clasif_filas!$A$2:$J$39,7,FALSE())</f>
        <v>6</v>
      </c>
      <c r="R349" s="21" t="str">
        <f aca="false">VLOOKUP(K349,clasif_filas!$A$2:$J$39,8,FALSE())</f>
        <v>Servicios comerciales de distribución; alojamiento, servicios de suministro de comidas y bebidas; servicios de transporte; y servicios de distribución de electricidad, gas y agua</v>
      </c>
      <c r="S349" s="21" t="n">
        <f aca="false">VLOOKUP(K349,clasif_filas!$A$2:$J$39,9,FALSE())</f>
        <v>3</v>
      </c>
      <c r="T349" s="61" t="str">
        <f aca="false">VLOOKUP(K349,clasif_filas!$A$2:$J$39,10,FALSE())</f>
        <v>No bioeconomía</v>
      </c>
    </row>
    <row r="350" customFormat="false" ht="25.55" hidden="false" customHeight="false" outlineLevel="0" collapsed="false">
      <c r="A350" s="29" t="s">
        <v>703</v>
      </c>
      <c r="B350" s="67" t="s">
        <v>1836</v>
      </c>
      <c r="C350" s="58" t="str">
        <f aca="false">VLOOKUP(B350, AT_FILAS!$A$2:$C$8,2,FALSE())</f>
        <v>Consumo intermedio</v>
      </c>
      <c r="D350" s="58" t="n">
        <f aca="false">VLOOKUP(B350, AT_FILAS!$A$2:$C$8,3,FALSE())</f>
        <v>2</v>
      </c>
      <c r="E350" s="60" t="s">
        <v>2205</v>
      </c>
      <c r="F350" s="60" t="s">
        <v>2206</v>
      </c>
      <c r="G350" s="1" t="s">
        <v>1602</v>
      </c>
      <c r="H350" s="1" t="n">
        <v>4</v>
      </c>
      <c r="I350" s="1" t="s">
        <v>1602</v>
      </c>
      <c r="J350" s="1" t="s">
        <v>1602</v>
      </c>
      <c r="K350" s="1" t="n">
        <v>6</v>
      </c>
      <c r="L350" s="21" t="str">
        <f aca="false">VLOOKUP(K350,clasif_filas!$A$2:$J$39,2,FALSE())</f>
        <v>Otros servicios</v>
      </c>
      <c r="M350" s="21" t="n">
        <f aca="false">VLOOKUP(K350,clasif_filas!$A$2:$J$39,3,FALSE())</f>
        <v>6</v>
      </c>
      <c r="N350" s="21" t="str">
        <f aca="false">VLOOKUP(K350,clasif_filas!$A$2:$J$39,4,FALSE())</f>
        <v>Otros servicios</v>
      </c>
      <c r="O350" s="21" t="n">
        <f aca="false">VLOOKUP(K350,clasif_filas!$A$2:$J$39,5,FALSE())</f>
        <v>99</v>
      </c>
      <c r="P350" s="21" t="str">
        <f aca="false">VLOOKUP(K350,clasif_filas!$A$2:$J$39,6,FALSE())</f>
        <v>No Bioeconomía</v>
      </c>
      <c r="Q350" s="21" t="n">
        <f aca="false">VLOOKUP(K350,clasif_filas!$A$2:$J$39,7,FALSE())</f>
        <v>6</v>
      </c>
      <c r="R350" s="21" t="str">
        <f aca="false">VLOOKUP(K350,clasif_filas!$A$2:$J$39,8,FALSE())</f>
        <v>Servicios comerciales de distribución; alojamiento, servicios de suministro de comidas y bebidas; servicios de transporte; y servicios de distribución de electricidad, gas y agua</v>
      </c>
      <c r="S350" s="21" t="n">
        <f aca="false">VLOOKUP(K350,clasif_filas!$A$2:$J$39,9,FALSE())</f>
        <v>3</v>
      </c>
      <c r="T350" s="61" t="str">
        <f aca="false">VLOOKUP(K350,clasif_filas!$A$2:$J$39,10,FALSE())</f>
        <v>No bioeconomía</v>
      </c>
    </row>
    <row r="351" customFormat="false" ht="37.55" hidden="false" customHeight="false" outlineLevel="0" collapsed="false">
      <c r="A351" s="29" t="s">
        <v>705</v>
      </c>
      <c r="B351" s="67" t="s">
        <v>1836</v>
      </c>
      <c r="C351" s="58" t="str">
        <f aca="false">VLOOKUP(B351, AT_FILAS!$A$2:$C$8,2,FALSE())</f>
        <v>Consumo intermedio</v>
      </c>
      <c r="D351" s="58" t="n">
        <f aca="false">VLOOKUP(B351, AT_FILAS!$A$2:$C$8,3,FALSE())</f>
        <v>2</v>
      </c>
      <c r="E351" s="60" t="s">
        <v>2207</v>
      </c>
      <c r="F351" s="60" t="s">
        <v>2208</v>
      </c>
      <c r="G351" s="1" t="s">
        <v>1602</v>
      </c>
      <c r="H351" s="1" t="n">
        <v>4</v>
      </c>
      <c r="I351" s="1" t="s">
        <v>1602</v>
      </c>
      <c r="J351" s="1" t="s">
        <v>1602</v>
      </c>
      <c r="K351" s="1" t="n">
        <v>6</v>
      </c>
      <c r="L351" s="21" t="str">
        <f aca="false">VLOOKUP(K351,clasif_filas!$A$2:$J$39,2,FALSE())</f>
        <v>Otros servicios</v>
      </c>
      <c r="M351" s="21" t="n">
        <f aca="false">VLOOKUP(K351,clasif_filas!$A$2:$J$39,3,FALSE())</f>
        <v>6</v>
      </c>
      <c r="N351" s="21" t="str">
        <f aca="false">VLOOKUP(K351,clasif_filas!$A$2:$J$39,4,FALSE())</f>
        <v>Otros servicios</v>
      </c>
      <c r="O351" s="21" t="n">
        <f aca="false">VLOOKUP(K351,clasif_filas!$A$2:$J$39,5,FALSE())</f>
        <v>99</v>
      </c>
      <c r="P351" s="21" t="str">
        <f aca="false">VLOOKUP(K351,clasif_filas!$A$2:$J$39,6,FALSE())</f>
        <v>No Bioeconomía</v>
      </c>
      <c r="Q351" s="21" t="n">
        <f aca="false">VLOOKUP(K351,clasif_filas!$A$2:$J$39,7,FALSE())</f>
        <v>6</v>
      </c>
      <c r="R351" s="21" t="str">
        <f aca="false">VLOOKUP(K351,clasif_filas!$A$2:$J$39,8,FALSE())</f>
        <v>Servicios comerciales de distribución; alojamiento, servicios de suministro de comidas y bebidas; servicios de transporte; y servicios de distribución de electricidad, gas y agua</v>
      </c>
      <c r="S351" s="21" t="n">
        <f aca="false">VLOOKUP(K351,clasif_filas!$A$2:$J$39,9,FALSE())</f>
        <v>3</v>
      </c>
      <c r="T351" s="61" t="str">
        <f aca="false">VLOOKUP(K351,clasif_filas!$A$2:$J$39,10,FALSE())</f>
        <v>No bioeconomía</v>
      </c>
    </row>
    <row r="352" customFormat="false" ht="25.55" hidden="false" customHeight="false" outlineLevel="0" collapsed="false">
      <c r="A352" s="29" t="s">
        <v>707</v>
      </c>
      <c r="B352" s="67" t="s">
        <v>1836</v>
      </c>
      <c r="C352" s="58" t="str">
        <f aca="false">VLOOKUP(B352, AT_FILAS!$A$2:$C$8,2,FALSE())</f>
        <v>Consumo intermedio</v>
      </c>
      <c r="D352" s="58" t="n">
        <f aca="false">VLOOKUP(B352, AT_FILAS!$A$2:$C$8,3,FALSE())</f>
        <v>2</v>
      </c>
      <c r="E352" s="60" t="s">
        <v>2209</v>
      </c>
      <c r="F352" s="60" t="s">
        <v>2210</v>
      </c>
      <c r="G352" s="1" t="s">
        <v>1602</v>
      </c>
      <c r="H352" s="1" t="n">
        <v>4</v>
      </c>
      <c r="I352" s="1" t="s">
        <v>1602</v>
      </c>
      <c r="J352" s="1" t="s">
        <v>1602</v>
      </c>
      <c r="K352" s="1" t="n">
        <v>6</v>
      </c>
      <c r="L352" s="21" t="str">
        <f aca="false">VLOOKUP(K352,clasif_filas!$A$2:$J$39,2,FALSE())</f>
        <v>Otros servicios</v>
      </c>
      <c r="M352" s="21" t="n">
        <f aca="false">VLOOKUP(K352,clasif_filas!$A$2:$J$39,3,FALSE())</f>
        <v>6</v>
      </c>
      <c r="N352" s="21" t="str">
        <f aca="false">VLOOKUP(K352,clasif_filas!$A$2:$J$39,4,FALSE())</f>
        <v>Otros servicios</v>
      </c>
      <c r="O352" s="21" t="n">
        <f aca="false">VLOOKUP(K352,clasif_filas!$A$2:$J$39,5,FALSE())</f>
        <v>99</v>
      </c>
      <c r="P352" s="21" t="str">
        <f aca="false">VLOOKUP(K352,clasif_filas!$A$2:$J$39,6,FALSE())</f>
        <v>No Bioeconomía</v>
      </c>
      <c r="Q352" s="21" t="n">
        <f aca="false">VLOOKUP(K352,clasif_filas!$A$2:$J$39,7,FALSE())</f>
        <v>6</v>
      </c>
      <c r="R352" s="21" t="str">
        <f aca="false">VLOOKUP(K352,clasif_filas!$A$2:$J$39,8,FALSE())</f>
        <v>Servicios comerciales de distribución; alojamiento, servicios de suministro de comidas y bebidas; servicios de transporte; y servicios de distribución de electricidad, gas y agua</v>
      </c>
      <c r="S352" s="21" t="n">
        <f aca="false">VLOOKUP(K352,clasif_filas!$A$2:$J$39,9,FALSE())</f>
        <v>3</v>
      </c>
      <c r="T352" s="61" t="str">
        <f aca="false">VLOOKUP(K352,clasif_filas!$A$2:$J$39,10,FALSE())</f>
        <v>No bioeconomía</v>
      </c>
    </row>
    <row r="353" customFormat="false" ht="14.25" hidden="false" customHeight="false" outlineLevel="0" collapsed="false">
      <c r="A353" s="29" t="s">
        <v>709</v>
      </c>
      <c r="B353" s="67" t="s">
        <v>1836</v>
      </c>
      <c r="C353" s="58" t="str">
        <f aca="false">VLOOKUP(B353, AT_FILAS!$A$2:$C$8,2,FALSE())</f>
        <v>Consumo intermedio</v>
      </c>
      <c r="D353" s="58" t="n">
        <f aca="false">VLOOKUP(B353, AT_FILAS!$A$2:$C$8,3,FALSE())</f>
        <v>2</v>
      </c>
      <c r="E353" s="60" t="s">
        <v>2211</v>
      </c>
      <c r="F353" s="60" t="s">
        <v>2212</v>
      </c>
      <c r="G353" s="1" t="s">
        <v>1602</v>
      </c>
      <c r="H353" s="1" t="n">
        <v>4</v>
      </c>
      <c r="I353" s="1" t="s">
        <v>1602</v>
      </c>
      <c r="J353" s="1" t="s">
        <v>1602</v>
      </c>
      <c r="K353" s="1" t="n">
        <v>6</v>
      </c>
      <c r="L353" s="21" t="str">
        <f aca="false">VLOOKUP(K353,clasif_filas!$A$2:$J$39,2,FALSE())</f>
        <v>Otros servicios</v>
      </c>
      <c r="M353" s="21" t="n">
        <f aca="false">VLOOKUP(K353,clasif_filas!$A$2:$J$39,3,FALSE())</f>
        <v>6</v>
      </c>
      <c r="N353" s="21" t="str">
        <f aca="false">VLOOKUP(K353,clasif_filas!$A$2:$J$39,4,FALSE())</f>
        <v>Otros servicios</v>
      </c>
      <c r="O353" s="21" t="n">
        <f aca="false">VLOOKUP(K353,clasif_filas!$A$2:$J$39,5,FALSE())</f>
        <v>99</v>
      </c>
      <c r="P353" s="21" t="str">
        <f aca="false">VLOOKUP(K353,clasif_filas!$A$2:$J$39,6,FALSE())</f>
        <v>No Bioeconomía</v>
      </c>
      <c r="Q353" s="21" t="n">
        <f aca="false">VLOOKUP(K353,clasif_filas!$A$2:$J$39,7,FALSE())</f>
        <v>6</v>
      </c>
      <c r="R353" s="21" t="str">
        <f aca="false">VLOOKUP(K353,clasif_filas!$A$2:$J$39,8,FALSE())</f>
        <v>Servicios comerciales de distribución; alojamiento, servicios de suministro de comidas y bebidas; servicios de transporte; y servicios de distribución de electricidad, gas y agua</v>
      </c>
      <c r="S353" s="21" t="n">
        <f aca="false">VLOOKUP(K353,clasif_filas!$A$2:$J$39,9,FALSE())</f>
        <v>3</v>
      </c>
      <c r="T353" s="61" t="str">
        <f aca="false">VLOOKUP(K353,clasif_filas!$A$2:$J$39,10,FALSE())</f>
        <v>No bioeconomía</v>
      </c>
    </row>
    <row r="354" customFormat="false" ht="14.25" hidden="false" customHeight="false" outlineLevel="0" collapsed="false">
      <c r="A354" s="29" t="s">
        <v>711</v>
      </c>
      <c r="B354" s="67" t="s">
        <v>1836</v>
      </c>
      <c r="C354" s="58" t="str">
        <f aca="false">VLOOKUP(B354, AT_FILAS!$A$2:$C$8,2,FALSE())</f>
        <v>Consumo intermedio</v>
      </c>
      <c r="D354" s="58" t="n">
        <f aca="false">VLOOKUP(B354, AT_FILAS!$A$2:$C$8,3,FALSE())</f>
        <v>2</v>
      </c>
      <c r="E354" s="60" t="s">
        <v>2213</v>
      </c>
      <c r="F354" s="60" t="s">
        <v>2214</v>
      </c>
      <c r="G354" s="1" t="s">
        <v>1602</v>
      </c>
      <c r="H354" s="1" t="n">
        <v>4</v>
      </c>
      <c r="I354" s="1" t="s">
        <v>1602</v>
      </c>
      <c r="J354" s="1" t="s">
        <v>1602</v>
      </c>
      <c r="K354" s="1" t="n">
        <v>6</v>
      </c>
      <c r="L354" s="21" t="str">
        <f aca="false">VLOOKUP(K354,clasif_filas!$A$2:$J$39,2,FALSE())</f>
        <v>Otros servicios</v>
      </c>
      <c r="M354" s="21" t="n">
        <f aca="false">VLOOKUP(K354,clasif_filas!$A$2:$J$39,3,FALSE())</f>
        <v>6</v>
      </c>
      <c r="N354" s="21" t="str">
        <f aca="false">VLOOKUP(K354,clasif_filas!$A$2:$J$39,4,FALSE())</f>
        <v>Otros servicios</v>
      </c>
      <c r="O354" s="21" t="n">
        <f aca="false">VLOOKUP(K354,clasif_filas!$A$2:$J$39,5,FALSE())</f>
        <v>99</v>
      </c>
      <c r="P354" s="21" t="str">
        <f aca="false">VLOOKUP(K354,clasif_filas!$A$2:$J$39,6,FALSE())</f>
        <v>No Bioeconomía</v>
      </c>
      <c r="Q354" s="21" t="n">
        <f aca="false">VLOOKUP(K354,clasif_filas!$A$2:$J$39,7,FALSE())</f>
        <v>6</v>
      </c>
      <c r="R354" s="21" t="str">
        <f aca="false">VLOOKUP(K354,clasif_filas!$A$2:$J$39,8,FALSE())</f>
        <v>Servicios comerciales de distribución; alojamiento, servicios de suministro de comidas y bebidas; servicios de transporte; y servicios de distribución de electricidad, gas y agua</v>
      </c>
      <c r="S354" s="21" t="n">
        <f aca="false">VLOOKUP(K354,clasif_filas!$A$2:$J$39,9,FALSE())</f>
        <v>3</v>
      </c>
      <c r="T354" s="61" t="str">
        <f aca="false">VLOOKUP(K354,clasif_filas!$A$2:$J$39,10,FALSE())</f>
        <v>No bioeconomía</v>
      </c>
    </row>
    <row r="355" customFormat="false" ht="14.25" hidden="false" customHeight="false" outlineLevel="0" collapsed="false">
      <c r="A355" s="29" t="s">
        <v>713</v>
      </c>
      <c r="B355" s="67" t="s">
        <v>1836</v>
      </c>
      <c r="C355" s="58" t="str">
        <f aca="false">VLOOKUP(B355, AT_FILAS!$A$2:$C$8,2,FALSE())</f>
        <v>Consumo intermedio</v>
      </c>
      <c r="D355" s="58" t="n">
        <f aca="false">VLOOKUP(B355, AT_FILAS!$A$2:$C$8,3,FALSE())</f>
        <v>2</v>
      </c>
      <c r="E355" s="60" t="s">
        <v>2215</v>
      </c>
      <c r="F355" s="60" t="s">
        <v>2216</v>
      </c>
      <c r="G355" s="1" t="s">
        <v>1602</v>
      </c>
      <c r="H355" s="1" t="n">
        <v>4</v>
      </c>
      <c r="I355" s="1" t="s">
        <v>1602</v>
      </c>
      <c r="J355" s="1" t="s">
        <v>1602</v>
      </c>
      <c r="K355" s="1" t="n">
        <v>6</v>
      </c>
      <c r="L355" s="21" t="str">
        <f aca="false">VLOOKUP(K355,clasif_filas!$A$2:$J$39,2,FALSE())</f>
        <v>Otros servicios</v>
      </c>
      <c r="M355" s="21" t="n">
        <f aca="false">VLOOKUP(K355,clasif_filas!$A$2:$J$39,3,FALSE())</f>
        <v>6</v>
      </c>
      <c r="N355" s="21" t="str">
        <f aca="false">VLOOKUP(K355,clasif_filas!$A$2:$J$39,4,FALSE())</f>
        <v>Otros servicios</v>
      </c>
      <c r="O355" s="21" t="n">
        <f aca="false">VLOOKUP(K355,clasif_filas!$A$2:$J$39,5,FALSE())</f>
        <v>99</v>
      </c>
      <c r="P355" s="21" t="str">
        <f aca="false">VLOOKUP(K355,clasif_filas!$A$2:$J$39,6,FALSE())</f>
        <v>No Bioeconomía</v>
      </c>
      <c r="Q355" s="21" t="n">
        <f aca="false">VLOOKUP(K355,clasif_filas!$A$2:$J$39,7,FALSE())</f>
        <v>6</v>
      </c>
      <c r="R355" s="21" t="str">
        <f aca="false">VLOOKUP(K355,clasif_filas!$A$2:$J$39,8,FALSE())</f>
        <v>Servicios comerciales de distribución; alojamiento, servicios de suministro de comidas y bebidas; servicios de transporte; y servicios de distribución de electricidad, gas y agua</v>
      </c>
      <c r="S355" s="21" t="n">
        <f aca="false">VLOOKUP(K355,clasif_filas!$A$2:$J$39,9,FALSE())</f>
        <v>3</v>
      </c>
      <c r="T355" s="61" t="str">
        <f aca="false">VLOOKUP(K355,clasif_filas!$A$2:$J$39,10,FALSE())</f>
        <v>No bioeconomía</v>
      </c>
    </row>
    <row r="356" customFormat="false" ht="25.55" hidden="false" customHeight="false" outlineLevel="0" collapsed="false">
      <c r="A356" s="29" t="s">
        <v>715</v>
      </c>
      <c r="B356" s="67" t="s">
        <v>1836</v>
      </c>
      <c r="C356" s="58" t="str">
        <f aca="false">VLOOKUP(B356, AT_FILAS!$A$2:$C$8,2,FALSE())</f>
        <v>Consumo intermedio</v>
      </c>
      <c r="D356" s="58" t="n">
        <f aca="false">VLOOKUP(B356, AT_FILAS!$A$2:$C$8,3,FALSE())</f>
        <v>2</v>
      </c>
      <c r="E356" s="60" t="s">
        <v>2217</v>
      </c>
      <c r="F356" s="60" t="s">
        <v>2218</v>
      </c>
      <c r="G356" s="1" t="s">
        <v>1602</v>
      </c>
      <c r="H356" s="1" t="n">
        <v>4</v>
      </c>
      <c r="I356" s="1" t="s">
        <v>1602</v>
      </c>
      <c r="J356" s="1" t="s">
        <v>1602</v>
      </c>
      <c r="K356" s="1" t="n">
        <v>6</v>
      </c>
      <c r="L356" s="21" t="str">
        <f aca="false">VLOOKUP(K356,clasif_filas!$A$2:$J$39,2,FALSE())</f>
        <v>Otros servicios</v>
      </c>
      <c r="M356" s="21" t="n">
        <f aca="false">VLOOKUP(K356,clasif_filas!$A$2:$J$39,3,FALSE())</f>
        <v>6</v>
      </c>
      <c r="N356" s="21" t="str">
        <f aca="false">VLOOKUP(K356,clasif_filas!$A$2:$J$39,4,FALSE())</f>
        <v>Otros servicios</v>
      </c>
      <c r="O356" s="21" t="n">
        <f aca="false">VLOOKUP(K356,clasif_filas!$A$2:$J$39,5,FALSE())</f>
        <v>99</v>
      </c>
      <c r="P356" s="21" t="str">
        <f aca="false">VLOOKUP(K356,clasif_filas!$A$2:$J$39,6,FALSE())</f>
        <v>No Bioeconomía</v>
      </c>
      <c r="Q356" s="21" t="n">
        <f aca="false">VLOOKUP(K356,clasif_filas!$A$2:$J$39,7,FALSE())</f>
        <v>6</v>
      </c>
      <c r="R356" s="21" t="str">
        <f aca="false">VLOOKUP(K356,clasif_filas!$A$2:$J$39,8,FALSE())</f>
        <v>Servicios comerciales de distribución; alojamiento, servicios de suministro de comidas y bebidas; servicios de transporte; y servicios de distribución de electricidad, gas y agua</v>
      </c>
      <c r="S356" s="21" t="n">
        <f aca="false">VLOOKUP(K356,clasif_filas!$A$2:$J$39,9,FALSE())</f>
        <v>3</v>
      </c>
      <c r="T356" s="61" t="str">
        <f aca="false">VLOOKUP(K356,clasif_filas!$A$2:$J$39,10,FALSE())</f>
        <v>No bioeconomía</v>
      </c>
    </row>
    <row r="357" customFormat="false" ht="25.55" hidden="false" customHeight="false" outlineLevel="0" collapsed="false">
      <c r="A357" s="29" t="s">
        <v>717</v>
      </c>
      <c r="B357" s="67" t="s">
        <v>1836</v>
      </c>
      <c r="C357" s="58" t="str">
        <f aca="false">VLOOKUP(B357, AT_FILAS!$A$2:$C$8,2,FALSE())</f>
        <v>Consumo intermedio</v>
      </c>
      <c r="D357" s="58" t="n">
        <f aca="false">VLOOKUP(B357, AT_FILAS!$A$2:$C$8,3,FALSE())</f>
        <v>2</v>
      </c>
      <c r="E357" s="60" t="s">
        <v>2219</v>
      </c>
      <c r="F357" s="60" t="s">
        <v>2220</v>
      </c>
      <c r="G357" s="1" t="s">
        <v>1602</v>
      </c>
      <c r="H357" s="1" t="n">
        <v>4</v>
      </c>
      <c r="I357" s="1" t="s">
        <v>1602</v>
      </c>
      <c r="J357" s="1" t="s">
        <v>1602</v>
      </c>
      <c r="K357" s="1" t="n">
        <v>6</v>
      </c>
      <c r="L357" s="21" t="str">
        <f aca="false">VLOOKUP(K357,clasif_filas!$A$2:$J$39,2,FALSE())</f>
        <v>Otros servicios</v>
      </c>
      <c r="M357" s="21" t="n">
        <f aca="false">VLOOKUP(K357,clasif_filas!$A$2:$J$39,3,FALSE())</f>
        <v>6</v>
      </c>
      <c r="N357" s="21" t="str">
        <f aca="false">VLOOKUP(K357,clasif_filas!$A$2:$J$39,4,FALSE())</f>
        <v>Otros servicios</v>
      </c>
      <c r="O357" s="21" t="n">
        <f aca="false">VLOOKUP(K357,clasif_filas!$A$2:$J$39,5,FALSE())</f>
        <v>99</v>
      </c>
      <c r="P357" s="21" t="str">
        <f aca="false">VLOOKUP(K357,clasif_filas!$A$2:$J$39,6,FALSE())</f>
        <v>No Bioeconomía</v>
      </c>
      <c r="Q357" s="21" t="n">
        <f aca="false">VLOOKUP(K357,clasif_filas!$A$2:$J$39,7,FALSE())</f>
        <v>6</v>
      </c>
      <c r="R357" s="21" t="str">
        <f aca="false">VLOOKUP(K357,clasif_filas!$A$2:$J$39,8,FALSE())</f>
        <v>Servicios comerciales de distribución; alojamiento, servicios de suministro de comidas y bebidas; servicios de transporte; y servicios de distribución de electricidad, gas y agua</v>
      </c>
      <c r="S357" s="21" t="n">
        <f aca="false">VLOOKUP(K357,clasif_filas!$A$2:$J$39,9,FALSE())</f>
        <v>3</v>
      </c>
      <c r="T357" s="61" t="str">
        <f aca="false">VLOOKUP(K357,clasif_filas!$A$2:$J$39,10,FALSE())</f>
        <v>No bioeconomía</v>
      </c>
    </row>
    <row r="358" customFormat="false" ht="25.55" hidden="false" customHeight="false" outlineLevel="0" collapsed="false">
      <c r="A358" s="29" t="s">
        <v>719</v>
      </c>
      <c r="B358" s="67" t="s">
        <v>1836</v>
      </c>
      <c r="C358" s="58" t="str">
        <f aca="false">VLOOKUP(B358, AT_FILAS!$A$2:$C$8,2,FALSE())</f>
        <v>Consumo intermedio</v>
      </c>
      <c r="D358" s="58" t="n">
        <f aca="false">VLOOKUP(B358, AT_FILAS!$A$2:$C$8,3,FALSE())</f>
        <v>2</v>
      </c>
      <c r="E358" s="60" t="s">
        <v>2221</v>
      </c>
      <c r="F358" s="60" t="s">
        <v>2222</v>
      </c>
      <c r="G358" s="1" t="s">
        <v>1936</v>
      </c>
      <c r="H358" s="1" t="n">
        <v>3</v>
      </c>
      <c r="I358" s="1" t="s">
        <v>1937</v>
      </c>
      <c r="J358" s="1" t="s">
        <v>1936</v>
      </c>
      <c r="K358" s="1" t="n">
        <v>81</v>
      </c>
      <c r="L358" s="21" t="str">
        <f aca="false">VLOOKUP(K358,clasif_filas!$A$2:$J$39,2,FALSE())</f>
        <v>Servicios de investigación y desarrollo</v>
      </c>
      <c r="M358" s="21" t="n">
        <f aca="false">VLOOKUP(K358,clasif_filas!$A$2:$J$39,3,FALSE())</f>
        <v>81</v>
      </c>
      <c r="N358" s="21" t="str">
        <f aca="false">VLOOKUP(K358,clasif_filas!$A$2:$J$39,4,FALSE())</f>
        <v>Servicios de investigación y desarrollo</v>
      </c>
      <c r="O358" s="21" t="n">
        <f aca="false">VLOOKUP(K358,clasif_filas!$A$2:$J$39,5,FALSE())</f>
        <v>6</v>
      </c>
      <c r="P358" s="21" t="str">
        <f aca="false">VLOOKUP(K358,clasif_filas!$A$2:$J$39,6,FALSE())</f>
        <v>Conocimiento, procesos y servicios relacionados</v>
      </c>
      <c r="Q358" s="21" t="n">
        <f aca="false">VLOOKUP(K358,clasif_filas!$A$2:$J$39,7,FALSE())</f>
        <v>8</v>
      </c>
      <c r="R358" s="21" t="str">
        <f aca="false">VLOOKUP(K358,clasif_filas!$A$2:$J$39,8,FALSE())</f>
        <v>Servicios prestados a las empresas y servicios de producción</v>
      </c>
      <c r="S358" s="21" t="n">
        <f aca="false">VLOOKUP(K358,clasif_filas!$A$2:$J$39,9,FALSE())</f>
        <v>2</v>
      </c>
      <c r="T358" s="61" t="str">
        <f aca="false">VLOOKUP(K358,clasif_filas!$A$2:$J$39,10,FALSE())</f>
        <v>Bioeconomía extendida</v>
      </c>
    </row>
    <row r="359" customFormat="false" ht="25.55" hidden="false" customHeight="false" outlineLevel="0" collapsed="false">
      <c r="A359" s="29" t="s">
        <v>721</v>
      </c>
      <c r="B359" s="67" t="s">
        <v>1836</v>
      </c>
      <c r="C359" s="58" t="str">
        <f aca="false">VLOOKUP(B359, AT_FILAS!$A$2:$C$8,2,FALSE())</f>
        <v>Consumo intermedio</v>
      </c>
      <c r="D359" s="58" t="n">
        <f aca="false">VLOOKUP(B359, AT_FILAS!$A$2:$C$8,3,FALSE())</f>
        <v>2</v>
      </c>
      <c r="E359" s="60" t="s">
        <v>2223</v>
      </c>
      <c r="F359" s="60" t="s">
        <v>2224</v>
      </c>
      <c r="G359" s="1" t="s">
        <v>1602</v>
      </c>
      <c r="H359" s="1" t="n">
        <v>4</v>
      </c>
      <c r="I359" s="1" t="s">
        <v>1602</v>
      </c>
      <c r="J359" s="1" t="s">
        <v>1602</v>
      </c>
      <c r="K359" s="1" t="n">
        <v>6</v>
      </c>
      <c r="L359" s="21" t="str">
        <f aca="false">VLOOKUP(K359,clasif_filas!$A$2:$J$39,2,FALSE())</f>
        <v>Otros servicios</v>
      </c>
      <c r="M359" s="21" t="n">
        <f aca="false">VLOOKUP(K359,clasif_filas!$A$2:$J$39,3,FALSE())</f>
        <v>6</v>
      </c>
      <c r="N359" s="21" t="str">
        <f aca="false">VLOOKUP(K359,clasif_filas!$A$2:$J$39,4,FALSE())</f>
        <v>Otros servicios</v>
      </c>
      <c r="O359" s="21" t="n">
        <f aca="false">VLOOKUP(K359,clasif_filas!$A$2:$J$39,5,FALSE())</f>
        <v>99</v>
      </c>
      <c r="P359" s="21" t="str">
        <f aca="false">VLOOKUP(K359,clasif_filas!$A$2:$J$39,6,FALSE())</f>
        <v>No Bioeconomía</v>
      </c>
      <c r="Q359" s="21" t="n">
        <f aca="false">VLOOKUP(K359,clasif_filas!$A$2:$J$39,7,FALSE())</f>
        <v>6</v>
      </c>
      <c r="R359" s="21" t="str">
        <f aca="false">VLOOKUP(K359,clasif_filas!$A$2:$J$39,8,FALSE())</f>
        <v>Servicios comerciales de distribución; alojamiento, servicios de suministro de comidas y bebidas; servicios de transporte; y servicios de distribución de electricidad, gas y agua</v>
      </c>
      <c r="S359" s="21" t="n">
        <f aca="false">VLOOKUP(K359,clasif_filas!$A$2:$J$39,9,FALSE())</f>
        <v>3</v>
      </c>
      <c r="T359" s="61" t="str">
        <f aca="false">VLOOKUP(K359,clasif_filas!$A$2:$J$39,10,FALSE())</f>
        <v>No bioeconomía</v>
      </c>
    </row>
    <row r="360" customFormat="false" ht="14.25" hidden="false" customHeight="false" outlineLevel="0" collapsed="false">
      <c r="A360" s="29" t="s">
        <v>723</v>
      </c>
      <c r="B360" s="67" t="s">
        <v>1836</v>
      </c>
      <c r="C360" s="58" t="str">
        <f aca="false">VLOOKUP(B360, AT_FILAS!$A$2:$C$8,2,FALSE())</f>
        <v>Consumo intermedio</v>
      </c>
      <c r="D360" s="58" t="n">
        <f aca="false">VLOOKUP(B360, AT_FILAS!$A$2:$C$8,3,FALSE())</f>
        <v>2</v>
      </c>
      <c r="E360" s="60" t="s">
        <v>2225</v>
      </c>
      <c r="F360" s="60" t="s">
        <v>2226</v>
      </c>
      <c r="G360" s="1" t="s">
        <v>1936</v>
      </c>
      <c r="H360" s="1" t="n">
        <v>3</v>
      </c>
      <c r="I360" s="1" t="s">
        <v>1937</v>
      </c>
      <c r="J360" s="1" t="s">
        <v>1936</v>
      </c>
      <c r="K360" s="1" t="n">
        <v>86</v>
      </c>
      <c r="L360" s="21" t="str">
        <f aca="false">VLOOKUP(K360,clasif_filas!$A$2:$J$39,2,FALSE())</f>
        <v>Servicios de apoyo a la agricultura,la caza, la silvicutura, la pesca, la minería y los servicios públicos</v>
      </c>
      <c r="M360" s="21" t="n">
        <f aca="false">VLOOKUP(K360,clasif_filas!$A$2:$J$39,3,FALSE())</f>
        <v>86</v>
      </c>
      <c r="N360" s="21" t="str">
        <f aca="false">VLOOKUP(K360,clasif_filas!$A$2:$J$39,4,FALSE())</f>
        <v>Servicios de apoyo a la agricultura,la caza, la silvicutura, la pesca, la minería y los servicios públicos</v>
      </c>
      <c r="O360" s="21" t="n">
        <f aca="false">VLOOKUP(K360,clasif_filas!$A$2:$J$39,5,FALSE())</f>
        <v>6</v>
      </c>
      <c r="P360" s="21" t="str">
        <f aca="false">VLOOKUP(K360,clasif_filas!$A$2:$J$39,6,FALSE())</f>
        <v>Conocimiento, procesos y servicios relacionados</v>
      </c>
      <c r="Q360" s="21" t="n">
        <f aca="false">VLOOKUP(K360,clasif_filas!$A$2:$J$39,7,FALSE())</f>
        <v>8</v>
      </c>
      <c r="R360" s="21" t="str">
        <f aca="false">VLOOKUP(K360,clasif_filas!$A$2:$J$39,8,FALSE())</f>
        <v>Servicios prestados a las empresas y servicios de producción</v>
      </c>
      <c r="S360" s="21" t="n">
        <f aca="false">VLOOKUP(K360,clasif_filas!$A$2:$J$39,9,FALSE())</f>
        <v>1</v>
      </c>
      <c r="T360" s="61" t="s">
        <v>1938</v>
      </c>
    </row>
    <row r="361" customFormat="false" ht="25.55" hidden="false" customHeight="false" outlineLevel="0" collapsed="false">
      <c r="A361" s="29" t="s">
        <v>725</v>
      </c>
      <c r="B361" s="67" t="s">
        <v>1836</v>
      </c>
      <c r="C361" s="58" t="str">
        <f aca="false">VLOOKUP(B361, AT_FILAS!$A$2:$C$8,2,FALSE())</f>
        <v>Consumo intermedio</v>
      </c>
      <c r="D361" s="58" t="n">
        <f aca="false">VLOOKUP(B361, AT_FILAS!$A$2:$C$8,3,FALSE())</f>
        <v>2</v>
      </c>
      <c r="E361" s="60" t="s">
        <v>2227</v>
      </c>
      <c r="F361" s="60" t="s">
        <v>2228</v>
      </c>
      <c r="G361" s="1" t="s">
        <v>1602</v>
      </c>
      <c r="H361" s="1" t="n">
        <v>4</v>
      </c>
      <c r="I361" s="1" t="s">
        <v>1602</v>
      </c>
      <c r="J361" s="1" t="s">
        <v>1602</v>
      </c>
      <c r="K361" s="1" t="n">
        <v>6</v>
      </c>
      <c r="L361" s="21" t="str">
        <f aca="false">VLOOKUP(K361,clasif_filas!$A$2:$J$39,2,FALSE())</f>
        <v>Otros servicios</v>
      </c>
      <c r="M361" s="21" t="n">
        <f aca="false">VLOOKUP(K361,clasif_filas!$A$2:$J$39,3,FALSE())</f>
        <v>6</v>
      </c>
      <c r="N361" s="21" t="str">
        <f aca="false">VLOOKUP(K361,clasif_filas!$A$2:$J$39,4,FALSE())</f>
        <v>Otros servicios</v>
      </c>
      <c r="O361" s="21" t="n">
        <f aca="false">VLOOKUP(K361,clasif_filas!$A$2:$J$39,5,FALSE())</f>
        <v>99</v>
      </c>
      <c r="P361" s="21" t="str">
        <f aca="false">VLOOKUP(K361,clasif_filas!$A$2:$J$39,6,FALSE())</f>
        <v>No Bioeconomía</v>
      </c>
      <c r="Q361" s="21" t="n">
        <f aca="false">VLOOKUP(K361,clasif_filas!$A$2:$J$39,7,FALSE())</f>
        <v>6</v>
      </c>
      <c r="R361" s="21" t="str">
        <f aca="false">VLOOKUP(K361,clasif_filas!$A$2:$J$39,8,FALSE())</f>
        <v>Servicios comerciales de distribución; alojamiento, servicios de suministro de comidas y bebidas; servicios de transporte; y servicios de distribución de electricidad, gas y agua</v>
      </c>
      <c r="S361" s="21" t="n">
        <f aca="false">VLOOKUP(K361,clasif_filas!$A$2:$J$39,9,FALSE())</f>
        <v>3</v>
      </c>
      <c r="T361" s="61" t="str">
        <f aca="false">VLOOKUP(K361,clasif_filas!$A$2:$J$39,10,FALSE())</f>
        <v>No bioeconomía</v>
      </c>
    </row>
    <row r="362" customFormat="false" ht="37.55" hidden="false" customHeight="false" outlineLevel="0" collapsed="false">
      <c r="A362" s="29" t="s">
        <v>727</v>
      </c>
      <c r="B362" s="67" t="s">
        <v>1836</v>
      </c>
      <c r="C362" s="58" t="str">
        <f aca="false">VLOOKUP(B362, AT_FILAS!$A$2:$C$8,2,FALSE())</f>
        <v>Consumo intermedio</v>
      </c>
      <c r="D362" s="58" t="n">
        <f aca="false">VLOOKUP(B362, AT_FILAS!$A$2:$C$8,3,FALSE())</f>
        <v>2</v>
      </c>
      <c r="E362" s="60" t="s">
        <v>2229</v>
      </c>
      <c r="F362" s="60" t="s">
        <v>2230</v>
      </c>
      <c r="G362" s="1" t="s">
        <v>1602</v>
      </c>
      <c r="H362" s="1" t="n">
        <v>4</v>
      </c>
      <c r="I362" s="1" t="s">
        <v>1602</v>
      </c>
      <c r="J362" s="1" t="s">
        <v>1602</v>
      </c>
      <c r="K362" s="1" t="n">
        <v>6</v>
      </c>
      <c r="L362" s="21" t="str">
        <f aca="false">VLOOKUP(K362,clasif_filas!$A$2:$J$39,2,FALSE())</f>
        <v>Otros servicios</v>
      </c>
      <c r="M362" s="21" t="n">
        <f aca="false">VLOOKUP(K362,clasif_filas!$A$2:$J$39,3,FALSE())</f>
        <v>6</v>
      </c>
      <c r="N362" s="21" t="str">
        <f aca="false">VLOOKUP(K362,clasif_filas!$A$2:$J$39,4,FALSE())</f>
        <v>Otros servicios</v>
      </c>
      <c r="O362" s="21" t="n">
        <f aca="false">VLOOKUP(K362,clasif_filas!$A$2:$J$39,5,FALSE())</f>
        <v>99</v>
      </c>
      <c r="P362" s="21" t="str">
        <f aca="false">VLOOKUP(K362,clasif_filas!$A$2:$J$39,6,FALSE())</f>
        <v>No Bioeconomía</v>
      </c>
      <c r="Q362" s="21" t="n">
        <f aca="false">VLOOKUP(K362,clasif_filas!$A$2:$J$39,7,FALSE())</f>
        <v>6</v>
      </c>
      <c r="R362" s="21" t="str">
        <f aca="false">VLOOKUP(K362,clasif_filas!$A$2:$J$39,8,FALSE())</f>
        <v>Servicios comerciales de distribución; alojamiento, servicios de suministro de comidas y bebidas; servicios de transporte; y servicios de distribución de electricidad, gas y agua</v>
      </c>
      <c r="S362" s="21" t="n">
        <f aca="false">VLOOKUP(K362,clasif_filas!$A$2:$J$39,9,FALSE())</f>
        <v>3</v>
      </c>
      <c r="T362" s="61" t="str">
        <f aca="false">VLOOKUP(K362,clasif_filas!$A$2:$J$39,10,FALSE())</f>
        <v>No bioeconomía</v>
      </c>
    </row>
    <row r="363" customFormat="false" ht="25.55" hidden="false" customHeight="false" outlineLevel="0" collapsed="false">
      <c r="A363" s="29" t="s">
        <v>729</v>
      </c>
      <c r="B363" s="67" t="s">
        <v>1836</v>
      </c>
      <c r="C363" s="58" t="str">
        <f aca="false">VLOOKUP(B363, AT_FILAS!$A$2:$C$8,2,FALSE())</f>
        <v>Consumo intermedio</v>
      </c>
      <c r="D363" s="58" t="n">
        <f aca="false">VLOOKUP(B363, AT_FILAS!$A$2:$C$8,3,FALSE())</f>
        <v>2</v>
      </c>
      <c r="E363" s="60" t="s">
        <v>2231</v>
      </c>
      <c r="F363" s="60" t="s">
        <v>2232</v>
      </c>
      <c r="G363" s="1" t="s">
        <v>1602</v>
      </c>
      <c r="H363" s="1" t="n">
        <v>4</v>
      </c>
      <c r="I363" s="1" t="s">
        <v>1602</v>
      </c>
      <c r="J363" s="1" t="s">
        <v>1602</v>
      </c>
      <c r="K363" s="1" t="n">
        <v>6</v>
      </c>
      <c r="L363" s="21" t="str">
        <f aca="false">VLOOKUP(K363,clasif_filas!$A$2:$J$39,2,FALSE())</f>
        <v>Otros servicios</v>
      </c>
      <c r="M363" s="21" t="n">
        <f aca="false">VLOOKUP(K363,clasif_filas!$A$2:$J$39,3,FALSE())</f>
        <v>6</v>
      </c>
      <c r="N363" s="21" t="str">
        <f aca="false">VLOOKUP(K363,clasif_filas!$A$2:$J$39,4,FALSE())</f>
        <v>Otros servicios</v>
      </c>
      <c r="O363" s="21" t="n">
        <f aca="false">VLOOKUP(K363,clasif_filas!$A$2:$J$39,5,FALSE())</f>
        <v>99</v>
      </c>
      <c r="P363" s="21" t="str">
        <f aca="false">VLOOKUP(K363,clasif_filas!$A$2:$J$39,6,FALSE())</f>
        <v>No Bioeconomía</v>
      </c>
      <c r="Q363" s="21" t="n">
        <f aca="false">VLOOKUP(K363,clasif_filas!$A$2:$J$39,7,FALSE())</f>
        <v>6</v>
      </c>
      <c r="R363" s="21" t="str">
        <f aca="false">VLOOKUP(K363,clasif_filas!$A$2:$J$39,8,FALSE())</f>
        <v>Servicios comerciales de distribución; alojamiento, servicios de suministro de comidas y bebidas; servicios de transporte; y servicios de distribución de electricidad, gas y agua</v>
      </c>
      <c r="S363" s="21" t="n">
        <f aca="false">VLOOKUP(K363,clasif_filas!$A$2:$J$39,9,FALSE())</f>
        <v>3</v>
      </c>
      <c r="T363" s="61" t="str">
        <f aca="false">VLOOKUP(K363,clasif_filas!$A$2:$J$39,10,FALSE())</f>
        <v>No bioeconomía</v>
      </c>
    </row>
    <row r="364" customFormat="false" ht="37.55" hidden="false" customHeight="false" outlineLevel="0" collapsed="false">
      <c r="A364" s="29" t="s">
        <v>731</v>
      </c>
      <c r="B364" s="67" t="s">
        <v>1836</v>
      </c>
      <c r="C364" s="58" t="str">
        <f aca="false">VLOOKUP(B364, AT_FILAS!$A$2:$C$8,2,FALSE())</f>
        <v>Consumo intermedio</v>
      </c>
      <c r="D364" s="58" t="n">
        <f aca="false">VLOOKUP(B364, AT_FILAS!$A$2:$C$8,3,FALSE())</f>
        <v>2</v>
      </c>
      <c r="E364" s="60" t="s">
        <v>2233</v>
      </c>
      <c r="F364" s="60" t="s">
        <v>2234</v>
      </c>
      <c r="G364" s="1" t="s">
        <v>1602</v>
      </c>
      <c r="H364" s="1" t="n">
        <v>4</v>
      </c>
      <c r="I364" s="1" t="s">
        <v>1602</v>
      </c>
      <c r="J364" s="1" t="s">
        <v>1602</v>
      </c>
      <c r="K364" s="1" t="n">
        <v>6</v>
      </c>
      <c r="L364" s="21" t="str">
        <f aca="false">VLOOKUP(K364,clasif_filas!$A$2:$J$39,2,FALSE())</f>
        <v>Otros servicios</v>
      </c>
      <c r="M364" s="21" t="n">
        <f aca="false">VLOOKUP(K364,clasif_filas!$A$2:$J$39,3,FALSE())</f>
        <v>6</v>
      </c>
      <c r="N364" s="21" t="str">
        <f aca="false">VLOOKUP(K364,clasif_filas!$A$2:$J$39,4,FALSE())</f>
        <v>Otros servicios</v>
      </c>
      <c r="O364" s="21" t="n">
        <f aca="false">VLOOKUP(K364,clasif_filas!$A$2:$J$39,5,FALSE())</f>
        <v>99</v>
      </c>
      <c r="P364" s="21" t="str">
        <f aca="false">VLOOKUP(K364,clasif_filas!$A$2:$J$39,6,FALSE())</f>
        <v>No Bioeconomía</v>
      </c>
      <c r="Q364" s="21" t="n">
        <f aca="false">VLOOKUP(K364,clasif_filas!$A$2:$J$39,7,FALSE())</f>
        <v>6</v>
      </c>
      <c r="R364" s="21" t="str">
        <f aca="false">VLOOKUP(K364,clasif_filas!$A$2:$J$39,8,FALSE())</f>
        <v>Servicios comerciales de distribución; alojamiento, servicios de suministro de comidas y bebidas; servicios de transporte; y servicios de distribución de electricidad, gas y agua</v>
      </c>
      <c r="S364" s="21" t="n">
        <f aca="false">VLOOKUP(K364,clasif_filas!$A$2:$J$39,9,FALSE())</f>
        <v>3</v>
      </c>
      <c r="T364" s="61" t="str">
        <f aca="false">VLOOKUP(K364,clasif_filas!$A$2:$J$39,10,FALSE())</f>
        <v>No bioeconomía</v>
      </c>
    </row>
    <row r="365" customFormat="false" ht="25.55" hidden="false" customHeight="false" outlineLevel="0" collapsed="false">
      <c r="A365" s="29" t="s">
        <v>733</v>
      </c>
      <c r="B365" s="67" t="s">
        <v>1836</v>
      </c>
      <c r="C365" s="58" t="str">
        <f aca="false">VLOOKUP(B365, AT_FILAS!$A$2:$C$8,2,FALSE())</f>
        <v>Consumo intermedio</v>
      </c>
      <c r="D365" s="58" t="n">
        <f aca="false">VLOOKUP(B365, AT_FILAS!$A$2:$C$8,3,FALSE())</f>
        <v>2</v>
      </c>
      <c r="E365" s="60" t="s">
        <v>2235</v>
      </c>
      <c r="F365" s="60" t="s">
        <v>2236</v>
      </c>
      <c r="G365" s="1" t="s">
        <v>1602</v>
      </c>
      <c r="H365" s="1" t="n">
        <v>4</v>
      </c>
      <c r="I365" s="1" t="s">
        <v>1602</v>
      </c>
      <c r="J365" s="1" t="s">
        <v>1602</v>
      </c>
      <c r="K365" s="1" t="n">
        <v>6</v>
      </c>
      <c r="L365" s="21" t="str">
        <f aca="false">VLOOKUP(K365,clasif_filas!$A$2:$J$39,2,FALSE())</f>
        <v>Otros servicios</v>
      </c>
      <c r="M365" s="21" t="n">
        <f aca="false">VLOOKUP(K365,clasif_filas!$A$2:$J$39,3,FALSE())</f>
        <v>6</v>
      </c>
      <c r="N365" s="21" t="str">
        <f aca="false">VLOOKUP(K365,clasif_filas!$A$2:$J$39,4,FALSE())</f>
        <v>Otros servicios</v>
      </c>
      <c r="O365" s="21" t="n">
        <f aca="false">VLOOKUP(K365,clasif_filas!$A$2:$J$39,5,FALSE())</f>
        <v>99</v>
      </c>
      <c r="P365" s="21" t="str">
        <f aca="false">VLOOKUP(K365,clasif_filas!$A$2:$J$39,6,FALSE())</f>
        <v>No Bioeconomía</v>
      </c>
      <c r="Q365" s="21" t="n">
        <f aca="false">VLOOKUP(K365,clasif_filas!$A$2:$J$39,7,FALSE())</f>
        <v>6</v>
      </c>
      <c r="R365" s="21" t="str">
        <f aca="false">VLOOKUP(K365,clasif_filas!$A$2:$J$39,8,FALSE())</f>
        <v>Servicios comerciales de distribución; alojamiento, servicios de suministro de comidas y bebidas; servicios de transporte; y servicios de distribución de electricidad, gas y agua</v>
      </c>
      <c r="S365" s="21" t="n">
        <f aca="false">VLOOKUP(K365,clasif_filas!$A$2:$J$39,9,FALSE())</f>
        <v>3</v>
      </c>
      <c r="T365" s="61" t="str">
        <f aca="false">VLOOKUP(K365,clasif_filas!$A$2:$J$39,10,FALSE())</f>
        <v>No bioeconomía</v>
      </c>
    </row>
    <row r="366" customFormat="false" ht="25.55" hidden="false" customHeight="false" outlineLevel="0" collapsed="false">
      <c r="A366" s="29" t="s">
        <v>735</v>
      </c>
      <c r="B366" s="67" t="s">
        <v>1836</v>
      </c>
      <c r="C366" s="58" t="str">
        <f aca="false">VLOOKUP(B366, AT_FILAS!$A$2:$C$8,2,FALSE())</f>
        <v>Consumo intermedio</v>
      </c>
      <c r="D366" s="58" t="n">
        <f aca="false">VLOOKUP(B366, AT_FILAS!$A$2:$C$8,3,FALSE())</f>
        <v>2</v>
      </c>
      <c r="E366" s="60" t="s">
        <v>2237</v>
      </c>
      <c r="F366" s="60" t="s">
        <v>2238</v>
      </c>
      <c r="G366" s="1" t="s">
        <v>1602</v>
      </c>
      <c r="H366" s="1" t="n">
        <v>4</v>
      </c>
      <c r="I366" s="1" t="s">
        <v>1602</v>
      </c>
      <c r="J366" s="1" t="s">
        <v>1602</v>
      </c>
      <c r="K366" s="1" t="n">
        <v>6</v>
      </c>
      <c r="L366" s="21" t="str">
        <f aca="false">VLOOKUP(K366,clasif_filas!$A$2:$J$39,2,FALSE())</f>
        <v>Otros servicios</v>
      </c>
      <c r="M366" s="21" t="n">
        <f aca="false">VLOOKUP(K366,clasif_filas!$A$2:$J$39,3,FALSE())</f>
        <v>6</v>
      </c>
      <c r="N366" s="21" t="str">
        <f aca="false">VLOOKUP(K366,clasif_filas!$A$2:$J$39,4,FALSE())</f>
        <v>Otros servicios</v>
      </c>
      <c r="O366" s="21" t="n">
        <f aca="false">VLOOKUP(K366,clasif_filas!$A$2:$J$39,5,FALSE())</f>
        <v>99</v>
      </c>
      <c r="P366" s="21" t="str">
        <f aca="false">VLOOKUP(K366,clasif_filas!$A$2:$J$39,6,FALSE())</f>
        <v>No Bioeconomía</v>
      </c>
      <c r="Q366" s="21" t="n">
        <f aca="false">VLOOKUP(K366,clasif_filas!$A$2:$J$39,7,FALSE())</f>
        <v>6</v>
      </c>
      <c r="R366" s="21" t="str">
        <f aca="false">VLOOKUP(K366,clasif_filas!$A$2:$J$39,8,FALSE())</f>
        <v>Servicios comerciales de distribución; alojamiento, servicios de suministro de comidas y bebidas; servicios de transporte; y servicios de distribución de electricidad, gas y agua</v>
      </c>
      <c r="S366" s="21" t="n">
        <f aca="false">VLOOKUP(K366,clasif_filas!$A$2:$J$39,9,FALSE())</f>
        <v>3</v>
      </c>
      <c r="T366" s="61" t="str">
        <f aca="false">VLOOKUP(K366,clasif_filas!$A$2:$J$39,10,FALSE())</f>
        <v>No bioeconomía</v>
      </c>
    </row>
    <row r="367" customFormat="false" ht="25.55" hidden="false" customHeight="false" outlineLevel="0" collapsed="false">
      <c r="A367" s="29" t="s">
        <v>737</v>
      </c>
      <c r="B367" s="67" t="s">
        <v>1836</v>
      </c>
      <c r="C367" s="58" t="str">
        <f aca="false">VLOOKUP(B367, AT_FILAS!$A$2:$C$8,2,FALSE())</f>
        <v>Consumo intermedio</v>
      </c>
      <c r="D367" s="58" t="n">
        <f aca="false">VLOOKUP(B367, AT_FILAS!$A$2:$C$8,3,FALSE())</f>
        <v>2</v>
      </c>
      <c r="E367" s="60" t="s">
        <v>2239</v>
      </c>
      <c r="F367" s="60" t="s">
        <v>2240</v>
      </c>
      <c r="G367" s="1" t="s">
        <v>1602</v>
      </c>
      <c r="H367" s="1" t="n">
        <v>4</v>
      </c>
      <c r="I367" s="1" t="s">
        <v>1602</v>
      </c>
      <c r="J367" s="1" t="s">
        <v>1602</v>
      </c>
      <c r="K367" s="1" t="n">
        <v>6</v>
      </c>
      <c r="L367" s="21" t="str">
        <f aca="false">VLOOKUP(K367,clasif_filas!$A$2:$J$39,2,FALSE())</f>
        <v>Otros servicios</v>
      </c>
      <c r="M367" s="21" t="n">
        <f aca="false">VLOOKUP(K367,clasif_filas!$A$2:$J$39,3,FALSE())</f>
        <v>6</v>
      </c>
      <c r="N367" s="21" t="str">
        <f aca="false">VLOOKUP(K367,clasif_filas!$A$2:$J$39,4,FALSE())</f>
        <v>Otros servicios</v>
      </c>
      <c r="O367" s="21" t="n">
        <f aca="false">VLOOKUP(K367,clasif_filas!$A$2:$J$39,5,FALSE())</f>
        <v>99</v>
      </c>
      <c r="P367" s="21" t="str">
        <f aca="false">VLOOKUP(K367,clasif_filas!$A$2:$J$39,6,FALSE())</f>
        <v>No Bioeconomía</v>
      </c>
      <c r="Q367" s="21" t="n">
        <f aca="false">VLOOKUP(K367,clasif_filas!$A$2:$J$39,7,FALSE())</f>
        <v>6</v>
      </c>
      <c r="R367" s="21" t="str">
        <f aca="false">VLOOKUP(K367,clasif_filas!$A$2:$J$39,8,FALSE())</f>
        <v>Servicios comerciales de distribución; alojamiento, servicios de suministro de comidas y bebidas; servicios de transporte; y servicios de distribución de electricidad, gas y agua</v>
      </c>
      <c r="S367" s="21" t="n">
        <f aca="false">VLOOKUP(K367,clasif_filas!$A$2:$J$39,9,FALSE())</f>
        <v>3</v>
      </c>
      <c r="T367" s="61" t="str">
        <f aca="false">VLOOKUP(K367,clasif_filas!$A$2:$J$39,10,FALSE())</f>
        <v>No bioeconomía</v>
      </c>
    </row>
    <row r="368" customFormat="false" ht="14.25" hidden="false" customHeight="false" outlineLevel="0" collapsed="false">
      <c r="A368" s="29" t="s">
        <v>739</v>
      </c>
      <c r="B368" s="67" t="s">
        <v>1836</v>
      </c>
      <c r="C368" s="58" t="str">
        <f aca="false">VLOOKUP(B368, AT_FILAS!$A$2:$C$8,2,FALSE())</f>
        <v>Consumo intermedio</v>
      </c>
      <c r="D368" s="58" t="n">
        <f aca="false">VLOOKUP(B368, AT_FILAS!$A$2:$C$8,3,FALSE())</f>
        <v>2</v>
      </c>
      <c r="E368" s="60" t="s">
        <v>2241</v>
      </c>
      <c r="F368" s="60" t="s">
        <v>2242</v>
      </c>
      <c r="G368" s="1" t="s">
        <v>1602</v>
      </c>
      <c r="H368" s="1" t="n">
        <v>4</v>
      </c>
      <c r="I368" s="1" t="s">
        <v>1602</v>
      </c>
      <c r="J368" s="1" t="s">
        <v>1602</v>
      </c>
      <c r="K368" s="1" t="n">
        <v>6</v>
      </c>
      <c r="L368" s="21" t="str">
        <f aca="false">VLOOKUP(K368,clasif_filas!$A$2:$J$39,2,FALSE())</f>
        <v>Otros servicios</v>
      </c>
      <c r="M368" s="21" t="n">
        <f aca="false">VLOOKUP(K368,clasif_filas!$A$2:$J$39,3,FALSE())</f>
        <v>6</v>
      </c>
      <c r="N368" s="21" t="str">
        <f aca="false">VLOOKUP(K368,clasif_filas!$A$2:$J$39,4,FALSE())</f>
        <v>Otros servicios</v>
      </c>
      <c r="O368" s="21" t="n">
        <f aca="false">VLOOKUP(K368,clasif_filas!$A$2:$J$39,5,FALSE())</f>
        <v>99</v>
      </c>
      <c r="P368" s="21" t="str">
        <f aca="false">VLOOKUP(K368,clasif_filas!$A$2:$J$39,6,FALSE())</f>
        <v>No Bioeconomía</v>
      </c>
      <c r="Q368" s="21" t="n">
        <f aca="false">VLOOKUP(K368,clasif_filas!$A$2:$J$39,7,FALSE())</f>
        <v>6</v>
      </c>
      <c r="R368" s="21" t="str">
        <f aca="false">VLOOKUP(K368,clasif_filas!$A$2:$J$39,8,FALSE())</f>
        <v>Servicios comerciales de distribución; alojamiento, servicios de suministro de comidas y bebidas; servicios de transporte; y servicios de distribución de electricidad, gas y agua</v>
      </c>
      <c r="S368" s="21" t="n">
        <f aca="false">VLOOKUP(K368,clasif_filas!$A$2:$J$39,9,FALSE())</f>
        <v>3</v>
      </c>
      <c r="T368" s="61" t="str">
        <f aca="false">VLOOKUP(K368,clasif_filas!$A$2:$J$39,10,FALSE())</f>
        <v>No bioeconomía</v>
      </c>
    </row>
    <row r="369" customFormat="false" ht="25.55" hidden="false" customHeight="false" outlineLevel="0" collapsed="false">
      <c r="A369" s="29" t="s">
        <v>741</v>
      </c>
      <c r="B369" s="67" t="s">
        <v>1836</v>
      </c>
      <c r="C369" s="58" t="str">
        <f aca="false">VLOOKUP(B369, AT_FILAS!$A$2:$C$8,2,FALSE())</f>
        <v>Consumo intermedio</v>
      </c>
      <c r="D369" s="58" t="n">
        <f aca="false">VLOOKUP(B369, AT_FILAS!$A$2:$C$8,3,FALSE())</f>
        <v>2</v>
      </c>
      <c r="E369" s="60" t="s">
        <v>2243</v>
      </c>
      <c r="F369" s="60" t="s">
        <v>2244</v>
      </c>
      <c r="G369" s="1" t="s">
        <v>1602</v>
      </c>
      <c r="H369" s="1" t="n">
        <v>4</v>
      </c>
      <c r="I369" s="1" t="s">
        <v>1602</v>
      </c>
      <c r="J369" s="1" t="s">
        <v>1602</v>
      </c>
      <c r="K369" s="1" t="n">
        <v>6</v>
      </c>
      <c r="L369" s="21" t="str">
        <f aca="false">VLOOKUP(K369,clasif_filas!$A$2:$J$39,2,FALSE())</f>
        <v>Otros servicios</v>
      </c>
      <c r="M369" s="21" t="n">
        <f aca="false">VLOOKUP(K369,clasif_filas!$A$2:$J$39,3,FALSE())</f>
        <v>6</v>
      </c>
      <c r="N369" s="21" t="str">
        <f aca="false">VLOOKUP(K369,clasif_filas!$A$2:$J$39,4,FALSE())</f>
        <v>Otros servicios</v>
      </c>
      <c r="O369" s="21" t="n">
        <f aca="false">VLOOKUP(K369,clasif_filas!$A$2:$J$39,5,FALSE())</f>
        <v>99</v>
      </c>
      <c r="P369" s="21" t="str">
        <f aca="false">VLOOKUP(K369,clasif_filas!$A$2:$J$39,6,FALSE())</f>
        <v>No Bioeconomía</v>
      </c>
      <c r="Q369" s="21" t="n">
        <f aca="false">VLOOKUP(K369,clasif_filas!$A$2:$J$39,7,FALSE())</f>
        <v>6</v>
      </c>
      <c r="R369" s="21" t="str">
        <f aca="false">VLOOKUP(K369,clasif_filas!$A$2:$J$39,8,FALSE())</f>
        <v>Servicios comerciales de distribución; alojamiento, servicios de suministro de comidas y bebidas; servicios de transporte; y servicios de distribución de electricidad, gas y agua</v>
      </c>
      <c r="S369" s="21" t="n">
        <f aca="false">VLOOKUP(K369,clasif_filas!$A$2:$J$39,9,FALSE())</f>
        <v>3</v>
      </c>
      <c r="T369" s="61" t="str">
        <f aca="false">VLOOKUP(K369,clasif_filas!$A$2:$J$39,10,FALSE())</f>
        <v>No bioeconomía</v>
      </c>
    </row>
    <row r="370" customFormat="false" ht="37.55" hidden="false" customHeight="false" outlineLevel="0" collapsed="false">
      <c r="A370" s="29" t="s">
        <v>743</v>
      </c>
      <c r="B370" s="67" t="s">
        <v>1836</v>
      </c>
      <c r="C370" s="58" t="str">
        <f aca="false">VLOOKUP(B370, AT_FILAS!$A$2:$C$8,2,FALSE())</f>
        <v>Consumo intermedio</v>
      </c>
      <c r="D370" s="58" t="n">
        <f aca="false">VLOOKUP(B370, AT_FILAS!$A$2:$C$8,3,FALSE())</f>
        <v>2</v>
      </c>
      <c r="E370" s="60" t="s">
        <v>2245</v>
      </c>
      <c r="F370" s="60" t="s">
        <v>2246</v>
      </c>
      <c r="G370" s="1" t="s">
        <v>1602</v>
      </c>
      <c r="H370" s="1" t="n">
        <v>4</v>
      </c>
      <c r="I370" s="1" t="s">
        <v>1602</v>
      </c>
      <c r="J370" s="1" t="s">
        <v>1602</v>
      </c>
      <c r="K370" s="1" t="n">
        <v>6</v>
      </c>
      <c r="L370" s="21" t="str">
        <f aca="false">VLOOKUP(K370,clasif_filas!$A$2:$J$39,2,FALSE())</f>
        <v>Otros servicios</v>
      </c>
      <c r="M370" s="21" t="n">
        <f aca="false">VLOOKUP(K370,clasif_filas!$A$2:$J$39,3,FALSE())</f>
        <v>6</v>
      </c>
      <c r="N370" s="21" t="str">
        <f aca="false">VLOOKUP(K370,clasif_filas!$A$2:$J$39,4,FALSE())</f>
        <v>Otros servicios</v>
      </c>
      <c r="O370" s="21" t="n">
        <f aca="false">VLOOKUP(K370,clasif_filas!$A$2:$J$39,5,FALSE())</f>
        <v>99</v>
      </c>
      <c r="P370" s="21" t="str">
        <f aca="false">VLOOKUP(K370,clasif_filas!$A$2:$J$39,6,FALSE())</f>
        <v>No Bioeconomía</v>
      </c>
      <c r="Q370" s="21" t="n">
        <f aca="false">VLOOKUP(K370,clasif_filas!$A$2:$J$39,7,FALSE())</f>
        <v>6</v>
      </c>
      <c r="R370" s="21" t="str">
        <f aca="false">VLOOKUP(K370,clasif_filas!$A$2:$J$39,8,FALSE())</f>
        <v>Servicios comerciales de distribución; alojamiento, servicios de suministro de comidas y bebidas; servicios de transporte; y servicios de distribución de electricidad, gas y agua</v>
      </c>
      <c r="S370" s="21" t="n">
        <f aca="false">VLOOKUP(K370,clasif_filas!$A$2:$J$39,9,FALSE())</f>
        <v>3</v>
      </c>
      <c r="T370" s="61" t="str">
        <f aca="false">VLOOKUP(K370,clasif_filas!$A$2:$J$39,10,FALSE())</f>
        <v>No bioeconomía</v>
      </c>
    </row>
    <row r="371" customFormat="false" ht="14.25" hidden="false" customHeight="false" outlineLevel="0" collapsed="false">
      <c r="A371" s="29" t="s">
        <v>745</v>
      </c>
      <c r="B371" s="67" t="s">
        <v>1836</v>
      </c>
      <c r="C371" s="58" t="str">
        <f aca="false">VLOOKUP(B371, AT_FILAS!$A$2:$C$8,2,FALSE())</f>
        <v>Consumo intermedio</v>
      </c>
      <c r="D371" s="58" t="n">
        <f aca="false">VLOOKUP(B371, AT_FILAS!$A$2:$C$8,3,FALSE())</f>
        <v>2</v>
      </c>
      <c r="E371" s="60" t="s">
        <v>2247</v>
      </c>
      <c r="F371" s="60" t="s">
        <v>2248</v>
      </c>
      <c r="G371" s="1" t="s">
        <v>1602</v>
      </c>
      <c r="H371" s="1" t="n">
        <v>4</v>
      </c>
      <c r="I371" s="1" t="s">
        <v>1602</v>
      </c>
      <c r="J371" s="1" t="s">
        <v>1602</v>
      </c>
      <c r="K371" s="1" t="n">
        <v>6</v>
      </c>
      <c r="L371" s="21" t="str">
        <f aca="false">VLOOKUP(K371,clasif_filas!$A$2:$J$39,2,FALSE())</f>
        <v>Otros servicios</v>
      </c>
      <c r="M371" s="21" t="n">
        <f aca="false">VLOOKUP(K371,clasif_filas!$A$2:$J$39,3,FALSE())</f>
        <v>6</v>
      </c>
      <c r="N371" s="21" t="str">
        <f aca="false">VLOOKUP(K371,clasif_filas!$A$2:$J$39,4,FALSE())</f>
        <v>Otros servicios</v>
      </c>
      <c r="O371" s="21" t="n">
        <f aca="false">VLOOKUP(K371,clasif_filas!$A$2:$J$39,5,FALSE())</f>
        <v>99</v>
      </c>
      <c r="P371" s="21" t="str">
        <f aca="false">VLOOKUP(K371,clasif_filas!$A$2:$J$39,6,FALSE())</f>
        <v>No Bioeconomía</v>
      </c>
      <c r="Q371" s="21" t="n">
        <f aca="false">VLOOKUP(K371,clasif_filas!$A$2:$J$39,7,FALSE())</f>
        <v>6</v>
      </c>
      <c r="R371" s="21" t="str">
        <f aca="false">VLOOKUP(K371,clasif_filas!$A$2:$J$39,8,FALSE())</f>
        <v>Servicios comerciales de distribución; alojamiento, servicios de suministro de comidas y bebidas; servicios de transporte; y servicios de distribución de electricidad, gas y agua</v>
      </c>
      <c r="S371" s="21" t="n">
        <f aca="false">VLOOKUP(K371,clasif_filas!$A$2:$J$39,9,FALSE())</f>
        <v>3</v>
      </c>
      <c r="T371" s="61" t="str">
        <f aca="false">VLOOKUP(K371,clasif_filas!$A$2:$J$39,10,FALSE())</f>
        <v>No bioeconomía</v>
      </c>
    </row>
    <row r="372" customFormat="false" ht="14.25" hidden="false" customHeight="false" outlineLevel="0" collapsed="false">
      <c r="A372" s="29" t="s">
        <v>747</v>
      </c>
      <c r="B372" s="67" t="s">
        <v>1836</v>
      </c>
      <c r="C372" s="58" t="str">
        <f aca="false">VLOOKUP(B372, AT_FILAS!$A$2:$C$8,2,FALSE())</f>
        <v>Consumo intermedio</v>
      </c>
      <c r="D372" s="58" t="n">
        <f aca="false">VLOOKUP(B372, AT_FILAS!$A$2:$C$8,3,FALSE())</f>
        <v>2</v>
      </c>
      <c r="E372" s="60" t="s">
        <v>2249</v>
      </c>
      <c r="F372" s="60" t="s">
        <v>2250</v>
      </c>
      <c r="G372" s="1" t="s">
        <v>1602</v>
      </c>
      <c r="H372" s="1" t="n">
        <v>4</v>
      </c>
      <c r="I372" s="1" t="s">
        <v>1602</v>
      </c>
      <c r="J372" s="1" t="s">
        <v>1602</v>
      </c>
      <c r="K372" s="1" t="n">
        <v>6</v>
      </c>
      <c r="L372" s="21" t="str">
        <f aca="false">VLOOKUP(K372,clasif_filas!$A$2:$J$39,2,FALSE())</f>
        <v>Otros servicios</v>
      </c>
      <c r="M372" s="21" t="n">
        <f aca="false">VLOOKUP(K372,clasif_filas!$A$2:$J$39,3,FALSE())</f>
        <v>6</v>
      </c>
      <c r="N372" s="21" t="str">
        <f aca="false">VLOOKUP(K372,clasif_filas!$A$2:$J$39,4,FALSE())</f>
        <v>Otros servicios</v>
      </c>
      <c r="O372" s="21" t="n">
        <f aca="false">VLOOKUP(K372,clasif_filas!$A$2:$J$39,5,FALSE())</f>
        <v>99</v>
      </c>
      <c r="P372" s="21" t="str">
        <f aca="false">VLOOKUP(K372,clasif_filas!$A$2:$J$39,6,FALSE())</f>
        <v>No Bioeconomía</v>
      </c>
      <c r="Q372" s="21" t="n">
        <f aca="false">VLOOKUP(K372,clasif_filas!$A$2:$J$39,7,FALSE())</f>
        <v>6</v>
      </c>
      <c r="R372" s="21" t="str">
        <f aca="false">VLOOKUP(K372,clasif_filas!$A$2:$J$39,8,FALSE())</f>
        <v>Servicios comerciales de distribución; alojamiento, servicios de suministro de comidas y bebidas; servicios de transporte; y servicios de distribución de electricidad, gas y agua</v>
      </c>
      <c r="S372" s="21" t="n">
        <f aca="false">VLOOKUP(K372,clasif_filas!$A$2:$J$39,9,FALSE())</f>
        <v>3</v>
      </c>
      <c r="T372" s="61" t="str">
        <f aca="false">VLOOKUP(K372,clasif_filas!$A$2:$J$39,10,FALSE())</f>
        <v>No bioeconomía</v>
      </c>
    </row>
    <row r="373" customFormat="false" ht="37.55" hidden="false" customHeight="false" outlineLevel="0" collapsed="false">
      <c r="A373" s="29" t="s">
        <v>749</v>
      </c>
      <c r="B373" s="67" t="s">
        <v>1836</v>
      </c>
      <c r="C373" s="58" t="str">
        <f aca="false">VLOOKUP(B373, AT_FILAS!$A$2:$C$8,2,FALSE())</f>
        <v>Consumo intermedio</v>
      </c>
      <c r="D373" s="58" t="n">
        <f aca="false">VLOOKUP(B373, AT_FILAS!$A$2:$C$8,3,FALSE())</f>
        <v>2</v>
      </c>
      <c r="E373" s="60" t="s">
        <v>2251</v>
      </c>
      <c r="F373" s="60" t="s">
        <v>2252</v>
      </c>
      <c r="G373" s="1" t="s">
        <v>1602</v>
      </c>
      <c r="H373" s="1" t="n">
        <v>4</v>
      </c>
      <c r="I373" s="1" t="s">
        <v>1602</v>
      </c>
      <c r="J373" s="1" t="s">
        <v>1602</v>
      </c>
      <c r="K373" s="1" t="n">
        <v>6</v>
      </c>
      <c r="L373" s="21" t="str">
        <f aca="false">VLOOKUP(K373,clasif_filas!$A$2:$J$39,2,FALSE())</f>
        <v>Otros servicios</v>
      </c>
      <c r="M373" s="21" t="n">
        <f aca="false">VLOOKUP(K373,clasif_filas!$A$2:$J$39,3,FALSE())</f>
        <v>6</v>
      </c>
      <c r="N373" s="21" t="str">
        <f aca="false">VLOOKUP(K373,clasif_filas!$A$2:$J$39,4,FALSE())</f>
        <v>Otros servicios</v>
      </c>
      <c r="O373" s="21" t="n">
        <f aca="false">VLOOKUP(K373,clasif_filas!$A$2:$J$39,5,FALSE())</f>
        <v>99</v>
      </c>
      <c r="P373" s="21" t="str">
        <f aca="false">VLOOKUP(K373,clasif_filas!$A$2:$J$39,6,FALSE())</f>
        <v>No Bioeconomía</v>
      </c>
      <c r="Q373" s="21" t="n">
        <f aca="false">VLOOKUP(K373,clasif_filas!$A$2:$J$39,7,FALSE())</f>
        <v>6</v>
      </c>
      <c r="R373" s="21" t="str">
        <f aca="false">VLOOKUP(K373,clasif_filas!$A$2:$J$39,8,FALSE())</f>
        <v>Servicios comerciales de distribución; alojamiento, servicios de suministro de comidas y bebidas; servicios de transporte; y servicios de distribución de electricidad, gas y agua</v>
      </c>
      <c r="S373" s="21" t="n">
        <f aca="false">VLOOKUP(K373,clasif_filas!$A$2:$J$39,9,FALSE())</f>
        <v>3</v>
      </c>
      <c r="T373" s="61" t="str">
        <f aca="false">VLOOKUP(K373,clasif_filas!$A$2:$J$39,10,FALSE())</f>
        <v>No bioeconomía</v>
      </c>
    </row>
    <row r="374" customFormat="false" ht="14.25" hidden="false" customHeight="false" outlineLevel="0" collapsed="false">
      <c r="A374" s="29" t="s">
        <v>751</v>
      </c>
      <c r="B374" s="67" t="s">
        <v>1836</v>
      </c>
      <c r="C374" s="58" t="str">
        <f aca="false">VLOOKUP(B374, AT_FILAS!$A$2:$C$8,2,FALSE())</f>
        <v>Consumo intermedio</v>
      </c>
      <c r="D374" s="58" t="n">
        <f aca="false">VLOOKUP(B374, AT_FILAS!$A$2:$C$8,3,FALSE())</f>
        <v>2</v>
      </c>
      <c r="E374" s="60" t="s">
        <v>2253</v>
      </c>
      <c r="F374" s="60" t="s">
        <v>2254</v>
      </c>
      <c r="G374" s="1" t="s">
        <v>1602</v>
      </c>
      <c r="H374" s="1" t="n">
        <v>4</v>
      </c>
      <c r="I374" s="1" t="s">
        <v>1602</v>
      </c>
      <c r="J374" s="1" t="s">
        <v>1602</v>
      </c>
      <c r="K374" s="1" t="n">
        <v>6</v>
      </c>
      <c r="L374" s="21" t="str">
        <f aca="false">VLOOKUP(K374,clasif_filas!$A$2:$J$39,2,FALSE())</f>
        <v>Otros servicios</v>
      </c>
      <c r="M374" s="21" t="n">
        <f aca="false">VLOOKUP(K374,clasif_filas!$A$2:$J$39,3,FALSE())</f>
        <v>6</v>
      </c>
      <c r="N374" s="21" t="str">
        <f aca="false">VLOOKUP(K374,clasif_filas!$A$2:$J$39,4,FALSE())</f>
        <v>Otros servicios</v>
      </c>
      <c r="O374" s="21" t="n">
        <f aca="false">VLOOKUP(K374,clasif_filas!$A$2:$J$39,5,FALSE())</f>
        <v>99</v>
      </c>
      <c r="P374" s="21" t="str">
        <f aca="false">VLOOKUP(K374,clasif_filas!$A$2:$J$39,6,FALSE())</f>
        <v>No Bioeconomía</v>
      </c>
      <c r="Q374" s="21" t="n">
        <f aca="false">VLOOKUP(K374,clasif_filas!$A$2:$J$39,7,FALSE())</f>
        <v>6</v>
      </c>
      <c r="R374" s="21" t="str">
        <f aca="false">VLOOKUP(K374,clasif_filas!$A$2:$J$39,8,FALSE())</f>
        <v>Servicios comerciales de distribución; alojamiento, servicios de suministro de comidas y bebidas; servicios de transporte; y servicios de distribución de electricidad, gas y agua</v>
      </c>
      <c r="S374" s="21" t="n">
        <f aca="false">VLOOKUP(K374,clasif_filas!$A$2:$J$39,9,FALSE())</f>
        <v>3</v>
      </c>
      <c r="T374" s="61" t="str">
        <f aca="false">VLOOKUP(K374,clasif_filas!$A$2:$J$39,10,FALSE())</f>
        <v>No bioeconomía</v>
      </c>
    </row>
    <row r="375" customFormat="false" ht="14.25" hidden="false" customHeight="false" outlineLevel="0" collapsed="false">
      <c r="A375" s="29" t="s">
        <v>753</v>
      </c>
      <c r="B375" s="67" t="s">
        <v>1836</v>
      </c>
      <c r="C375" s="58" t="str">
        <f aca="false">VLOOKUP(B375, AT_FILAS!$A$2:$C$8,2,FALSE())</f>
        <v>Consumo intermedio</v>
      </c>
      <c r="D375" s="58" t="n">
        <f aca="false">VLOOKUP(B375, AT_FILAS!$A$2:$C$8,3,FALSE())</f>
        <v>2</v>
      </c>
      <c r="E375" s="60" t="s">
        <v>2255</v>
      </c>
      <c r="F375" s="60" t="s">
        <v>2256</v>
      </c>
      <c r="G375" s="1" t="s">
        <v>1602</v>
      </c>
      <c r="H375" s="1" t="n">
        <v>4</v>
      </c>
      <c r="I375" s="1" t="s">
        <v>1602</v>
      </c>
      <c r="J375" s="1" t="s">
        <v>1602</v>
      </c>
      <c r="K375" s="1" t="n">
        <v>6</v>
      </c>
      <c r="L375" s="21" t="str">
        <f aca="false">VLOOKUP(K375,clasif_filas!$A$2:$J$39,2,FALSE())</f>
        <v>Otros servicios</v>
      </c>
      <c r="M375" s="21" t="n">
        <f aca="false">VLOOKUP(K375,clasif_filas!$A$2:$J$39,3,FALSE())</f>
        <v>6</v>
      </c>
      <c r="N375" s="21" t="str">
        <f aca="false">VLOOKUP(K375,clasif_filas!$A$2:$J$39,4,FALSE())</f>
        <v>Otros servicios</v>
      </c>
      <c r="O375" s="21" t="n">
        <f aca="false">VLOOKUP(K375,clasif_filas!$A$2:$J$39,5,FALSE())</f>
        <v>99</v>
      </c>
      <c r="P375" s="21" t="str">
        <f aca="false">VLOOKUP(K375,clasif_filas!$A$2:$J$39,6,FALSE())</f>
        <v>No Bioeconomía</v>
      </c>
      <c r="Q375" s="21" t="n">
        <f aca="false">VLOOKUP(K375,clasif_filas!$A$2:$J$39,7,FALSE())</f>
        <v>6</v>
      </c>
      <c r="R375" s="21" t="str">
        <f aca="false">VLOOKUP(K375,clasif_filas!$A$2:$J$39,8,FALSE())</f>
        <v>Servicios comerciales de distribución; alojamiento, servicios de suministro de comidas y bebidas; servicios de transporte; y servicios de distribución de electricidad, gas y agua</v>
      </c>
      <c r="S375" s="21" t="n">
        <f aca="false">VLOOKUP(K375,clasif_filas!$A$2:$J$39,9,FALSE())</f>
        <v>3</v>
      </c>
      <c r="T375" s="61" t="str">
        <f aca="false">VLOOKUP(K375,clasif_filas!$A$2:$J$39,10,FALSE())</f>
        <v>No bioeconomía</v>
      </c>
    </row>
    <row r="376" customFormat="false" ht="14.25" hidden="false" customHeight="false" outlineLevel="0" collapsed="false">
      <c r="A376" s="29" t="s">
        <v>755</v>
      </c>
      <c r="B376" s="67" t="s">
        <v>1836</v>
      </c>
      <c r="C376" s="58" t="str">
        <f aca="false">VLOOKUP(B376, AT_FILAS!$A$2:$C$8,2,FALSE())</f>
        <v>Consumo intermedio</v>
      </c>
      <c r="D376" s="58" t="n">
        <f aca="false">VLOOKUP(B376, AT_FILAS!$A$2:$C$8,3,FALSE())</f>
        <v>2</v>
      </c>
      <c r="E376" s="60" t="s">
        <v>2257</v>
      </c>
      <c r="F376" s="60" t="s">
        <v>2258</v>
      </c>
      <c r="G376" s="1" t="s">
        <v>1602</v>
      </c>
      <c r="H376" s="1" t="n">
        <v>4</v>
      </c>
      <c r="I376" s="1" t="s">
        <v>1602</v>
      </c>
      <c r="J376" s="1" t="s">
        <v>1602</v>
      </c>
      <c r="K376" s="1" t="n">
        <v>6</v>
      </c>
      <c r="L376" s="21" t="str">
        <f aca="false">VLOOKUP(K376,clasif_filas!$A$2:$J$39,2,FALSE())</f>
        <v>Otros servicios</v>
      </c>
      <c r="M376" s="21" t="n">
        <f aca="false">VLOOKUP(K376,clasif_filas!$A$2:$J$39,3,FALSE())</f>
        <v>6</v>
      </c>
      <c r="N376" s="21" t="str">
        <f aca="false">VLOOKUP(K376,clasif_filas!$A$2:$J$39,4,FALSE())</f>
        <v>Otros servicios</v>
      </c>
      <c r="O376" s="21" t="n">
        <f aca="false">VLOOKUP(K376,clasif_filas!$A$2:$J$39,5,FALSE())</f>
        <v>99</v>
      </c>
      <c r="P376" s="21" t="str">
        <f aca="false">VLOOKUP(K376,clasif_filas!$A$2:$J$39,6,FALSE())</f>
        <v>No Bioeconomía</v>
      </c>
      <c r="Q376" s="21" t="n">
        <f aca="false">VLOOKUP(K376,clasif_filas!$A$2:$J$39,7,FALSE())</f>
        <v>6</v>
      </c>
      <c r="R376" s="21" t="str">
        <f aca="false">VLOOKUP(K376,clasif_filas!$A$2:$J$39,8,FALSE())</f>
        <v>Servicios comerciales de distribución; alojamiento, servicios de suministro de comidas y bebidas; servicios de transporte; y servicios de distribución de electricidad, gas y agua</v>
      </c>
      <c r="S376" s="21" t="n">
        <f aca="false">VLOOKUP(K376,clasif_filas!$A$2:$J$39,9,FALSE())</f>
        <v>3</v>
      </c>
      <c r="T376" s="61" t="str">
        <f aca="false">VLOOKUP(K376,clasif_filas!$A$2:$J$39,10,FALSE())</f>
        <v>No bioeconomía</v>
      </c>
    </row>
    <row r="377" customFormat="false" ht="25.55" hidden="false" customHeight="false" outlineLevel="0" collapsed="false">
      <c r="A377" s="29" t="s">
        <v>757</v>
      </c>
      <c r="B377" s="67" t="s">
        <v>1836</v>
      </c>
      <c r="C377" s="58" t="str">
        <f aca="false">VLOOKUP(B377, AT_FILAS!$A$2:$C$8,2,FALSE())</f>
        <v>Consumo intermedio</v>
      </c>
      <c r="D377" s="58" t="n">
        <f aca="false">VLOOKUP(B377, AT_FILAS!$A$2:$C$8,3,FALSE())</f>
        <v>2</v>
      </c>
      <c r="E377" s="60" t="s">
        <v>2259</v>
      </c>
      <c r="F377" s="60" t="s">
        <v>2260</v>
      </c>
      <c r="G377" s="1" t="s">
        <v>1602</v>
      </c>
      <c r="H377" s="1" t="n">
        <v>4</v>
      </c>
      <c r="I377" s="1" t="s">
        <v>1602</v>
      </c>
      <c r="J377" s="1" t="s">
        <v>1602</v>
      </c>
      <c r="K377" s="1" t="n">
        <v>6</v>
      </c>
      <c r="L377" s="21" t="str">
        <f aca="false">VLOOKUP(K377,clasif_filas!$A$2:$J$39,2,FALSE())</f>
        <v>Otros servicios</v>
      </c>
      <c r="M377" s="21" t="n">
        <f aca="false">VLOOKUP(K377,clasif_filas!$A$2:$J$39,3,FALSE())</f>
        <v>6</v>
      </c>
      <c r="N377" s="21" t="str">
        <f aca="false">VLOOKUP(K377,clasif_filas!$A$2:$J$39,4,FALSE())</f>
        <v>Otros servicios</v>
      </c>
      <c r="O377" s="21" t="n">
        <f aca="false">VLOOKUP(K377,clasif_filas!$A$2:$J$39,5,FALSE())</f>
        <v>99</v>
      </c>
      <c r="P377" s="21" t="str">
        <f aca="false">VLOOKUP(K377,clasif_filas!$A$2:$J$39,6,FALSE())</f>
        <v>No Bioeconomía</v>
      </c>
      <c r="Q377" s="21" t="n">
        <f aca="false">VLOOKUP(K377,clasif_filas!$A$2:$J$39,7,FALSE())</f>
        <v>6</v>
      </c>
      <c r="R377" s="21" t="str">
        <f aca="false">VLOOKUP(K377,clasif_filas!$A$2:$J$39,8,FALSE())</f>
        <v>Servicios comerciales de distribución; alojamiento, servicios de suministro de comidas y bebidas; servicios de transporte; y servicios de distribución de electricidad, gas y agua</v>
      </c>
      <c r="S377" s="21" t="n">
        <f aca="false">VLOOKUP(K377,clasif_filas!$A$2:$J$39,9,FALSE())</f>
        <v>3</v>
      </c>
      <c r="T377" s="61" t="str">
        <f aca="false">VLOOKUP(K377,clasif_filas!$A$2:$J$39,10,FALSE())</f>
        <v>No bioeconomía</v>
      </c>
    </row>
    <row r="378" customFormat="false" ht="25.55" hidden="false" customHeight="false" outlineLevel="0" collapsed="false">
      <c r="A378" s="29" t="s">
        <v>759</v>
      </c>
      <c r="B378" s="67" t="s">
        <v>1836</v>
      </c>
      <c r="C378" s="58" t="str">
        <f aca="false">VLOOKUP(B378, AT_FILAS!$A$2:$C$8,2,FALSE())</f>
        <v>Consumo intermedio</v>
      </c>
      <c r="D378" s="58" t="n">
        <f aca="false">VLOOKUP(B378, AT_FILAS!$A$2:$C$8,3,FALSE())</f>
        <v>2</v>
      </c>
      <c r="E378" s="60" t="s">
        <v>2261</v>
      </c>
      <c r="F378" s="60" t="s">
        <v>2262</v>
      </c>
      <c r="G378" s="1" t="s">
        <v>1602</v>
      </c>
      <c r="H378" s="1" t="n">
        <v>4</v>
      </c>
      <c r="I378" s="1" t="s">
        <v>1602</v>
      </c>
      <c r="J378" s="1" t="s">
        <v>1602</v>
      </c>
      <c r="K378" s="1" t="n">
        <v>6</v>
      </c>
      <c r="L378" s="21" t="str">
        <f aca="false">VLOOKUP(K378,clasif_filas!$A$2:$J$39,2,FALSE())</f>
        <v>Otros servicios</v>
      </c>
      <c r="M378" s="21" t="n">
        <f aca="false">VLOOKUP(K378,clasif_filas!$A$2:$J$39,3,FALSE())</f>
        <v>6</v>
      </c>
      <c r="N378" s="21" t="str">
        <f aca="false">VLOOKUP(K378,clasif_filas!$A$2:$J$39,4,FALSE())</f>
        <v>Otros servicios</v>
      </c>
      <c r="O378" s="21" t="n">
        <f aca="false">VLOOKUP(K378,clasif_filas!$A$2:$J$39,5,FALSE())</f>
        <v>99</v>
      </c>
      <c r="P378" s="21" t="str">
        <f aca="false">VLOOKUP(K378,clasif_filas!$A$2:$J$39,6,FALSE())</f>
        <v>No Bioeconomía</v>
      </c>
      <c r="Q378" s="21" t="n">
        <f aca="false">VLOOKUP(K378,clasif_filas!$A$2:$J$39,7,FALSE())</f>
        <v>6</v>
      </c>
      <c r="R378" s="21" t="str">
        <f aca="false">VLOOKUP(K378,clasif_filas!$A$2:$J$39,8,FALSE())</f>
        <v>Servicios comerciales de distribución; alojamiento, servicios de suministro de comidas y bebidas; servicios de transporte; y servicios de distribución de electricidad, gas y agua</v>
      </c>
      <c r="S378" s="21" t="n">
        <f aca="false">VLOOKUP(K378,clasif_filas!$A$2:$J$39,9,FALSE())</f>
        <v>3</v>
      </c>
      <c r="T378" s="61" t="str">
        <f aca="false">VLOOKUP(K378,clasif_filas!$A$2:$J$39,10,FALSE())</f>
        <v>No bioeconomía</v>
      </c>
    </row>
    <row r="379" customFormat="false" ht="25.55" hidden="false" customHeight="false" outlineLevel="0" collapsed="false">
      <c r="A379" s="29" t="s">
        <v>761</v>
      </c>
      <c r="B379" s="67" t="s">
        <v>1836</v>
      </c>
      <c r="C379" s="58" t="str">
        <f aca="false">VLOOKUP(B379, AT_FILAS!$A$2:$C$8,2,FALSE())</f>
        <v>Consumo intermedio</v>
      </c>
      <c r="D379" s="58" t="n">
        <f aca="false">VLOOKUP(B379, AT_FILAS!$A$2:$C$8,3,FALSE())</f>
        <v>2</v>
      </c>
      <c r="E379" s="60" t="s">
        <v>2263</v>
      </c>
      <c r="F379" s="60" t="s">
        <v>2264</v>
      </c>
      <c r="G379" s="1" t="s">
        <v>1602</v>
      </c>
      <c r="H379" s="1" t="n">
        <v>4</v>
      </c>
      <c r="I379" s="1" t="s">
        <v>1602</v>
      </c>
      <c r="J379" s="1" t="s">
        <v>1602</v>
      </c>
      <c r="K379" s="1" t="n">
        <v>6</v>
      </c>
      <c r="L379" s="21" t="str">
        <f aca="false">VLOOKUP(K379,clasif_filas!$A$2:$J$39,2,FALSE())</f>
        <v>Otros servicios</v>
      </c>
      <c r="M379" s="21" t="n">
        <f aca="false">VLOOKUP(K379,clasif_filas!$A$2:$J$39,3,FALSE())</f>
        <v>6</v>
      </c>
      <c r="N379" s="21" t="str">
        <f aca="false">VLOOKUP(K379,clasif_filas!$A$2:$J$39,4,FALSE())</f>
        <v>Otros servicios</v>
      </c>
      <c r="O379" s="21" t="n">
        <f aca="false">VLOOKUP(K379,clasif_filas!$A$2:$J$39,5,FALSE())</f>
        <v>99</v>
      </c>
      <c r="P379" s="21" t="str">
        <f aca="false">VLOOKUP(K379,clasif_filas!$A$2:$J$39,6,FALSE())</f>
        <v>No Bioeconomía</v>
      </c>
      <c r="Q379" s="21" t="n">
        <f aca="false">VLOOKUP(K379,clasif_filas!$A$2:$J$39,7,FALSE())</f>
        <v>6</v>
      </c>
      <c r="R379" s="21" t="str">
        <f aca="false">VLOOKUP(K379,clasif_filas!$A$2:$J$39,8,FALSE())</f>
        <v>Servicios comerciales de distribución; alojamiento, servicios de suministro de comidas y bebidas; servicios de transporte; y servicios de distribución de electricidad, gas y agua</v>
      </c>
      <c r="S379" s="21" t="n">
        <f aca="false">VLOOKUP(K379,clasif_filas!$A$2:$J$39,9,FALSE())</f>
        <v>3</v>
      </c>
      <c r="T379" s="61" t="str">
        <f aca="false">VLOOKUP(K379,clasif_filas!$A$2:$J$39,10,FALSE())</f>
        <v>No bioeconomía</v>
      </c>
    </row>
    <row r="380" customFormat="false" ht="37.55" hidden="false" customHeight="false" outlineLevel="0" collapsed="false">
      <c r="A380" s="29" t="s">
        <v>763</v>
      </c>
      <c r="B380" s="67" t="s">
        <v>1836</v>
      </c>
      <c r="C380" s="58" t="str">
        <f aca="false">VLOOKUP(B380, AT_FILAS!$A$2:$C$8,2,FALSE())</f>
        <v>Consumo intermedio</v>
      </c>
      <c r="D380" s="58" t="n">
        <f aca="false">VLOOKUP(B380, AT_FILAS!$A$2:$C$8,3,FALSE())</f>
        <v>2</v>
      </c>
      <c r="E380" s="60" t="s">
        <v>2265</v>
      </c>
      <c r="F380" s="60" t="s">
        <v>2266</v>
      </c>
      <c r="G380" s="1" t="s">
        <v>1602</v>
      </c>
      <c r="H380" s="1" t="n">
        <v>4</v>
      </c>
      <c r="I380" s="1" t="s">
        <v>1602</v>
      </c>
      <c r="J380" s="1" t="s">
        <v>1602</v>
      </c>
      <c r="K380" s="1" t="n">
        <v>6</v>
      </c>
      <c r="L380" s="21" t="str">
        <f aca="false">VLOOKUP(K380,clasif_filas!$A$2:$J$39,2,FALSE())</f>
        <v>Otros servicios</v>
      </c>
      <c r="M380" s="21" t="n">
        <f aca="false">VLOOKUP(K380,clasif_filas!$A$2:$J$39,3,FALSE())</f>
        <v>6</v>
      </c>
      <c r="N380" s="21" t="str">
        <f aca="false">VLOOKUP(K380,clasif_filas!$A$2:$J$39,4,FALSE())</f>
        <v>Otros servicios</v>
      </c>
      <c r="O380" s="21" t="n">
        <f aca="false">VLOOKUP(K380,clasif_filas!$A$2:$J$39,5,FALSE())</f>
        <v>99</v>
      </c>
      <c r="P380" s="21" t="str">
        <f aca="false">VLOOKUP(K380,clasif_filas!$A$2:$J$39,6,FALSE())</f>
        <v>No Bioeconomía</v>
      </c>
      <c r="Q380" s="21" t="n">
        <f aca="false">VLOOKUP(K380,clasif_filas!$A$2:$J$39,7,FALSE())</f>
        <v>6</v>
      </c>
      <c r="R380" s="21" t="str">
        <f aca="false">VLOOKUP(K380,clasif_filas!$A$2:$J$39,8,FALSE())</f>
        <v>Servicios comerciales de distribución; alojamiento, servicios de suministro de comidas y bebidas; servicios de transporte; y servicios de distribución de electricidad, gas y agua</v>
      </c>
      <c r="S380" s="21" t="n">
        <f aca="false">VLOOKUP(K380,clasif_filas!$A$2:$J$39,9,FALSE())</f>
        <v>3</v>
      </c>
      <c r="T380" s="61" t="str">
        <f aca="false">VLOOKUP(K380,clasif_filas!$A$2:$J$39,10,FALSE())</f>
        <v>No bioeconomía</v>
      </c>
    </row>
    <row r="381" customFormat="false" ht="14.25" hidden="false" customHeight="false" outlineLevel="0" collapsed="false">
      <c r="A381" s="29" t="s">
        <v>765</v>
      </c>
      <c r="B381" s="67" t="s">
        <v>1836</v>
      </c>
      <c r="C381" s="58" t="str">
        <f aca="false">VLOOKUP(B381, AT_FILAS!$A$2:$C$8,2,FALSE())</f>
        <v>Consumo intermedio</v>
      </c>
      <c r="D381" s="58" t="n">
        <f aca="false">VLOOKUP(B381, AT_FILAS!$A$2:$C$8,3,FALSE())</f>
        <v>2</v>
      </c>
      <c r="E381" s="60" t="s">
        <v>2267</v>
      </c>
      <c r="F381" s="60" t="s">
        <v>2268</v>
      </c>
      <c r="G381" s="1" t="s">
        <v>1602</v>
      </c>
      <c r="H381" s="1" t="n">
        <v>4</v>
      </c>
      <c r="I381" s="1" t="s">
        <v>1602</v>
      </c>
      <c r="J381" s="1" t="s">
        <v>1602</v>
      </c>
      <c r="K381" s="1" t="n">
        <v>6</v>
      </c>
      <c r="L381" s="21" t="str">
        <f aca="false">VLOOKUP(K381,clasif_filas!$A$2:$J$39,2,FALSE())</f>
        <v>Otros servicios</v>
      </c>
      <c r="M381" s="21" t="n">
        <f aca="false">VLOOKUP(K381,clasif_filas!$A$2:$J$39,3,FALSE())</f>
        <v>6</v>
      </c>
      <c r="N381" s="21" t="str">
        <f aca="false">VLOOKUP(K381,clasif_filas!$A$2:$J$39,4,FALSE())</f>
        <v>Otros servicios</v>
      </c>
      <c r="O381" s="21" t="n">
        <f aca="false">VLOOKUP(K381,clasif_filas!$A$2:$J$39,5,FALSE())</f>
        <v>99</v>
      </c>
      <c r="P381" s="21" t="str">
        <f aca="false">VLOOKUP(K381,clasif_filas!$A$2:$J$39,6,FALSE())</f>
        <v>No Bioeconomía</v>
      </c>
      <c r="Q381" s="21" t="n">
        <f aca="false">VLOOKUP(K381,clasif_filas!$A$2:$J$39,7,FALSE())</f>
        <v>6</v>
      </c>
      <c r="R381" s="21" t="str">
        <f aca="false">VLOOKUP(K381,clasif_filas!$A$2:$J$39,8,FALSE())</f>
        <v>Servicios comerciales de distribución; alojamiento, servicios de suministro de comidas y bebidas; servicios de transporte; y servicios de distribución de electricidad, gas y agua</v>
      </c>
      <c r="S381" s="21" t="n">
        <f aca="false">VLOOKUP(K381,clasif_filas!$A$2:$J$39,9,FALSE())</f>
        <v>3</v>
      </c>
      <c r="T381" s="61" t="str">
        <f aca="false">VLOOKUP(K381,clasif_filas!$A$2:$J$39,10,FALSE())</f>
        <v>No bioeconomía</v>
      </c>
    </row>
    <row r="382" customFormat="false" ht="14.25" hidden="false" customHeight="false" outlineLevel="0" collapsed="false">
      <c r="A382" s="29" t="s">
        <v>767</v>
      </c>
      <c r="B382" s="58" t="s">
        <v>1838</v>
      </c>
      <c r="C382" s="58" t="str">
        <f aca="false">VLOOKUP(B382, AT_FILAS!$A$2:$C$8,2,FALSE())</f>
        <v>Compras directas en el exterior por residentes</v>
      </c>
      <c r="D382" s="58" t="n">
        <f aca="false">VLOOKUP(B382, AT_FILAS!$A$2:$C$8,3,FALSE())</f>
        <v>4</v>
      </c>
      <c r="E382" s="60" t="s">
        <v>2269</v>
      </c>
      <c r="F382" s="60" t="s">
        <v>2270</v>
      </c>
      <c r="G382" s="1" t="s">
        <v>1602</v>
      </c>
      <c r="H382" s="1" t="n">
        <v>4</v>
      </c>
      <c r="I382" s="1" t="s">
        <v>1602</v>
      </c>
      <c r="J382" s="1" t="s">
        <v>1602</v>
      </c>
      <c r="K382" s="1" t="n">
        <v>6</v>
      </c>
      <c r="L382" s="21" t="str">
        <f aca="false">VLOOKUP(K382,clasif_filas!$A$2:$J$39,2,FALSE())</f>
        <v>Otros servicios</v>
      </c>
      <c r="M382" s="21" t="n">
        <f aca="false">VLOOKUP(K382,clasif_filas!$A$2:$J$39,3,FALSE())</f>
        <v>6</v>
      </c>
      <c r="N382" s="21" t="str">
        <f aca="false">VLOOKUP(K382,clasif_filas!$A$2:$J$39,4,FALSE())</f>
        <v>Otros servicios</v>
      </c>
      <c r="O382" s="21" t="n">
        <f aca="false">VLOOKUP(K382,clasif_filas!$A$2:$J$39,5,FALSE())</f>
        <v>99</v>
      </c>
      <c r="P382" s="21" t="str">
        <f aca="false">VLOOKUP(K382,clasif_filas!$A$2:$J$39,6,FALSE())</f>
        <v>No Bioeconomía</v>
      </c>
      <c r="Q382" s="21" t="n">
        <f aca="false">VLOOKUP(K382,clasif_filas!$A$2:$J$39,7,FALSE())</f>
        <v>6</v>
      </c>
      <c r="R382" s="21" t="str">
        <f aca="false">VLOOKUP(K382,clasif_filas!$A$2:$J$39,8,FALSE())</f>
        <v>Servicios comerciales de distribución; alojamiento, servicios de suministro de comidas y bebidas; servicios de transporte; y servicios de distribución de electricidad, gas y agua</v>
      </c>
      <c r="S382" s="21" t="n">
        <f aca="false">VLOOKUP(K382,clasif_filas!$A$2:$J$39,9,FALSE())</f>
        <v>3</v>
      </c>
      <c r="T382" s="61" t="str">
        <f aca="false">VLOOKUP(K382,clasif_filas!$A$2:$J$39,10,FALSE())</f>
        <v>No bioeconomía</v>
      </c>
    </row>
    <row r="383" customFormat="false" ht="14.25" hidden="false" customHeight="false" outlineLevel="0" collapsed="false">
      <c r="A383" s="29" t="s">
        <v>770</v>
      </c>
      <c r="B383" s="58" t="s">
        <v>1838</v>
      </c>
      <c r="C383" s="58" t="str">
        <f aca="false">VLOOKUP(B383, AT_FILAS!$A$2:$C$8,2,FALSE())</f>
        <v>Compras directas en el exterior por residentes</v>
      </c>
      <c r="D383" s="58" t="n">
        <f aca="false">VLOOKUP(B383, AT_FILAS!$A$2:$C$8,3,FALSE())</f>
        <v>4</v>
      </c>
      <c r="E383" s="64" t="s">
        <v>2271</v>
      </c>
      <c r="F383" s="65" t="s">
        <v>2272</v>
      </c>
      <c r="G383" s="1" t="s">
        <v>1602</v>
      </c>
      <c r="H383" s="1" t="n">
        <v>4</v>
      </c>
      <c r="I383" s="1" t="s">
        <v>1602</v>
      </c>
      <c r="J383" s="1" t="s">
        <v>1602</v>
      </c>
      <c r="K383" s="66" t="s">
        <v>1631</v>
      </c>
      <c r="L383" s="21" t="s">
        <v>1631</v>
      </c>
      <c r="M383" s="21" t="s">
        <v>1631</v>
      </c>
      <c r="N383" s="21" t="s">
        <v>1631</v>
      </c>
      <c r="O383" s="21" t="s">
        <v>1631</v>
      </c>
      <c r="P383" s="21" t="s">
        <v>1631</v>
      </c>
      <c r="Q383" s="21" t="s">
        <v>1631</v>
      </c>
      <c r="R383" s="21" t="s">
        <v>1631</v>
      </c>
      <c r="S383" s="21" t="s">
        <v>1631</v>
      </c>
      <c r="T383" s="61" t="s">
        <v>1631</v>
      </c>
    </row>
    <row r="384" customFormat="false" ht="25.55" hidden="false" customHeight="false" outlineLevel="0" collapsed="false">
      <c r="A384" s="29" t="s">
        <v>773</v>
      </c>
      <c r="B384" s="58" t="s">
        <v>1838</v>
      </c>
      <c r="C384" s="58" t="str">
        <f aca="false">VLOOKUP(B384, AT_FILAS!$A$2:$C$8,2,FALSE())</f>
        <v>Compras directas en el exterior por residentes</v>
      </c>
      <c r="D384" s="58" t="n">
        <f aca="false">VLOOKUP(B384, AT_FILAS!$A$2:$C$8,3,FALSE())</f>
        <v>4</v>
      </c>
      <c r="E384" s="60" t="s">
        <v>2273</v>
      </c>
      <c r="F384" s="65" t="s">
        <v>2274</v>
      </c>
      <c r="G384" s="1" t="s">
        <v>1602</v>
      </c>
      <c r="H384" s="1" t="n">
        <v>4</v>
      </c>
      <c r="I384" s="1" t="s">
        <v>1602</v>
      </c>
      <c r="J384" s="1" t="s">
        <v>1602</v>
      </c>
      <c r="K384" s="66" t="s">
        <v>1631</v>
      </c>
      <c r="L384" s="21" t="s">
        <v>1631</v>
      </c>
      <c r="M384" s="21" t="s">
        <v>1631</v>
      </c>
      <c r="N384" s="21" t="s">
        <v>1631</v>
      </c>
      <c r="O384" s="21" t="s">
        <v>1631</v>
      </c>
      <c r="P384" s="21" t="s">
        <v>1631</v>
      </c>
      <c r="Q384" s="21" t="s">
        <v>1631</v>
      </c>
      <c r="R384" s="21" t="s">
        <v>1631</v>
      </c>
      <c r="S384" s="21" t="s">
        <v>1631</v>
      </c>
      <c r="T384" s="61" t="s">
        <v>1631</v>
      </c>
    </row>
    <row r="385" customFormat="false" ht="25.55" hidden="false" customHeight="false" outlineLevel="0" collapsed="false">
      <c r="A385" s="29" t="s">
        <v>775</v>
      </c>
      <c r="B385" s="58" t="s">
        <v>1838</v>
      </c>
      <c r="C385" s="58" t="str">
        <f aca="false">VLOOKUP(B385, AT_FILAS!$A$2:$C$8,2,FALSE())</f>
        <v>Compras directas en el exterior por residentes</v>
      </c>
      <c r="D385" s="58" t="n">
        <f aca="false">VLOOKUP(B385, AT_FILAS!$A$2:$C$8,3,FALSE())</f>
        <v>4</v>
      </c>
      <c r="E385" s="60" t="s">
        <v>2275</v>
      </c>
      <c r="F385" s="65" t="s">
        <v>2276</v>
      </c>
      <c r="G385" s="1" t="s">
        <v>1602</v>
      </c>
      <c r="H385" s="1" t="n">
        <v>4</v>
      </c>
      <c r="I385" s="1" t="s">
        <v>1602</v>
      </c>
      <c r="J385" s="1" t="s">
        <v>1602</v>
      </c>
      <c r="K385" s="66" t="s">
        <v>1631</v>
      </c>
      <c r="L385" s="21" t="s">
        <v>1631</v>
      </c>
      <c r="M385" s="21" t="s">
        <v>1631</v>
      </c>
      <c r="N385" s="21" t="s">
        <v>1631</v>
      </c>
      <c r="O385" s="21" t="s">
        <v>1631</v>
      </c>
      <c r="P385" s="21" t="s">
        <v>1631</v>
      </c>
      <c r="Q385" s="21" t="s">
        <v>1631</v>
      </c>
      <c r="R385" s="21" t="s">
        <v>1631</v>
      </c>
      <c r="S385" s="21" t="s">
        <v>1631</v>
      </c>
      <c r="T385" s="61" t="s">
        <v>1631</v>
      </c>
    </row>
    <row r="386" customFormat="false" ht="25.55" hidden="false" customHeight="false" outlineLevel="0" collapsed="false">
      <c r="A386" s="29" t="s">
        <v>777</v>
      </c>
      <c r="B386" s="58" t="s">
        <v>1838</v>
      </c>
      <c r="C386" s="58" t="str">
        <f aca="false">VLOOKUP(B386, AT_FILAS!$A$2:$C$8,2,FALSE())</f>
        <v>Compras directas en el exterior por residentes</v>
      </c>
      <c r="D386" s="58" t="n">
        <f aca="false">VLOOKUP(B386, AT_FILAS!$A$2:$C$8,3,FALSE())</f>
        <v>4</v>
      </c>
      <c r="E386" s="60" t="s">
        <v>2277</v>
      </c>
      <c r="F386" s="65" t="s">
        <v>2278</v>
      </c>
      <c r="G386" s="1" t="s">
        <v>1602</v>
      </c>
      <c r="H386" s="1" t="n">
        <v>4</v>
      </c>
      <c r="I386" s="1" t="s">
        <v>1602</v>
      </c>
      <c r="J386" s="1" t="s">
        <v>1602</v>
      </c>
      <c r="K386" s="66" t="s">
        <v>1631</v>
      </c>
      <c r="L386" s="21" t="s">
        <v>1631</v>
      </c>
      <c r="M386" s="21" t="s">
        <v>1631</v>
      </c>
      <c r="N386" s="21" t="s">
        <v>1631</v>
      </c>
      <c r="O386" s="21" t="s">
        <v>1631</v>
      </c>
      <c r="P386" s="21" t="s">
        <v>1631</v>
      </c>
      <c r="Q386" s="21" t="s">
        <v>1631</v>
      </c>
      <c r="R386" s="21" t="s">
        <v>1631</v>
      </c>
      <c r="S386" s="21" t="s">
        <v>1631</v>
      </c>
      <c r="T386" s="61" t="s">
        <v>1631</v>
      </c>
    </row>
    <row r="387" customFormat="false" ht="25.55" hidden="false" customHeight="false" outlineLevel="0" collapsed="false">
      <c r="A387" s="31" t="s">
        <v>779</v>
      </c>
      <c r="B387" s="68" t="s">
        <v>1840</v>
      </c>
      <c r="C387" s="69" t="str">
        <f aca="false">VLOOKUP(B387, AT_FILAS!$A$2:$C$8,2,FALSE())</f>
        <v>Compras directas en el territorio nacional por no residentes</v>
      </c>
      <c r="D387" s="69" t="n">
        <f aca="false">VLOOKUP(B387, AT_FILAS!$A$2:$C$8,3,FALSE())</f>
        <v>5</v>
      </c>
      <c r="E387" s="70" t="s">
        <v>2279</v>
      </c>
      <c r="F387" s="71" t="s">
        <v>2280</v>
      </c>
      <c r="G387" s="32" t="s">
        <v>1602</v>
      </c>
      <c r="H387" s="32" t="n">
        <v>4</v>
      </c>
      <c r="I387" s="32" t="s">
        <v>1602</v>
      </c>
      <c r="J387" s="32" t="s">
        <v>1602</v>
      </c>
      <c r="K387" s="72" t="s">
        <v>1631</v>
      </c>
      <c r="L387" s="73" t="s">
        <v>1631</v>
      </c>
      <c r="M387" s="73" t="s">
        <v>1631</v>
      </c>
      <c r="N387" s="73" t="s">
        <v>1631</v>
      </c>
      <c r="O387" s="73" t="s">
        <v>1631</v>
      </c>
      <c r="P387" s="73" t="s">
        <v>1631</v>
      </c>
      <c r="Q387" s="73" t="s">
        <v>1631</v>
      </c>
      <c r="R387" s="73" t="s">
        <v>1631</v>
      </c>
      <c r="S387" s="73" t="s">
        <v>1631</v>
      </c>
      <c r="T387" s="74" t="s">
        <v>1631</v>
      </c>
    </row>
    <row r="388" customFormat="false" ht="14.25" hidden="false" customHeight="false" outlineLevel="0" collapsed="false">
      <c r="A388" s="31" t="s">
        <v>783</v>
      </c>
      <c r="B388" s="68" t="s">
        <v>1842</v>
      </c>
      <c r="C388" s="69" t="str">
        <f aca="false">VLOOKUP(B388, AT_FILAS!$A$2:$C$8,2,FALSE())</f>
        <v>Valor Agregado</v>
      </c>
      <c r="D388" s="69" t="n">
        <f aca="false">VLOOKUP(B388, AT_FILAS!$A$2:$C$8,3,FALSE())</f>
        <v>6</v>
      </c>
      <c r="E388" s="45" t="s">
        <v>2281</v>
      </c>
      <c r="F388" s="46" t="s">
        <v>1411</v>
      </c>
      <c r="G388" s="46" t="s">
        <v>1631</v>
      </c>
      <c r="H388" s="46" t="s">
        <v>1631</v>
      </c>
      <c r="I388" s="46" t="s">
        <v>1631</v>
      </c>
      <c r="J388" s="46" t="s">
        <v>1631</v>
      </c>
      <c r="K388" s="46" t="s">
        <v>1631</v>
      </c>
      <c r="L388" s="46" t="s">
        <v>1631</v>
      </c>
      <c r="M388" s="46" t="s">
        <v>1631</v>
      </c>
      <c r="N388" s="46" t="s">
        <v>1631</v>
      </c>
      <c r="O388" s="46" t="s">
        <v>1631</v>
      </c>
      <c r="P388" s="46" t="s">
        <v>1631</v>
      </c>
      <c r="Q388" s="46" t="s">
        <v>1631</v>
      </c>
      <c r="R388" s="46" t="s">
        <v>1631</v>
      </c>
      <c r="S388" s="46" t="s">
        <v>1631</v>
      </c>
      <c r="T388" s="75" t="s">
        <v>1631</v>
      </c>
    </row>
  </sheetData>
  <autoFilter ref="A1:T388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I39" activeCellId="0" sqref="I39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70.73"/>
    <col collapsed="false" customWidth="true" hidden="false" outlineLevel="0" max="4" min="4" style="1" width="19.27"/>
    <col collapsed="false" customWidth="true" hidden="false" outlineLevel="0" max="8" min="8" style="1" width="18.45"/>
    <col collapsed="false" customWidth="true" hidden="false" outlineLevel="0" max="10" min="10" style="1" width="21.27"/>
  </cols>
  <sheetData>
    <row r="1" customFormat="false" ht="14.25" hidden="false" customHeight="false" outlineLevel="0" collapsed="false">
      <c r="A1" s="76" t="s">
        <v>1852</v>
      </c>
      <c r="B1" s="13" t="s">
        <v>1853</v>
      </c>
      <c r="C1" s="13" t="s">
        <v>1854</v>
      </c>
      <c r="D1" s="13" t="s">
        <v>1855</v>
      </c>
      <c r="E1" s="13" t="s">
        <v>1856</v>
      </c>
      <c r="F1" s="13" t="s">
        <v>1857</v>
      </c>
      <c r="G1" s="13" t="s">
        <v>1858</v>
      </c>
      <c r="H1" s="13" t="s">
        <v>1859</v>
      </c>
      <c r="I1" s="13" t="s">
        <v>1860</v>
      </c>
      <c r="J1" s="77" t="s">
        <v>1861</v>
      </c>
    </row>
    <row r="2" customFormat="false" ht="14.25" hidden="false" customHeight="false" outlineLevel="0" collapsed="false">
      <c r="A2" s="78" t="n">
        <v>1</v>
      </c>
      <c r="B2" s="1" t="s">
        <v>2282</v>
      </c>
      <c r="C2" s="1" t="n">
        <v>1</v>
      </c>
      <c r="D2" s="1" t="s">
        <v>2282</v>
      </c>
      <c r="E2" s="1" t="n">
        <v>1</v>
      </c>
      <c r="F2" s="1" t="s">
        <v>2283</v>
      </c>
      <c r="G2" s="1" t="n">
        <v>0</v>
      </c>
      <c r="H2" s="1" t="s">
        <v>2284</v>
      </c>
      <c r="I2" s="1" t="n">
        <v>1</v>
      </c>
      <c r="J2" s="79" t="s">
        <v>1938</v>
      </c>
    </row>
    <row r="3" customFormat="false" ht="14.25" hidden="false" customHeight="false" outlineLevel="0" collapsed="false">
      <c r="A3" s="78" t="n">
        <v>2</v>
      </c>
      <c r="B3" s="1" t="s">
        <v>2285</v>
      </c>
      <c r="C3" s="1" t="n">
        <v>2</v>
      </c>
      <c r="D3" s="1" t="s">
        <v>2285</v>
      </c>
      <c r="E3" s="1" t="n">
        <v>1</v>
      </c>
      <c r="F3" s="1" t="s">
        <v>2283</v>
      </c>
      <c r="G3" s="1" t="n">
        <v>0</v>
      </c>
      <c r="H3" s="1" t="s">
        <v>2284</v>
      </c>
      <c r="I3" s="1" t="n">
        <v>1</v>
      </c>
      <c r="J3" s="79" t="s">
        <v>1938</v>
      </c>
    </row>
    <row r="4" customFormat="false" ht="14.25" hidden="false" customHeight="false" outlineLevel="0" collapsed="false">
      <c r="A4" s="78" t="n">
        <v>3</v>
      </c>
      <c r="B4" s="1" t="s">
        <v>2286</v>
      </c>
      <c r="C4" s="1" t="n">
        <v>3</v>
      </c>
      <c r="D4" s="1" t="s">
        <v>2286</v>
      </c>
      <c r="E4" s="1" t="n">
        <v>3</v>
      </c>
      <c r="F4" s="1" t="s">
        <v>2287</v>
      </c>
      <c r="G4" s="1" t="n">
        <v>0</v>
      </c>
      <c r="H4" s="1" t="s">
        <v>2284</v>
      </c>
      <c r="I4" s="1" t="n">
        <v>1</v>
      </c>
      <c r="J4" s="79" t="s">
        <v>1938</v>
      </c>
    </row>
    <row r="5" customFormat="false" ht="14.25" hidden="false" customHeight="false" outlineLevel="0" collapsed="false">
      <c r="A5" s="78" t="n">
        <v>4</v>
      </c>
      <c r="B5" s="1" t="s">
        <v>2288</v>
      </c>
      <c r="C5" s="1" t="n">
        <v>4</v>
      </c>
      <c r="D5" s="1" t="s">
        <v>2288</v>
      </c>
      <c r="E5" s="1" t="n">
        <v>2</v>
      </c>
      <c r="F5" s="1" t="s">
        <v>2289</v>
      </c>
      <c r="G5" s="1" t="n">
        <v>0</v>
      </c>
      <c r="H5" s="1" t="s">
        <v>2284</v>
      </c>
      <c r="I5" s="1" t="n">
        <v>1</v>
      </c>
      <c r="J5" s="79" t="s">
        <v>1938</v>
      </c>
    </row>
    <row r="6" customFormat="false" ht="14.25" hidden="false" customHeight="false" outlineLevel="0" collapsed="false">
      <c r="A6" s="1" t="n">
        <v>11</v>
      </c>
      <c r="B6" s="1" t="s">
        <v>2290</v>
      </c>
      <c r="C6" s="1" t="n">
        <v>11</v>
      </c>
      <c r="D6" s="1" t="s">
        <v>2290</v>
      </c>
      <c r="E6" s="1" t="n">
        <v>99</v>
      </c>
      <c r="F6" s="1" t="s">
        <v>2291</v>
      </c>
      <c r="G6" s="1" t="n">
        <v>1</v>
      </c>
      <c r="H6" s="1" t="s">
        <v>2292</v>
      </c>
      <c r="I6" s="1" t="n">
        <v>3</v>
      </c>
      <c r="J6" s="79" t="s">
        <v>1602</v>
      </c>
    </row>
    <row r="7" customFormat="false" ht="14.25" hidden="false" customHeight="false" outlineLevel="0" collapsed="false">
      <c r="A7" s="78" t="n">
        <v>17.5</v>
      </c>
      <c r="B7" s="1" t="s">
        <v>2293</v>
      </c>
      <c r="C7" s="1" t="s">
        <v>2294</v>
      </c>
      <c r="D7" s="1" t="s">
        <v>2293</v>
      </c>
      <c r="E7" s="1" t="n">
        <v>6</v>
      </c>
      <c r="F7" s="1" t="s">
        <v>2295</v>
      </c>
      <c r="G7" s="1" t="n">
        <v>1</v>
      </c>
      <c r="H7" s="1" t="s">
        <v>2292</v>
      </c>
      <c r="I7" s="1" t="n">
        <v>2</v>
      </c>
      <c r="J7" s="79" t="s">
        <v>2296</v>
      </c>
    </row>
    <row r="8" customFormat="false" ht="14.25" hidden="false" customHeight="false" outlineLevel="0" collapsed="false">
      <c r="A8" s="78" t="n">
        <v>18</v>
      </c>
      <c r="B8" s="1" t="s">
        <v>2297</v>
      </c>
      <c r="C8" s="1" t="n">
        <v>18</v>
      </c>
      <c r="D8" s="1" t="s">
        <v>2297</v>
      </c>
      <c r="E8" s="1" t="n">
        <v>6</v>
      </c>
      <c r="F8" s="1" t="s">
        <v>2295</v>
      </c>
      <c r="G8" s="1" t="n">
        <v>1</v>
      </c>
      <c r="H8" s="1" t="s">
        <v>2292</v>
      </c>
      <c r="I8" s="1" t="n">
        <v>2</v>
      </c>
      <c r="J8" s="79" t="s">
        <v>2296</v>
      </c>
    </row>
    <row r="9" customFormat="false" ht="14.25" hidden="false" customHeight="false" outlineLevel="0" collapsed="false">
      <c r="A9" s="78" t="n">
        <v>21</v>
      </c>
      <c r="B9" s="1" t="s">
        <v>2298</v>
      </c>
      <c r="C9" s="1" t="n">
        <v>21</v>
      </c>
      <c r="D9" s="1" t="s">
        <v>2298</v>
      </c>
      <c r="E9" s="1" t="n">
        <v>6</v>
      </c>
      <c r="F9" s="1" t="s">
        <v>2295</v>
      </c>
      <c r="G9" s="1" t="n">
        <v>2</v>
      </c>
      <c r="H9" s="1" t="s">
        <v>2299</v>
      </c>
      <c r="I9" s="1" t="n">
        <v>1</v>
      </c>
      <c r="J9" s="79" t="s">
        <v>1938</v>
      </c>
    </row>
    <row r="10" customFormat="false" ht="14.25" hidden="false" customHeight="false" outlineLevel="0" collapsed="false">
      <c r="A10" s="78" t="n">
        <v>22</v>
      </c>
      <c r="B10" s="1" t="s">
        <v>2300</v>
      </c>
      <c r="C10" s="1" t="n">
        <v>22</v>
      </c>
      <c r="D10" s="1" t="s">
        <v>2300</v>
      </c>
      <c r="E10" s="1" t="n">
        <v>6</v>
      </c>
      <c r="F10" s="1" t="s">
        <v>2295</v>
      </c>
      <c r="G10" s="1" t="n">
        <v>2</v>
      </c>
      <c r="H10" s="1" t="s">
        <v>2299</v>
      </c>
      <c r="I10" s="1" t="n">
        <v>1</v>
      </c>
      <c r="J10" s="79" t="s">
        <v>1938</v>
      </c>
    </row>
    <row r="11" customFormat="false" ht="14.25" hidden="false" customHeight="false" outlineLevel="0" collapsed="false">
      <c r="A11" s="78" t="n">
        <v>23</v>
      </c>
      <c r="B11" s="1" t="s">
        <v>2301</v>
      </c>
      <c r="C11" s="1" t="n">
        <v>23</v>
      </c>
      <c r="D11" s="1" t="s">
        <v>2301</v>
      </c>
      <c r="E11" s="1" t="n">
        <v>6</v>
      </c>
      <c r="F11" s="1" t="s">
        <v>2295</v>
      </c>
      <c r="G11" s="1" t="n">
        <v>2</v>
      </c>
      <c r="H11" s="1" t="s">
        <v>2299</v>
      </c>
      <c r="I11" s="1" t="n">
        <v>1</v>
      </c>
      <c r="J11" s="79" t="s">
        <v>1938</v>
      </c>
    </row>
    <row r="12" customFormat="false" ht="14.25" hidden="false" customHeight="false" outlineLevel="0" collapsed="false">
      <c r="A12" s="78" t="n">
        <v>24</v>
      </c>
      <c r="B12" s="1" t="s">
        <v>2302</v>
      </c>
      <c r="C12" s="1" t="n">
        <v>24</v>
      </c>
      <c r="D12" s="1" t="s">
        <v>2302</v>
      </c>
      <c r="E12" s="1" t="n">
        <v>6</v>
      </c>
      <c r="F12" s="1" t="s">
        <v>2295</v>
      </c>
      <c r="G12" s="1" t="n">
        <v>2</v>
      </c>
      <c r="H12" s="1" t="s">
        <v>2299</v>
      </c>
      <c r="I12" s="1" t="n">
        <v>1</v>
      </c>
      <c r="J12" s="79" t="s">
        <v>1938</v>
      </c>
    </row>
    <row r="13" customFormat="false" ht="14.25" hidden="false" customHeight="false" outlineLevel="0" collapsed="false">
      <c r="A13" s="78" t="n">
        <v>25</v>
      </c>
      <c r="B13" s="1" t="s">
        <v>2303</v>
      </c>
      <c r="C13" s="1" t="n">
        <v>25</v>
      </c>
      <c r="D13" s="1" t="s">
        <v>2303</v>
      </c>
      <c r="E13" s="1" t="n">
        <v>6</v>
      </c>
      <c r="F13" s="1" t="s">
        <v>2295</v>
      </c>
      <c r="G13" s="1" t="n">
        <v>2</v>
      </c>
      <c r="H13" s="1" t="s">
        <v>2299</v>
      </c>
      <c r="I13" s="1" t="n">
        <v>1</v>
      </c>
      <c r="J13" s="79" t="s">
        <v>1938</v>
      </c>
    </row>
    <row r="14" customFormat="false" ht="14.25" hidden="false" customHeight="false" outlineLevel="0" collapsed="false">
      <c r="A14" s="78" t="n">
        <v>26</v>
      </c>
      <c r="B14" s="1" t="s">
        <v>2304</v>
      </c>
      <c r="C14" s="1" t="n">
        <v>26</v>
      </c>
      <c r="D14" s="1" t="s">
        <v>2304</v>
      </c>
      <c r="E14" s="1" t="n">
        <v>6</v>
      </c>
      <c r="F14" s="1" t="s">
        <v>2295</v>
      </c>
      <c r="G14" s="1" t="n">
        <v>2</v>
      </c>
      <c r="H14" s="1" t="s">
        <v>2299</v>
      </c>
      <c r="I14" s="1" t="n">
        <v>2</v>
      </c>
      <c r="J14" s="79" t="s">
        <v>2296</v>
      </c>
    </row>
    <row r="15" customFormat="false" ht="14.25" hidden="false" customHeight="false" outlineLevel="0" collapsed="false">
      <c r="A15" s="78" t="n">
        <v>27</v>
      </c>
      <c r="B15" s="1" t="s">
        <v>2305</v>
      </c>
      <c r="C15" s="1" t="n">
        <v>27</v>
      </c>
      <c r="D15" s="1" t="s">
        <v>2305</v>
      </c>
      <c r="E15" s="1" t="n">
        <v>6</v>
      </c>
      <c r="F15" s="1" t="s">
        <v>2295</v>
      </c>
      <c r="G15" s="1" t="n">
        <v>2</v>
      </c>
      <c r="H15" s="1" t="s">
        <v>2299</v>
      </c>
      <c r="I15" s="1" t="n">
        <v>2</v>
      </c>
      <c r="J15" s="79" t="s">
        <v>2296</v>
      </c>
    </row>
    <row r="16" customFormat="false" ht="14.25" hidden="false" customHeight="false" outlineLevel="0" collapsed="false">
      <c r="A16" s="78" t="n">
        <v>28</v>
      </c>
      <c r="B16" s="1" t="s">
        <v>2306</v>
      </c>
      <c r="C16" s="1" t="n">
        <v>28</v>
      </c>
      <c r="D16" s="1" t="s">
        <v>2306</v>
      </c>
      <c r="E16" s="1" t="n">
        <v>6</v>
      </c>
      <c r="F16" s="1" t="s">
        <v>2295</v>
      </c>
      <c r="G16" s="1" t="n">
        <v>2</v>
      </c>
      <c r="H16" s="1" t="s">
        <v>2299</v>
      </c>
      <c r="I16" s="1" t="n">
        <v>2</v>
      </c>
      <c r="J16" s="79" t="s">
        <v>2296</v>
      </c>
    </row>
    <row r="17" customFormat="false" ht="14.25" hidden="false" customHeight="false" outlineLevel="0" collapsed="false">
      <c r="A17" s="78" t="n">
        <v>29</v>
      </c>
      <c r="B17" s="1" t="s">
        <v>2307</v>
      </c>
      <c r="C17" s="1" t="n">
        <v>29</v>
      </c>
      <c r="D17" s="1" t="s">
        <v>2307</v>
      </c>
      <c r="E17" s="1" t="n">
        <v>6</v>
      </c>
      <c r="F17" s="1" t="s">
        <v>2295</v>
      </c>
      <c r="G17" s="1" t="n">
        <v>2</v>
      </c>
      <c r="H17" s="1" t="s">
        <v>2299</v>
      </c>
      <c r="I17" s="1" t="n">
        <v>2</v>
      </c>
      <c r="J17" s="79" t="s">
        <v>2296</v>
      </c>
    </row>
    <row r="18" customFormat="false" ht="14.25" hidden="false" customHeight="false" outlineLevel="0" collapsed="false">
      <c r="A18" s="78" t="n">
        <v>31</v>
      </c>
      <c r="B18" s="1" t="s">
        <v>2308</v>
      </c>
      <c r="C18" s="1" t="n">
        <v>31</v>
      </c>
      <c r="D18" s="1" t="s">
        <v>2308</v>
      </c>
      <c r="E18" s="1" t="n">
        <v>6</v>
      </c>
      <c r="F18" s="1" t="s">
        <v>2295</v>
      </c>
      <c r="G18" s="1" t="n">
        <v>3</v>
      </c>
      <c r="H18" s="1" t="s">
        <v>2309</v>
      </c>
      <c r="I18" s="1" t="n">
        <v>1</v>
      </c>
      <c r="J18" s="79" t="s">
        <v>1938</v>
      </c>
    </row>
    <row r="19" customFormat="false" ht="14.25" hidden="false" customHeight="false" outlineLevel="0" collapsed="false">
      <c r="A19" s="78" t="n">
        <v>32</v>
      </c>
      <c r="B19" s="1" t="s">
        <v>2310</v>
      </c>
      <c r="C19" s="1" t="n">
        <v>32</v>
      </c>
      <c r="D19" s="1" t="s">
        <v>2310</v>
      </c>
      <c r="E19" s="1" t="n">
        <v>6</v>
      </c>
      <c r="F19" s="1" t="s">
        <v>2295</v>
      </c>
      <c r="G19" s="1" t="n">
        <v>3</v>
      </c>
      <c r="H19" s="1" t="s">
        <v>2309</v>
      </c>
      <c r="I19" s="1" t="n">
        <v>1</v>
      </c>
      <c r="J19" s="79" t="s">
        <v>1938</v>
      </c>
    </row>
    <row r="20" customFormat="false" ht="14.25" hidden="false" customHeight="false" outlineLevel="0" collapsed="false">
      <c r="A20" s="78" t="n">
        <v>341</v>
      </c>
      <c r="B20" s="1" t="s">
        <v>2311</v>
      </c>
      <c r="C20" s="1" t="n">
        <v>34</v>
      </c>
      <c r="D20" s="1" t="s">
        <v>2312</v>
      </c>
      <c r="E20" s="1" t="n">
        <v>6</v>
      </c>
      <c r="F20" s="1" t="s">
        <v>2295</v>
      </c>
      <c r="G20" s="1" t="n">
        <v>3</v>
      </c>
      <c r="H20" s="1" t="s">
        <v>2309</v>
      </c>
      <c r="I20" s="1" t="n">
        <v>2</v>
      </c>
      <c r="J20" s="79" t="s">
        <v>2296</v>
      </c>
    </row>
    <row r="21" customFormat="false" ht="14.25" hidden="false" customHeight="false" outlineLevel="0" collapsed="false">
      <c r="A21" s="78" t="n">
        <v>342</v>
      </c>
      <c r="B21" s="1" t="s">
        <v>2313</v>
      </c>
      <c r="C21" s="1" t="n">
        <v>34</v>
      </c>
      <c r="D21" s="1" t="s">
        <v>2312</v>
      </c>
      <c r="E21" s="1" t="n">
        <v>99</v>
      </c>
      <c r="F21" s="1" t="s">
        <v>2291</v>
      </c>
      <c r="G21" s="1" t="n">
        <v>3</v>
      </c>
      <c r="H21" s="1" t="s">
        <v>2309</v>
      </c>
      <c r="I21" s="1" t="n">
        <v>3</v>
      </c>
      <c r="J21" s="79" t="s">
        <v>1602</v>
      </c>
    </row>
    <row r="22" customFormat="false" ht="14.25" hidden="false" customHeight="false" outlineLevel="0" collapsed="false">
      <c r="A22" s="78" t="n">
        <v>343</v>
      </c>
      <c r="B22" s="1" t="s">
        <v>2314</v>
      </c>
      <c r="C22" s="1" t="n">
        <v>34</v>
      </c>
      <c r="D22" s="1" t="s">
        <v>2312</v>
      </c>
      <c r="E22" s="1" t="n">
        <v>6</v>
      </c>
      <c r="F22" s="1" t="s">
        <v>2295</v>
      </c>
      <c r="G22" s="1" t="n">
        <v>3</v>
      </c>
      <c r="H22" s="1" t="s">
        <v>2309</v>
      </c>
      <c r="I22" s="1" t="n">
        <v>2</v>
      </c>
      <c r="J22" s="79" t="s">
        <v>2296</v>
      </c>
    </row>
    <row r="23" customFormat="false" ht="14.25" hidden="false" customHeight="false" outlineLevel="0" collapsed="false">
      <c r="A23" s="78" t="n">
        <v>344</v>
      </c>
      <c r="B23" s="1" t="s">
        <v>2315</v>
      </c>
      <c r="C23" s="1" t="n">
        <v>34</v>
      </c>
      <c r="D23" s="1" t="s">
        <v>2312</v>
      </c>
      <c r="E23" s="1" t="n">
        <v>6</v>
      </c>
      <c r="F23" s="1" t="s">
        <v>2295</v>
      </c>
      <c r="G23" s="1" t="n">
        <v>3</v>
      </c>
      <c r="H23" s="1" t="s">
        <v>2309</v>
      </c>
      <c r="I23" s="1" t="n">
        <v>2</v>
      </c>
      <c r="J23" s="79" t="s">
        <v>2296</v>
      </c>
    </row>
    <row r="24" customFormat="false" ht="14.25" hidden="false" customHeight="false" outlineLevel="0" collapsed="false">
      <c r="A24" s="78" t="n">
        <v>346</v>
      </c>
      <c r="B24" s="1" t="s">
        <v>2316</v>
      </c>
      <c r="C24" s="1" t="n">
        <v>34</v>
      </c>
      <c r="D24" s="1" t="s">
        <v>2312</v>
      </c>
      <c r="E24" s="1" t="n">
        <v>6</v>
      </c>
      <c r="F24" s="1" t="s">
        <v>2295</v>
      </c>
      <c r="G24" s="1" t="n">
        <v>3</v>
      </c>
      <c r="H24" s="1" t="s">
        <v>2309</v>
      </c>
      <c r="I24" s="1" t="n">
        <v>2</v>
      </c>
      <c r="J24" s="79" t="s">
        <v>2296</v>
      </c>
    </row>
    <row r="25" customFormat="false" ht="14.25" hidden="false" customHeight="false" outlineLevel="0" collapsed="false">
      <c r="A25" s="78" t="n">
        <v>351</v>
      </c>
      <c r="B25" s="1" t="s">
        <v>2317</v>
      </c>
      <c r="C25" s="1" t="n">
        <v>35</v>
      </c>
      <c r="D25" s="1" t="s">
        <v>2318</v>
      </c>
      <c r="E25" s="1" t="n">
        <v>6</v>
      </c>
      <c r="F25" s="1" t="s">
        <v>2295</v>
      </c>
      <c r="G25" s="1" t="n">
        <v>3</v>
      </c>
      <c r="H25" s="1" t="s">
        <v>2309</v>
      </c>
      <c r="I25" s="1" t="n">
        <v>2</v>
      </c>
      <c r="J25" s="79" t="s">
        <v>2296</v>
      </c>
    </row>
    <row r="26" customFormat="false" ht="14.25" hidden="false" customHeight="false" outlineLevel="0" collapsed="false">
      <c r="A26" s="78" t="n">
        <v>352</v>
      </c>
      <c r="B26" s="1" t="s">
        <v>2319</v>
      </c>
      <c r="C26" s="1" t="n">
        <v>35</v>
      </c>
      <c r="D26" s="1" t="s">
        <v>2318</v>
      </c>
      <c r="E26" s="1" t="n">
        <v>6</v>
      </c>
      <c r="F26" s="1" t="s">
        <v>2295</v>
      </c>
      <c r="G26" s="1" t="n">
        <v>3</v>
      </c>
      <c r="H26" s="1" t="s">
        <v>2309</v>
      </c>
      <c r="I26" s="1" t="n">
        <v>2</v>
      </c>
      <c r="J26" s="79" t="s">
        <v>2296</v>
      </c>
    </row>
    <row r="27" customFormat="false" ht="14.25" hidden="false" customHeight="false" outlineLevel="0" collapsed="false">
      <c r="A27" s="78" t="n">
        <v>353</v>
      </c>
      <c r="B27" s="1" t="s">
        <v>2320</v>
      </c>
      <c r="C27" s="1" t="n">
        <v>35</v>
      </c>
      <c r="D27" s="1" t="s">
        <v>2318</v>
      </c>
      <c r="E27" s="1" t="n">
        <v>6</v>
      </c>
      <c r="F27" s="1" t="s">
        <v>2295</v>
      </c>
      <c r="G27" s="1" t="n">
        <v>3</v>
      </c>
      <c r="H27" s="1" t="s">
        <v>2309</v>
      </c>
      <c r="I27" s="1" t="n">
        <v>2</v>
      </c>
      <c r="J27" s="79" t="s">
        <v>2296</v>
      </c>
    </row>
    <row r="28" customFormat="false" ht="14.25" hidden="false" customHeight="false" outlineLevel="0" collapsed="false">
      <c r="A28" s="78" t="n">
        <v>37</v>
      </c>
      <c r="B28" s="1" t="s">
        <v>2321</v>
      </c>
      <c r="C28" s="1" t="n">
        <v>37</v>
      </c>
      <c r="D28" s="1" t="s">
        <v>2321</v>
      </c>
      <c r="E28" s="1" t="n">
        <v>99</v>
      </c>
      <c r="F28" s="1" t="s">
        <v>2291</v>
      </c>
      <c r="G28" s="1" t="n">
        <v>3</v>
      </c>
      <c r="H28" s="1" t="s">
        <v>2309</v>
      </c>
      <c r="I28" s="1" t="n">
        <v>3</v>
      </c>
      <c r="J28" s="79" t="s">
        <v>1602</v>
      </c>
    </row>
    <row r="29" customFormat="false" ht="14.25" hidden="false" customHeight="false" outlineLevel="0" collapsed="false">
      <c r="A29" s="78" t="n">
        <v>38</v>
      </c>
      <c r="B29" s="1" t="s">
        <v>2322</v>
      </c>
      <c r="C29" s="1" t="n">
        <v>38</v>
      </c>
      <c r="D29" s="1" t="s">
        <v>2322</v>
      </c>
      <c r="E29" s="1" t="n">
        <v>99</v>
      </c>
      <c r="F29" s="1" t="s">
        <v>2291</v>
      </c>
      <c r="G29" s="1" t="n">
        <v>3</v>
      </c>
      <c r="H29" s="1" t="s">
        <v>2309</v>
      </c>
      <c r="I29" s="1" t="n">
        <v>3</v>
      </c>
      <c r="J29" s="79" t="s">
        <v>1602</v>
      </c>
    </row>
    <row r="30" customFormat="false" ht="14.25" hidden="false" customHeight="false" outlineLevel="0" collapsed="false">
      <c r="A30" s="78" t="n">
        <v>39</v>
      </c>
      <c r="B30" s="1" t="s">
        <v>2323</v>
      </c>
      <c r="C30" s="1" t="n">
        <v>39</v>
      </c>
      <c r="D30" s="1" t="s">
        <v>2323</v>
      </c>
      <c r="E30" s="1" t="n">
        <v>4</v>
      </c>
      <c r="F30" s="1" t="s">
        <v>2324</v>
      </c>
      <c r="G30" s="1" t="n">
        <v>3</v>
      </c>
      <c r="H30" s="1" t="s">
        <v>2309</v>
      </c>
      <c r="I30" s="1" t="n">
        <v>2</v>
      </c>
      <c r="J30" s="79" t="s">
        <v>2296</v>
      </c>
    </row>
    <row r="31" customFormat="false" ht="14.25" hidden="false" customHeight="false" outlineLevel="0" collapsed="false">
      <c r="A31" s="62" t="s">
        <v>2101</v>
      </c>
      <c r="B31" s="1" t="s">
        <v>2325</v>
      </c>
      <c r="C31" s="1" t="s">
        <v>2101</v>
      </c>
      <c r="D31" s="1" t="s">
        <v>2325</v>
      </c>
      <c r="E31" s="1" t="n">
        <v>99</v>
      </c>
      <c r="F31" s="1" t="s">
        <v>2291</v>
      </c>
      <c r="G31" s="1" t="n">
        <v>4</v>
      </c>
      <c r="H31" s="1" t="s">
        <v>2326</v>
      </c>
      <c r="I31" s="1" t="n">
        <v>3</v>
      </c>
      <c r="J31" s="79" t="s">
        <v>1602</v>
      </c>
    </row>
    <row r="32" customFormat="false" ht="14.25" hidden="false" customHeight="false" outlineLevel="0" collapsed="false">
      <c r="A32" s="78" t="n">
        <v>5</v>
      </c>
      <c r="B32" s="1" t="s">
        <v>2327</v>
      </c>
      <c r="C32" s="1" t="n">
        <v>53</v>
      </c>
      <c r="D32" s="1" t="s">
        <v>2327</v>
      </c>
      <c r="E32" s="1" t="n">
        <v>99</v>
      </c>
      <c r="F32" s="1" t="s">
        <v>2291</v>
      </c>
      <c r="G32" s="1" t="n">
        <v>5</v>
      </c>
      <c r="H32" s="1" t="s">
        <v>2327</v>
      </c>
      <c r="I32" s="1" t="n">
        <v>3</v>
      </c>
      <c r="J32" s="79" t="s">
        <v>1602</v>
      </c>
    </row>
    <row r="33" customFormat="false" ht="14.25" hidden="false" customHeight="false" outlineLevel="0" collapsed="false">
      <c r="A33" s="78" t="n">
        <v>6</v>
      </c>
      <c r="B33" s="1" t="s">
        <v>1765</v>
      </c>
      <c r="C33" s="1" t="n">
        <v>6</v>
      </c>
      <c r="D33" s="1" t="s">
        <v>1765</v>
      </c>
      <c r="E33" s="1" t="n">
        <v>99</v>
      </c>
      <c r="F33" s="1" t="s">
        <v>2291</v>
      </c>
      <c r="G33" s="1" t="n">
        <v>6</v>
      </c>
      <c r="H33" s="1" t="s">
        <v>2328</v>
      </c>
      <c r="I33" s="1" t="n">
        <v>3</v>
      </c>
      <c r="J33" s="79" t="s">
        <v>1602</v>
      </c>
    </row>
    <row r="34" customFormat="false" ht="14.25" hidden="false" customHeight="false" outlineLevel="0" collapsed="false">
      <c r="A34" s="78" t="n">
        <v>63</v>
      </c>
      <c r="B34" s="1" t="s">
        <v>2329</v>
      </c>
      <c r="C34" s="1" t="n">
        <v>63</v>
      </c>
      <c r="D34" s="1" t="s">
        <v>2329</v>
      </c>
      <c r="E34" s="1" t="n">
        <v>6</v>
      </c>
      <c r="F34" s="1" t="s">
        <v>2295</v>
      </c>
      <c r="G34" s="1" t="n">
        <v>6</v>
      </c>
      <c r="H34" s="1" t="s">
        <v>2328</v>
      </c>
      <c r="I34" s="1" t="n">
        <v>2</v>
      </c>
      <c r="J34" s="79" t="s">
        <v>2296</v>
      </c>
    </row>
    <row r="35" customFormat="false" ht="14.25" hidden="false" customHeight="false" outlineLevel="0" collapsed="false">
      <c r="A35" s="78" t="n">
        <v>69</v>
      </c>
      <c r="B35" s="1" t="s">
        <v>2330</v>
      </c>
      <c r="C35" s="1" t="n">
        <v>69</v>
      </c>
      <c r="D35" s="1" t="s">
        <v>2330</v>
      </c>
      <c r="E35" s="1" t="n">
        <v>6</v>
      </c>
      <c r="F35" s="1" t="s">
        <v>2295</v>
      </c>
      <c r="G35" s="1" t="n">
        <v>6</v>
      </c>
      <c r="H35" s="1" t="s">
        <v>2328</v>
      </c>
      <c r="I35" s="1" t="n">
        <v>2</v>
      </c>
      <c r="J35" s="79" t="s">
        <v>2296</v>
      </c>
    </row>
    <row r="36" customFormat="false" ht="14.25" hidden="false" customHeight="false" outlineLevel="0" collapsed="false">
      <c r="A36" s="78" t="n">
        <v>81</v>
      </c>
      <c r="B36" s="1" t="s">
        <v>2331</v>
      </c>
      <c r="C36" s="1" t="n">
        <v>81</v>
      </c>
      <c r="D36" s="1" t="s">
        <v>2331</v>
      </c>
      <c r="E36" s="1" t="n">
        <v>6</v>
      </c>
      <c r="F36" s="1" t="s">
        <v>2295</v>
      </c>
      <c r="G36" s="1" t="n">
        <v>8</v>
      </c>
      <c r="H36" s="1" t="s">
        <v>2332</v>
      </c>
      <c r="I36" s="1" t="n">
        <v>2</v>
      </c>
      <c r="J36" s="79" t="s">
        <v>2296</v>
      </c>
    </row>
    <row r="37" customFormat="false" ht="14.25" hidden="false" customHeight="false" outlineLevel="0" collapsed="false">
      <c r="A37" s="78" t="n">
        <v>83</v>
      </c>
      <c r="B37" s="1" t="s">
        <v>2333</v>
      </c>
      <c r="C37" s="1" t="n">
        <v>83</v>
      </c>
      <c r="D37" s="1" t="s">
        <v>2333</v>
      </c>
      <c r="E37" s="1" t="n">
        <v>6</v>
      </c>
      <c r="F37" s="1" t="s">
        <v>2295</v>
      </c>
      <c r="G37" s="1" t="n">
        <v>8</v>
      </c>
      <c r="H37" s="1" t="s">
        <v>2332</v>
      </c>
      <c r="I37" s="1" t="n">
        <v>2</v>
      </c>
      <c r="J37" s="79" t="s">
        <v>2296</v>
      </c>
    </row>
    <row r="38" customFormat="false" ht="14.25" hidden="false" customHeight="false" outlineLevel="0" collapsed="false">
      <c r="A38" s="78" t="n">
        <v>86</v>
      </c>
      <c r="B38" s="1" t="s">
        <v>2334</v>
      </c>
      <c r="C38" s="1" t="n">
        <v>86</v>
      </c>
      <c r="D38" s="1" t="s">
        <v>2334</v>
      </c>
      <c r="E38" s="1" t="n">
        <v>6</v>
      </c>
      <c r="F38" s="1" t="s">
        <v>2295</v>
      </c>
      <c r="G38" s="1" t="n">
        <v>8</v>
      </c>
      <c r="H38" s="1" t="s">
        <v>2332</v>
      </c>
      <c r="I38" s="1" t="n">
        <v>1</v>
      </c>
      <c r="J38" s="79" t="s">
        <v>2296</v>
      </c>
    </row>
    <row r="39" customFormat="false" ht="14.25" hidden="false" customHeight="false" outlineLevel="0" collapsed="false">
      <c r="A39" s="78" t="n">
        <v>94</v>
      </c>
      <c r="B39" s="1" t="s">
        <v>2335</v>
      </c>
      <c r="C39" s="1" t="n">
        <v>94</v>
      </c>
      <c r="D39" s="1" t="s">
        <v>2335</v>
      </c>
      <c r="E39" s="1" t="n">
        <v>4</v>
      </c>
      <c r="F39" s="1" t="s">
        <v>2324</v>
      </c>
      <c r="G39" s="1" t="n">
        <v>9</v>
      </c>
      <c r="H39" s="1" t="s">
        <v>2336</v>
      </c>
      <c r="I39" s="1" t="n">
        <v>2</v>
      </c>
      <c r="J39" s="79" t="s">
        <v>2296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3046875" defaultRowHeight="14.25" customHeight="false" zeroHeight="false" outlineLevelRow="0" outlineLevelCol="0"/>
  <sheetData>
    <row r="1" customFormat="false" ht="14.25" hidden="false" customHeight="false" outlineLevel="0" collapsed="false">
      <c r="A1" s="46" t="s">
        <v>2337</v>
      </c>
      <c r="B1" s="49" t="s">
        <v>1852</v>
      </c>
      <c r="C1" s="49" t="s">
        <v>1853</v>
      </c>
      <c r="D1" s="49" t="s">
        <v>1854</v>
      </c>
      <c r="E1" s="49" t="s">
        <v>1855</v>
      </c>
      <c r="F1" s="49" t="s">
        <v>1856</v>
      </c>
      <c r="G1" s="49" t="s">
        <v>1857</v>
      </c>
      <c r="H1" s="49" t="s">
        <v>1858</v>
      </c>
      <c r="I1" s="49" t="s">
        <v>1859</v>
      </c>
      <c r="J1" s="49" t="s">
        <v>1860</v>
      </c>
      <c r="K1" s="50" t="s">
        <v>1861</v>
      </c>
    </row>
    <row r="2" customFormat="false" ht="14.25" hidden="false" customHeight="false" outlineLevel="0" collapsed="false">
      <c r="A2" s="80" t="s">
        <v>2338</v>
      </c>
      <c r="B2" s="56" t="n">
        <v>1</v>
      </c>
      <c r="C2" s="56" t="str">
        <f aca="false">VLOOKUP(B2,clasif_filas!$A$2:$J$39,2,FALSE())</f>
        <v>Productos de la agricultura, la horticultura y la jardinería comercial</v>
      </c>
      <c r="D2" s="56" t="n">
        <f aca="false">VLOOKUP(B2,clasif_filas!$A$2:$J$39,3,FALSE())</f>
        <v>1</v>
      </c>
      <c r="E2" s="56" t="str">
        <f aca="false">VLOOKUP(B2,clasif_filas!$A$2:$J$39,4,FALSE())</f>
        <v>Productos de la agricultura, la horticultura y la jardinería comercial</v>
      </c>
      <c r="F2" s="56" t="n">
        <f aca="false">VLOOKUP(B2,clasif_filas!$A$2:$J$39,5,FALSE())</f>
        <v>1</v>
      </c>
      <c r="G2" s="56" t="str">
        <f aca="false">VLOOKUP(B2,clasif_filas!$A$2:$J$39,6,FALSE())</f>
        <v>Biomasa que se cultiva para producir alimentos, forrajes, fibras y energía</v>
      </c>
      <c r="H2" s="56" t="n">
        <f aca="false">VLOOKUP(B2,clasif_filas!$A$2:$J$39,7,FALSE())</f>
        <v>0</v>
      </c>
      <c r="I2" s="56" t="str">
        <f aca="false">VLOOKUP(B2,clasif_filas!$A$2:$J$39,8,FALSE())</f>
        <v>Productos de la agricultura, la silvicultura yla pesca</v>
      </c>
      <c r="J2" s="56" t="n">
        <f aca="false">VLOOKUP(B2,clasif_filas!$A$2:$J$39,9,FALSE())</f>
        <v>1</v>
      </c>
      <c r="K2" s="57" t="str">
        <f aca="false">VLOOKUP(B2,clasif_filas!$A$2:$J$39,10,FALSE())</f>
        <v>Bioeconomía</v>
      </c>
    </row>
    <row r="3" customFormat="false" ht="14.25" hidden="false" customHeight="false" outlineLevel="0" collapsed="false">
      <c r="A3" s="81" t="s">
        <v>2339</v>
      </c>
      <c r="B3" s="21" t="n">
        <v>1</v>
      </c>
      <c r="C3" s="21" t="str">
        <f aca="false">VLOOKUP(B3,clasif_filas!$A$2:$J$39,2,FALSE())</f>
        <v>Productos de la agricultura, la horticultura y la jardinería comercial</v>
      </c>
      <c r="D3" s="21" t="n">
        <f aca="false">VLOOKUP(B3,clasif_filas!$A$2:$J$39,3,FALSE())</f>
        <v>1</v>
      </c>
      <c r="E3" s="21" t="str">
        <f aca="false">VLOOKUP(B3,clasif_filas!$A$2:$J$39,4,FALSE())</f>
        <v>Productos de la agricultura, la horticultura y la jardinería comercial</v>
      </c>
      <c r="F3" s="21" t="n">
        <f aca="false">VLOOKUP(B3,clasif_filas!$A$2:$J$39,5,FALSE())</f>
        <v>1</v>
      </c>
      <c r="G3" s="21" t="str">
        <f aca="false">VLOOKUP(B3,clasif_filas!$A$2:$J$39,6,FALSE())</f>
        <v>Biomasa que se cultiva para producir alimentos, forrajes, fibras y energía</v>
      </c>
      <c r="H3" s="21" t="n">
        <f aca="false">VLOOKUP(B3,clasif_filas!$A$2:$J$39,7,FALSE())</f>
        <v>0</v>
      </c>
      <c r="I3" s="21" t="str">
        <f aca="false">VLOOKUP(B3,clasif_filas!$A$2:$J$39,8,FALSE())</f>
        <v>Productos de la agricultura, la silvicultura yla pesca</v>
      </c>
      <c r="J3" s="21" t="n">
        <f aca="false">VLOOKUP(B3,clasif_filas!$A$2:$J$39,9,FALSE())</f>
        <v>1</v>
      </c>
      <c r="K3" s="61" t="str">
        <f aca="false">VLOOKUP(B3,clasif_filas!$A$2:$J$39,10,FALSE())</f>
        <v>Bioeconomía</v>
      </c>
    </row>
    <row r="4" customFormat="false" ht="14.25" hidden="false" customHeight="false" outlineLevel="0" collapsed="false">
      <c r="A4" s="81" t="s">
        <v>2340</v>
      </c>
      <c r="B4" s="17" t="n">
        <v>1</v>
      </c>
      <c r="C4" s="21" t="str">
        <f aca="false">VLOOKUP(B4,clasif_filas!$A$2:$J$39,2,FALSE())</f>
        <v>Productos de la agricultura, la horticultura y la jardinería comercial</v>
      </c>
      <c r="D4" s="21" t="n">
        <f aca="false">VLOOKUP(B4,clasif_filas!$A$2:$J$39,3,FALSE())</f>
        <v>1</v>
      </c>
      <c r="E4" s="21" t="str">
        <f aca="false">VLOOKUP(B4,clasif_filas!$A$2:$J$39,4,FALSE())</f>
        <v>Productos de la agricultura, la horticultura y la jardinería comercial</v>
      </c>
      <c r="F4" s="21" t="n">
        <f aca="false">VLOOKUP(B4,clasif_filas!$A$2:$J$39,5,FALSE())</f>
        <v>1</v>
      </c>
      <c r="G4" s="21" t="str">
        <f aca="false">VLOOKUP(B4,clasif_filas!$A$2:$J$39,6,FALSE())</f>
        <v>Biomasa que se cultiva para producir alimentos, forrajes, fibras y energía</v>
      </c>
      <c r="H4" s="21" t="n">
        <f aca="false">VLOOKUP(B4,clasif_filas!$A$2:$J$39,7,FALSE())</f>
        <v>0</v>
      </c>
      <c r="I4" s="21" t="str">
        <f aca="false">VLOOKUP(B4,clasif_filas!$A$2:$J$39,8,FALSE())</f>
        <v>Productos de la agricultura, la silvicultura yla pesca</v>
      </c>
      <c r="J4" s="21" t="n">
        <f aca="false">VLOOKUP(B4,clasif_filas!$A$2:$J$39,9,FALSE())</f>
        <v>1</v>
      </c>
      <c r="K4" s="61" t="str">
        <f aca="false">VLOOKUP(B4,clasif_filas!$A$2:$J$39,10,FALSE())</f>
        <v>Bioeconomía</v>
      </c>
    </row>
    <row r="5" customFormat="false" ht="14.25" hidden="false" customHeight="false" outlineLevel="0" collapsed="false">
      <c r="A5" s="81" t="s">
        <v>2341</v>
      </c>
      <c r="B5" s="17" t="n">
        <v>1</v>
      </c>
      <c r="C5" s="21" t="str">
        <f aca="false">VLOOKUP(B5,clasif_filas!$A$2:$J$39,2,FALSE())</f>
        <v>Productos de la agricultura, la horticultura y la jardinería comercial</v>
      </c>
      <c r="D5" s="21" t="n">
        <f aca="false">VLOOKUP(B5,clasif_filas!$A$2:$J$39,3,FALSE())</f>
        <v>1</v>
      </c>
      <c r="E5" s="21" t="str">
        <f aca="false">VLOOKUP(B5,clasif_filas!$A$2:$J$39,4,FALSE())</f>
        <v>Productos de la agricultura, la horticultura y la jardinería comercial</v>
      </c>
      <c r="F5" s="21" t="n">
        <f aca="false">VLOOKUP(B5,clasif_filas!$A$2:$J$39,5,FALSE())</f>
        <v>1</v>
      </c>
      <c r="G5" s="21" t="str">
        <f aca="false">VLOOKUP(B5,clasif_filas!$A$2:$J$39,6,FALSE())</f>
        <v>Biomasa que se cultiva para producir alimentos, forrajes, fibras y energía</v>
      </c>
      <c r="H5" s="21" t="n">
        <f aca="false">VLOOKUP(B5,clasif_filas!$A$2:$J$39,7,FALSE())</f>
        <v>0</v>
      </c>
      <c r="I5" s="21" t="str">
        <f aca="false">VLOOKUP(B5,clasif_filas!$A$2:$J$39,8,FALSE())</f>
        <v>Productos de la agricultura, la silvicultura yla pesca</v>
      </c>
      <c r="J5" s="21" t="n">
        <f aca="false">VLOOKUP(B5,clasif_filas!$A$2:$J$39,9,FALSE())</f>
        <v>1</v>
      </c>
      <c r="K5" s="61" t="str">
        <f aca="false">VLOOKUP(B5,clasif_filas!$A$2:$J$39,10,FALSE())</f>
        <v>Bioeconomía</v>
      </c>
    </row>
    <row r="6" customFormat="false" ht="14.25" hidden="false" customHeight="false" outlineLevel="0" collapsed="false">
      <c r="A6" s="81" t="s">
        <v>2342</v>
      </c>
      <c r="B6" s="17" t="n">
        <v>1</v>
      </c>
      <c r="C6" s="21" t="str">
        <f aca="false">VLOOKUP(B6,clasif_filas!$A$2:$J$39,2,FALSE())</f>
        <v>Productos de la agricultura, la horticultura y la jardinería comercial</v>
      </c>
      <c r="D6" s="21" t="n">
        <f aca="false">VLOOKUP(B6,clasif_filas!$A$2:$J$39,3,FALSE())</f>
        <v>1</v>
      </c>
      <c r="E6" s="21" t="str">
        <f aca="false">VLOOKUP(B6,clasif_filas!$A$2:$J$39,4,FALSE())</f>
        <v>Productos de la agricultura, la horticultura y la jardinería comercial</v>
      </c>
      <c r="F6" s="21" t="n">
        <f aca="false">VLOOKUP(B6,clasif_filas!$A$2:$J$39,5,FALSE())</f>
        <v>1</v>
      </c>
      <c r="G6" s="21" t="str">
        <f aca="false">VLOOKUP(B6,clasif_filas!$A$2:$J$39,6,FALSE())</f>
        <v>Biomasa que se cultiva para producir alimentos, forrajes, fibras y energía</v>
      </c>
      <c r="H6" s="21" t="n">
        <f aca="false">VLOOKUP(B6,clasif_filas!$A$2:$J$39,7,FALSE())</f>
        <v>0</v>
      </c>
      <c r="I6" s="21" t="str">
        <f aca="false">VLOOKUP(B6,clasif_filas!$A$2:$J$39,8,FALSE())</f>
        <v>Productos de la agricultura, la silvicultura yla pesca</v>
      </c>
      <c r="J6" s="21" t="n">
        <f aca="false">VLOOKUP(B6,clasif_filas!$A$2:$J$39,9,FALSE())</f>
        <v>1</v>
      </c>
      <c r="K6" s="61" t="str">
        <f aca="false">VLOOKUP(B6,clasif_filas!$A$2:$J$39,10,FALSE())</f>
        <v>Bioeconomía</v>
      </c>
    </row>
    <row r="7" customFormat="false" ht="14.25" hidden="false" customHeight="false" outlineLevel="0" collapsed="false">
      <c r="A7" s="81" t="s">
        <v>2343</v>
      </c>
      <c r="B7" s="17" t="n">
        <v>1</v>
      </c>
      <c r="C7" s="21" t="str">
        <f aca="false">VLOOKUP(B7,clasif_filas!$A$2:$J$39,2,FALSE())</f>
        <v>Productos de la agricultura, la horticultura y la jardinería comercial</v>
      </c>
      <c r="D7" s="21" t="n">
        <f aca="false">VLOOKUP(B7,clasif_filas!$A$2:$J$39,3,FALSE())</f>
        <v>1</v>
      </c>
      <c r="E7" s="21" t="str">
        <f aca="false">VLOOKUP(B7,clasif_filas!$A$2:$J$39,4,FALSE())</f>
        <v>Productos de la agricultura, la horticultura y la jardinería comercial</v>
      </c>
      <c r="F7" s="21" t="n">
        <f aca="false">VLOOKUP(B7,clasif_filas!$A$2:$J$39,5,FALSE())</f>
        <v>1</v>
      </c>
      <c r="G7" s="21" t="str">
        <f aca="false">VLOOKUP(B7,clasif_filas!$A$2:$J$39,6,FALSE())</f>
        <v>Biomasa que se cultiva para producir alimentos, forrajes, fibras y energía</v>
      </c>
      <c r="H7" s="21" t="n">
        <f aca="false">VLOOKUP(B7,clasif_filas!$A$2:$J$39,7,FALSE())</f>
        <v>0</v>
      </c>
      <c r="I7" s="21" t="str">
        <f aca="false">VLOOKUP(B7,clasif_filas!$A$2:$J$39,8,FALSE())</f>
        <v>Productos de la agricultura, la silvicultura yla pesca</v>
      </c>
      <c r="J7" s="21" t="n">
        <f aca="false">VLOOKUP(B7,clasif_filas!$A$2:$J$39,9,FALSE())</f>
        <v>1</v>
      </c>
      <c r="K7" s="61" t="str">
        <f aca="false">VLOOKUP(B7,clasif_filas!$A$2:$J$39,10,FALSE())</f>
        <v>Bioeconomía</v>
      </c>
    </row>
    <row r="8" customFormat="false" ht="14.25" hidden="false" customHeight="false" outlineLevel="0" collapsed="false">
      <c r="A8" s="81" t="s">
        <v>2344</v>
      </c>
      <c r="B8" s="17" t="n">
        <v>1</v>
      </c>
      <c r="C8" s="21" t="str">
        <f aca="false">VLOOKUP(B8,clasif_filas!$A$2:$J$39,2,FALSE())</f>
        <v>Productos de la agricultura, la horticultura y la jardinería comercial</v>
      </c>
      <c r="D8" s="21" t="n">
        <f aca="false">VLOOKUP(B8,clasif_filas!$A$2:$J$39,3,FALSE())</f>
        <v>1</v>
      </c>
      <c r="E8" s="21" t="str">
        <f aca="false">VLOOKUP(B8,clasif_filas!$A$2:$J$39,4,FALSE())</f>
        <v>Productos de la agricultura, la horticultura y la jardinería comercial</v>
      </c>
      <c r="F8" s="21" t="n">
        <f aca="false">VLOOKUP(B8,clasif_filas!$A$2:$J$39,5,FALSE())</f>
        <v>1</v>
      </c>
      <c r="G8" s="21" t="str">
        <f aca="false">VLOOKUP(B8,clasif_filas!$A$2:$J$39,6,FALSE())</f>
        <v>Biomasa que se cultiva para producir alimentos, forrajes, fibras y energía</v>
      </c>
      <c r="H8" s="21" t="n">
        <f aca="false">VLOOKUP(B8,clasif_filas!$A$2:$J$39,7,FALSE())</f>
        <v>0</v>
      </c>
      <c r="I8" s="21" t="str">
        <f aca="false">VLOOKUP(B8,clasif_filas!$A$2:$J$39,8,FALSE())</f>
        <v>Productos de la agricultura, la silvicultura yla pesca</v>
      </c>
      <c r="J8" s="21" t="n">
        <f aca="false">VLOOKUP(B8,clasif_filas!$A$2:$J$39,9,FALSE())</f>
        <v>1</v>
      </c>
      <c r="K8" s="61" t="str">
        <f aca="false">VLOOKUP(B8,clasif_filas!$A$2:$J$39,10,FALSE())</f>
        <v>Bioeconomía</v>
      </c>
    </row>
    <row r="9" customFormat="false" ht="14.25" hidden="false" customHeight="false" outlineLevel="0" collapsed="false">
      <c r="A9" s="81" t="s">
        <v>2345</v>
      </c>
      <c r="B9" s="17" t="n">
        <v>1</v>
      </c>
      <c r="C9" s="21" t="str">
        <f aca="false">VLOOKUP(B9,clasif_filas!$A$2:$J$39,2,FALSE())</f>
        <v>Productos de la agricultura, la horticultura y la jardinería comercial</v>
      </c>
      <c r="D9" s="21" t="n">
        <f aca="false">VLOOKUP(B9,clasif_filas!$A$2:$J$39,3,FALSE())</f>
        <v>1</v>
      </c>
      <c r="E9" s="21" t="str">
        <f aca="false">VLOOKUP(B9,clasif_filas!$A$2:$J$39,4,FALSE())</f>
        <v>Productos de la agricultura, la horticultura y la jardinería comercial</v>
      </c>
      <c r="F9" s="21" t="n">
        <f aca="false">VLOOKUP(B9,clasif_filas!$A$2:$J$39,5,FALSE())</f>
        <v>1</v>
      </c>
      <c r="G9" s="21" t="str">
        <f aca="false">VLOOKUP(B9,clasif_filas!$A$2:$J$39,6,FALSE())</f>
        <v>Biomasa que se cultiva para producir alimentos, forrajes, fibras y energía</v>
      </c>
      <c r="H9" s="21" t="n">
        <f aca="false">VLOOKUP(B9,clasif_filas!$A$2:$J$39,7,FALSE())</f>
        <v>0</v>
      </c>
      <c r="I9" s="21" t="str">
        <f aca="false">VLOOKUP(B9,clasif_filas!$A$2:$J$39,8,FALSE())</f>
        <v>Productos de la agricultura, la silvicultura yla pesca</v>
      </c>
      <c r="J9" s="21" t="n">
        <f aca="false">VLOOKUP(B9,clasif_filas!$A$2:$J$39,9,FALSE())</f>
        <v>1</v>
      </c>
      <c r="K9" s="61" t="str">
        <f aca="false">VLOOKUP(B9,clasif_filas!$A$2:$J$39,10,FALSE())</f>
        <v>Bioeconomía</v>
      </c>
    </row>
    <row r="10" customFormat="false" ht="14.25" hidden="false" customHeight="false" outlineLevel="0" collapsed="false">
      <c r="A10" s="81" t="s">
        <v>2346</v>
      </c>
      <c r="B10" s="17" t="n">
        <v>1</v>
      </c>
      <c r="C10" s="21" t="str">
        <f aca="false">VLOOKUP(B10,clasif_filas!$A$2:$J$39,2,FALSE())</f>
        <v>Productos de la agricultura, la horticultura y la jardinería comercial</v>
      </c>
      <c r="D10" s="21" t="n">
        <f aca="false">VLOOKUP(B10,clasif_filas!$A$2:$J$39,3,FALSE())</f>
        <v>1</v>
      </c>
      <c r="E10" s="21" t="str">
        <f aca="false">VLOOKUP(B10,clasif_filas!$A$2:$J$39,4,FALSE())</f>
        <v>Productos de la agricultura, la horticultura y la jardinería comercial</v>
      </c>
      <c r="F10" s="21" t="n">
        <f aca="false">VLOOKUP(B10,clasif_filas!$A$2:$J$39,5,FALSE())</f>
        <v>1</v>
      </c>
      <c r="G10" s="21" t="str">
        <f aca="false">VLOOKUP(B10,clasif_filas!$A$2:$J$39,6,FALSE())</f>
        <v>Biomasa que se cultiva para producir alimentos, forrajes, fibras y energía</v>
      </c>
      <c r="H10" s="21" t="n">
        <f aca="false">VLOOKUP(B10,clasif_filas!$A$2:$J$39,7,FALSE())</f>
        <v>0</v>
      </c>
      <c r="I10" s="21" t="str">
        <f aca="false">VLOOKUP(B10,clasif_filas!$A$2:$J$39,8,FALSE())</f>
        <v>Productos de la agricultura, la silvicultura yla pesca</v>
      </c>
      <c r="J10" s="21" t="n">
        <f aca="false">VLOOKUP(B10,clasif_filas!$A$2:$J$39,9,FALSE())</f>
        <v>1</v>
      </c>
      <c r="K10" s="61" t="str">
        <f aca="false">VLOOKUP(B10,clasif_filas!$A$2:$J$39,10,FALSE())</f>
        <v>Bioeconomía</v>
      </c>
    </row>
    <row r="11" customFormat="false" ht="14.25" hidden="false" customHeight="false" outlineLevel="0" collapsed="false">
      <c r="A11" s="81" t="s">
        <v>2347</v>
      </c>
      <c r="B11" s="17" t="n">
        <v>2</v>
      </c>
      <c r="C11" s="21" t="str">
        <f aca="false">VLOOKUP(B11,clasif_filas!$A$2:$J$39,2,FALSE())</f>
        <v>Animales vivos y productos animales (excepto la carne)</v>
      </c>
      <c r="D11" s="21" t="n">
        <f aca="false">VLOOKUP(B11,clasif_filas!$A$2:$J$39,3,FALSE())</f>
        <v>2</v>
      </c>
      <c r="E11" s="21" t="str">
        <f aca="false">VLOOKUP(B11,clasif_filas!$A$2:$J$39,4,FALSE())</f>
        <v>Animales vivos y productos animales (excepto la carne)</v>
      </c>
      <c r="F11" s="21" t="n">
        <f aca="false">VLOOKUP(B11,clasif_filas!$A$2:$J$39,5,FALSE())</f>
        <v>1</v>
      </c>
      <c r="G11" s="21" t="str">
        <f aca="false">VLOOKUP(B11,clasif_filas!$A$2:$J$39,6,FALSE())</f>
        <v>Biomasa que se cultiva para producir alimentos, forrajes, fibras y energía</v>
      </c>
      <c r="H11" s="21" t="n">
        <f aca="false">VLOOKUP(B11,clasif_filas!$A$2:$J$39,7,FALSE())</f>
        <v>0</v>
      </c>
      <c r="I11" s="21" t="str">
        <f aca="false">VLOOKUP(B11,clasif_filas!$A$2:$J$39,8,FALSE())</f>
        <v>Productos de la agricultura, la silvicultura yla pesca</v>
      </c>
      <c r="J11" s="21" t="n">
        <f aca="false">VLOOKUP(B11,clasif_filas!$A$2:$J$39,9,FALSE())</f>
        <v>1</v>
      </c>
      <c r="K11" s="61" t="str">
        <f aca="false">VLOOKUP(B11,clasif_filas!$A$2:$J$39,10,FALSE())</f>
        <v>Bioeconomía</v>
      </c>
    </row>
    <row r="12" customFormat="false" ht="14.25" hidden="false" customHeight="false" outlineLevel="0" collapsed="false">
      <c r="A12" s="81" t="s">
        <v>2348</v>
      </c>
      <c r="B12" s="17" t="n">
        <v>2</v>
      </c>
      <c r="C12" s="21" t="str">
        <f aca="false">VLOOKUP(B12,clasif_filas!$A$2:$J$39,2,FALSE())</f>
        <v>Animales vivos y productos animales (excepto la carne)</v>
      </c>
      <c r="D12" s="21" t="n">
        <f aca="false">VLOOKUP(B12,clasif_filas!$A$2:$J$39,3,FALSE())</f>
        <v>2</v>
      </c>
      <c r="E12" s="21" t="str">
        <f aca="false">VLOOKUP(B12,clasif_filas!$A$2:$J$39,4,FALSE())</f>
        <v>Animales vivos y productos animales (excepto la carne)</v>
      </c>
      <c r="F12" s="21" t="n">
        <f aca="false">VLOOKUP(B12,clasif_filas!$A$2:$J$39,5,FALSE())</f>
        <v>1</v>
      </c>
      <c r="G12" s="21" t="str">
        <f aca="false">VLOOKUP(B12,clasif_filas!$A$2:$J$39,6,FALSE())</f>
        <v>Biomasa que se cultiva para producir alimentos, forrajes, fibras y energía</v>
      </c>
      <c r="H12" s="21" t="n">
        <f aca="false">VLOOKUP(B12,clasif_filas!$A$2:$J$39,7,FALSE())</f>
        <v>0</v>
      </c>
      <c r="I12" s="21" t="str">
        <f aca="false">VLOOKUP(B12,clasif_filas!$A$2:$J$39,8,FALSE())</f>
        <v>Productos de la agricultura, la silvicultura yla pesca</v>
      </c>
      <c r="J12" s="21" t="n">
        <f aca="false">VLOOKUP(B12,clasif_filas!$A$2:$J$39,9,FALSE())</f>
        <v>1</v>
      </c>
      <c r="K12" s="61" t="str">
        <f aca="false">VLOOKUP(B12,clasif_filas!$A$2:$J$39,10,FALSE())</f>
        <v>Bioeconomía</v>
      </c>
    </row>
    <row r="13" customFormat="false" ht="14.25" hidden="false" customHeight="false" outlineLevel="0" collapsed="false">
      <c r="A13" s="81" t="s">
        <v>2349</v>
      </c>
      <c r="B13" s="17" t="n">
        <v>3</v>
      </c>
      <c r="C13" s="21" t="str">
        <f aca="false">VLOOKUP(B13,clasif_filas!$A$2:$J$39,2,FALSE())</f>
        <v>Productos forestales y de la tala</v>
      </c>
      <c r="D13" s="21" t="n">
        <f aca="false">VLOOKUP(B13,clasif_filas!$A$2:$J$39,3,FALSE())</f>
        <v>3</v>
      </c>
      <c r="E13" s="21" t="str">
        <f aca="false">VLOOKUP(B13,clasif_filas!$A$2:$J$39,4,FALSE())</f>
        <v>Productos forestales y de la tala</v>
      </c>
      <c r="F13" s="21" t="n">
        <f aca="false">VLOOKUP(B13,clasif_filas!$A$2:$J$39,5,FALSE())</f>
        <v>3</v>
      </c>
      <c r="G13" s="21" t="str">
        <f aca="false">VLOOKUP(B13,clasif_filas!$A$2:$J$39,6,FALSE())</f>
        <v>Biomasa forestal, sobre todo la que se cultiva para su aprovechamiento en las industrias forestal y del papel, y aquella extraída legalmente de ecosistemas naturales</v>
      </c>
      <c r="H13" s="21" t="n">
        <f aca="false">VLOOKUP(B13,clasif_filas!$A$2:$J$39,7,FALSE())</f>
        <v>0</v>
      </c>
      <c r="I13" s="21" t="str">
        <f aca="false">VLOOKUP(B13,clasif_filas!$A$2:$J$39,8,FALSE())</f>
        <v>Productos de la agricultura, la silvicultura yla pesca</v>
      </c>
      <c r="J13" s="21" t="n">
        <f aca="false">VLOOKUP(B13,clasif_filas!$A$2:$J$39,9,FALSE())</f>
        <v>1</v>
      </c>
      <c r="K13" s="61" t="str">
        <f aca="false">VLOOKUP(B13,clasif_filas!$A$2:$J$39,10,FALSE())</f>
        <v>Bioeconomía</v>
      </c>
    </row>
    <row r="14" customFormat="false" ht="14.25" hidden="false" customHeight="false" outlineLevel="0" collapsed="false">
      <c r="A14" s="81" t="s">
        <v>2350</v>
      </c>
      <c r="B14" s="17" t="n">
        <v>4</v>
      </c>
      <c r="C14" s="21" t="str">
        <f aca="false">VLOOKUP(B14,clasif_filas!$A$2:$J$39,2,FALSE())</f>
        <v>Pescado y otros productos de la pesca</v>
      </c>
      <c r="D14" s="21" t="n">
        <f aca="false">VLOOKUP(B14,clasif_filas!$A$2:$J$39,3,FALSE())</f>
        <v>4</v>
      </c>
      <c r="E14" s="21" t="str">
        <f aca="false">VLOOKUP(B14,clasif_filas!$A$2:$J$39,4,FALSE())</f>
        <v>Pescado y otros productos de la pesca</v>
      </c>
      <c r="F14" s="21" t="n">
        <f aca="false">VLOOKUP(B14,clasif_filas!$A$2:$J$39,5,FALSE())</f>
        <v>2</v>
      </c>
      <c r="G14" s="21" t="str">
        <f aca="false">VLOOKUP(B14,clasif_filas!$A$2:$J$39,6,FALSE())</f>
        <v>Biomasa de los recursos marinos y la producida mediante la acuicultura</v>
      </c>
      <c r="H14" s="21" t="n">
        <f aca="false">VLOOKUP(B14,clasif_filas!$A$2:$J$39,7,FALSE())</f>
        <v>0</v>
      </c>
      <c r="I14" s="21" t="str">
        <f aca="false">VLOOKUP(B14,clasif_filas!$A$2:$J$39,8,FALSE())</f>
        <v>Productos de la agricultura, la silvicultura yla pesca</v>
      </c>
      <c r="J14" s="21" t="n">
        <f aca="false">VLOOKUP(B14,clasif_filas!$A$2:$J$39,9,FALSE())</f>
        <v>1</v>
      </c>
      <c r="K14" s="61" t="str">
        <f aca="false">VLOOKUP(B14,clasif_filas!$A$2:$J$39,10,FALSE())</f>
        <v>Bioeconomía</v>
      </c>
    </row>
    <row r="15" customFormat="false" ht="14.25" hidden="false" customHeight="false" outlineLevel="0" collapsed="false">
      <c r="A15" s="81" t="s">
        <v>2351</v>
      </c>
      <c r="B15" s="21" t="n">
        <v>11</v>
      </c>
      <c r="C15" s="21" t="str">
        <f aca="false">VLOOKUP(B15,clasif_filas!$A$2:$J$39,2,FALSE())</f>
        <v>Minerales, combustibles y derivados</v>
      </c>
      <c r="D15" s="21" t="n">
        <f aca="false">VLOOKUP(B15,clasif_filas!$A$2:$J$39,3,FALSE())</f>
        <v>11</v>
      </c>
      <c r="E15" s="21" t="str">
        <f aca="false">VLOOKUP(B15,clasif_filas!$A$2:$J$39,4,FALSE())</f>
        <v>Minerales, combustibles y derivados</v>
      </c>
      <c r="F15" s="21" t="n">
        <f aca="false">VLOOKUP(B15,clasif_filas!$A$2:$J$39,5,FALSE())</f>
        <v>99</v>
      </c>
      <c r="G15" s="21" t="str">
        <f aca="false">VLOOKUP(B15,clasif_filas!$A$2:$J$39,6,FALSE())</f>
        <v>No Bioeconomía</v>
      </c>
      <c r="H15" s="21" t="n">
        <f aca="false">VLOOKUP(B15,clasif_filas!$A$2:$J$39,7,FALSE())</f>
        <v>1</v>
      </c>
      <c r="I15" s="21" t="str">
        <f aca="false">VLOOKUP(B15,clasif_filas!$A$2:$J$39,8,FALSE())</f>
        <v>Minerales; electricidad, gas y agua</v>
      </c>
      <c r="J15" s="21" t="n">
        <f aca="false">VLOOKUP(B15,clasif_filas!$A$2:$J$39,9,FALSE())</f>
        <v>3</v>
      </c>
      <c r="K15" s="61" t="str">
        <f aca="false">VLOOKUP(B15,clasif_filas!$A$2:$J$39,10,FALSE())</f>
        <v>No bioeconomía</v>
      </c>
    </row>
    <row r="16" customFormat="false" ht="14.25" hidden="false" customHeight="false" outlineLevel="0" collapsed="false">
      <c r="A16" s="81" t="s">
        <v>2352</v>
      </c>
      <c r="B16" s="21" t="n">
        <v>37</v>
      </c>
      <c r="C16" s="21" t="str">
        <f aca="false">VLOOKUP(B16,clasif_filas!$A$2:$J$39,2,FALSE())</f>
        <v>Vidrios y productos de vidrio y otros productos no metálicos n.c.p.</v>
      </c>
      <c r="D16" s="21" t="n">
        <f aca="false">VLOOKUP(B16,clasif_filas!$A$2:$J$39,3,FALSE())</f>
        <v>37</v>
      </c>
      <c r="E16" s="21" t="str">
        <f aca="false">VLOOKUP(B16,clasif_filas!$A$2:$J$39,4,FALSE())</f>
        <v>Vidrios y productos de vidrio y otros productos no metálicos n.c.p.</v>
      </c>
      <c r="F16" s="21" t="n">
        <f aca="false">VLOOKUP(B16,clasif_filas!$A$2:$J$39,5,FALSE())</f>
        <v>99</v>
      </c>
      <c r="G16" s="21" t="str">
        <f aca="false">VLOOKUP(B16,clasif_filas!$A$2:$J$39,6,FALSE())</f>
        <v>No Bioeconomía</v>
      </c>
      <c r="H16" s="21" t="n">
        <f aca="false">VLOOKUP(B16,clasif_filas!$A$2:$J$39,7,FALSE())</f>
        <v>3</v>
      </c>
      <c r="I16" s="21" t="str">
        <f aca="false">VLOOKUP(B16,clasif_filas!$A$2:$J$39,8,FALSE())</f>
        <v>Otros bienes transportables, excepto productos metálicos, maquinaria y equipo</v>
      </c>
      <c r="J16" s="21" t="n">
        <f aca="false">VLOOKUP(B16,clasif_filas!$A$2:$J$39,9,FALSE())</f>
        <v>3</v>
      </c>
      <c r="K16" s="61" t="str">
        <f aca="false">VLOOKUP(B16,clasif_filas!$A$2:$J$39,10,FALSE())</f>
        <v>No bioeconomía</v>
      </c>
    </row>
    <row r="17" customFormat="false" ht="14.25" hidden="false" customHeight="false" outlineLevel="0" collapsed="false">
      <c r="A17" s="81" t="s">
        <v>2353</v>
      </c>
      <c r="B17" s="21" t="n">
        <v>37</v>
      </c>
      <c r="C17" s="21" t="str">
        <f aca="false">VLOOKUP(B17,clasif_filas!$A$2:$J$39,2,FALSE())</f>
        <v>Vidrios y productos de vidrio y otros productos no metálicos n.c.p.</v>
      </c>
      <c r="D17" s="21" t="n">
        <f aca="false">VLOOKUP(B17,clasif_filas!$A$2:$J$39,3,FALSE())</f>
        <v>37</v>
      </c>
      <c r="E17" s="21" t="str">
        <f aca="false">VLOOKUP(B17,clasif_filas!$A$2:$J$39,4,FALSE())</f>
        <v>Vidrios y productos de vidrio y otros productos no metálicos n.c.p.</v>
      </c>
      <c r="F17" s="21" t="n">
        <f aca="false">VLOOKUP(B17,clasif_filas!$A$2:$J$39,5,FALSE())</f>
        <v>99</v>
      </c>
      <c r="G17" s="21" t="str">
        <f aca="false">VLOOKUP(B17,clasif_filas!$A$2:$J$39,6,FALSE())</f>
        <v>No Bioeconomía</v>
      </c>
      <c r="H17" s="21" t="n">
        <f aca="false">VLOOKUP(B17,clasif_filas!$A$2:$J$39,7,FALSE())</f>
        <v>3</v>
      </c>
      <c r="I17" s="21" t="str">
        <f aca="false">VLOOKUP(B17,clasif_filas!$A$2:$J$39,8,FALSE())</f>
        <v>Otros bienes transportables, excepto productos metálicos, maquinaria y equipo</v>
      </c>
      <c r="J17" s="21" t="n">
        <f aca="false">VLOOKUP(B17,clasif_filas!$A$2:$J$39,9,FALSE())</f>
        <v>3</v>
      </c>
      <c r="K17" s="61" t="str">
        <f aca="false">VLOOKUP(B17,clasif_filas!$A$2:$J$39,10,FALSE())</f>
        <v>No bioeconomía</v>
      </c>
    </row>
    <row r="18" customFormat="false" ht="14.25" hidden="false" customHeight="false" outlineLevel="0" collapsed="false">
      <c r="A18" s="81" t="s">
        <v>2354</v>
      </c>
      <c r="B18" s="21" t="n">
        <v>11</v>
      </c>
      <c r="C18" s="21" t="str">
        <f aca="false">VLOOKUP(B18,clasif_filas!$A$2:$J$39,2,FALSE())</f>
        <v>Minerales, combustibles y derivados</v>
      </c>
      <c r="D18" s="21" t="n">
        <f aca="false">VLOOKUP(B18,clasif_filas!$A$2:$J$39,3,FALSE())</f>
        <v>11</v>
      </c>
      <c r="E18" s="21" t="str">
        <f aca="false">VLOOKUP(B18,clasif_filas!$A$2:$J$39,4,FALSE())</f>
        <v>Minerales, combustibles y derivados</v>
      </c>
      <c r="F18" s="21" t="n">
        <f aca="false">VLOOKUP(B18,clasif_filas!$A$2:$J$39,5,FALSE())</f>
        <v>99</v>
      </c>
      <c r="G18" s="21" t="str">
        <f aca="false">VLOOKUP(B18,clasif_filas!$A$2:$J$39,6,FALSE())</f>
        <v>No Bioeconomía</v>
      </c>
      <c r="H18" s="21" t="n">
        <f aca="false">VLOOKUP(B18,clasif_filas!$A$2:$J$39,7,FALSE())</f>
        <v>1</v>
      </c>
      <c r="I18" s="21" t="str">
        <f aca="false">VLOOKUP(B18,clasif_filas!$A$2:$J$39,8,FALSE())</f>
        <v>Minerales; electricidad, gas y agua</v>
      </c>
      <c r="J18" s="21" t="n">
        <f aca="false">VLOOKUP(B18,clasif_filas!$A$2:$J$39,9,FALSE())</f>
        <v>3</v>
      </c>
      <c r="K18" s="61" t="str">
        <f aca="false">VLOOKUP(B18,clasif_filas!$A$2:$J$39,10,FALSE())</f>
        <v>No bioeconomía</v>
      </c>
    </row>
    <row r="19" customFormat="false" ht="14.25" hidden="false" customHeight="false" outlineLevel="0" collapsed="false">
      <c r="A19" s="81" t="s">
        <v>2355</v>
      </c>
      <c r="B19" s="21" t="n">
        <v>21</v>
      </c>
      <c r="C19" s="21" t="str">
        <f aca="false">VLOOKUP(B19,clasif_filas!$A$2:$J$39,2,FALSE())</f>
        <v>Carne, pescado, frutas, vegetales, aceites y grasas</v>
      </c>
      <c r="D19" s="21" t="n">
        <f aca="false">VLOOKUP(B19,clasif_filas!$A$2:$J$39,3,FALSE())</f>
        <v>21</v>
      </c>
      <c r="E19" s="21" t="str">
        <f aca="false">VLOOKUP(B19,clasif_filas!$A$2:$J$39,4,FALSE())</f>
        <v>Carne, pescado, frutas, vegetales, aceites y grasas</v>
      </c>
      <c r="F19" s="21" t="n">
        <f aca="false">VLOOKUP(B19,clasif_filas!$A$2:$J$39,5,FALSE())</f>
        <v>6</v>
      </c>
      <c r="G19" s="21" t="str">
        <f aca="false">VLOOKUP(B19,clasif_filas!$A$2:$J$39,6,FALSE())</f>
        <v>Conocimiento, procesos y servicios relacionados</v>
      </c>
      <c r="H19" s="21" t="n">
        <f aca="false">VLOOKUP(B19,clasif_filas!$A$2:$J$39,7,FALSE())</f>
        <v>2</v>
      </c>
      <c r="I19" s="21" t="str">
        <f aca="false">VLOOKUP(B19,clasif_filas!$A$2:$J$39,8,FALSE())</f>
        <v>Productos alimenticios, bebidas y tabaco; textiles, prendas de vestir y productos de cuero</v>
      </c>
      <c r="J19" s="21" t="n">
        <f aca="false">VLOOKUP(B19,clasif_filas!$A$2:$J$39,9,FALSE())</f>
        <v>1</v>
      </c>
      <c r="K19" s="61" t="str">
        <f aca="false">VLOOKUP(B19,clasif_filas!$A$2:$J$39,10,FALSE())</f>
        <v>Bioeconomía</v>
      </c>
    </row>
    <row r="20" customFormat="false" ht="14.25" hidden="false" customHeight="false" outlineLevel="0" collapsed="false">
      <c r="A20" s="81" t="s">
        <v>2356</v>
      </c>
      <c r="B20" s="21" t="n">
        <v>21</v>
      </c>
      <c r="C20" s="21" t="str">
        <f aca="false">VLOOKUP(B20,clasif_filas!$A$2:$J$39,2,FALSE())</f>
        <v>Carne, pescado, frutas, vegetales, aceites y grasas</v>
      </c>
      <c r="D20" s="21" t="n">
        <f aca="false">VLOOKUP(B20,clasif_filas!$A$2:$J$39,3,FALSE())</f>
        <v>21</v>
      </c>
      <c r="E20" s="21" t="str">
        <f aca="false">VLOOKUP(B20,clasif_filas!$A$2:$J$39,4,FALSE())</f>
        <v>Carne, pescado, frutas, vegetales, aceites y grasas</v>
      </c>
      <c r="F20" s="21" t="n">
        <f aca="false">VLOOKUP(B20,clasif_filas!$A$2:$J$39,5,FALSE())</f>
        <v>6</v>
      </c>
      <c r="G20" s="21" t="str">
        <f aca="false">VLOOKUP(B20,clasif_filas!$A$2:$J$39,6,FALSE())</f>
        <v>Conocimiento, procesos y servicios relacionados</v>
      </c>
      <c r="H20" s="21" t="n">
        <f aca="false">VLOOKUP(B20,clasif_filas!$A$2:$J$39,7,FALSE())</f>
        <v>2</v>
      </c>
      <c r="I20" s="21" t="str">
        <f aca="false">VLOOKUP(B20,clasif_filas!$A$2:$J$39,8,FALSE())</f>
        <v>Productos alimenticios, bebidas y tabaco; textiles, prendas de vestir y productos de cuero</v>
      </c>
      <c r="J20" s="21" t="n">
        <f aca="false">VLOOKUP(B20,clasif_filas!$A$2:$J$39,9,FALSE())</f>
        <v>1</v>
      </c>
      <c r="K20" s="61" t="str">
        <f aca="false">VLOOKUP(B20,clasif_filas!$A$2:$J$39,10,FALSE())</f>
        <v>Bioeconomía</v>
      </c>
    </row>
    <row r="21" customFormat="false" ht="14.25" hidden="false" customHeight="false" outlineLevel="0" collapsed="false">
      <c r="A21" s="81" t="s">
        <v>2357</v>
      </c>
      <c r="B21" s="21" t="n">
        <v>22</v>
      </c>
      <c r="C21" s="21" t="str">
        <f aca="false">VLOOKUP(B21,clasif_filas!$A$2:$J$39,2,FALSE())</f>
        <v>Productos lácteos y productos de huevo</v>
      </c>
      <c r="D21" s="21" t="n">
        <f aca="false">VLOOKUP(B21,clasif_filas!$A$2:$J$39,3,FALSE())</f>
        <v>22</v>
      </c>
      <c r="E21" s="21" t="str">
        <f aca="false">VLOOKUP(B21,clasif_filas!$A$2:$J$39,4,FALSE())</f>
        <v>Productos lácteos y productos de huevo</v>
      </c>
      <c r="F21" s="21" t="n">
        <f aca="false">VLOOKUP(B21,clasif_filas!$A$2:$J$39,5,FALSE())</f>
        <v>6</v>
      </c>
      <c r="G21" s="21" t="str">
        <f aca="false">VLOOKUP(B21,clasif_filas!$A$2:$J$39,6,FALSE())</f>
        <v>Conocimiento, procesos y servicios relacionados</v>
      </c>
      <c r="H21" s="21" t="n">
        <f aca="false">VLOOKUP(B21,clasif_filas!$A$2:$J$39,7,FALSE())</f>
        <v>2</v>
      </c>
      <c r="I21" s="21" t="str">
        <f aca="false">VLOOKUP(B21,clasif_filas!$A$2:$J$39,8,FALSE())</f>
        <v>Productos alimenticios, bebidas y tabaco; textiles, prendas de vestir y productos de cuero</v>
      </c>
      <c r="J21" s="21" t="n">
        <f aca="false">VLOOKUP(B21,clasif_filas!$A$2:$J$39,9,FALSE())</f>
        <v>1</v>
      </c>
      <c r="K21" s="61" t="str">
        <f aca="false">VLOOKUP(B21,clasif_filas!$A$2:$J$39,10,FALSE())</f>
        <v>Bioeconomía</v>
      </c>
    </row>
    <row r="22" customFormat="false" ht="14.25" hidden="false" customHeight="false" outlineLevel="0" collapsed="false">
      <c r="A22" s="81" t="s">
        <v>2358</v>
      </c>
      <c r="B22" s="21" t="n">
        <v>23</v>
      </c>
      <c r="C22" s="21" t="str">
        <f aca="false">VLOOKUP(B22,clasif_filas!$A$2:$J$39,2,FALSE())</f>
        <v>Productos de molienda, productos con almidón o maicena; otros productos de alimenticios</v>
      </c>
      <c r="D22" s="21" t="n">
        <f aca="false">VLOOKUP(B22,clasif_filas!$A$2:$J$39,3,FALSE())</f>
        <v>23</v>
      </c>
      <c r="E22" s="21" t="str">
        <f aca="false">VLOOKUP(B22,clasif_filas!$A$2:$J$39,4,FALSE())</f>
        <v>Productos de molienda, productos con almidón o maicena; otros productos de alimenticios</v>
      </c>
      <c r="F22" s="21" t="n">
        <f aca="false">VLOOKUP(B22,clasif_filas!$A$2:$J$39,5,FALSE())</f>
        <v>6</v>
      </c>
      <c r="G22" s="21" t="str">
        <f aca="false">VLOOKUP(B22,clasif_filas!$A$2:$J$39,6,FALSE())</f>
        <v>Conocimiento, procesos y servicios relacionados</v>
      </c>
      <c r="H22" s="21" t="n">
        <f aca="false">VLOOKUP(B22,clasif_filas!$A$2:$J$39,7,FALSE())</f>
        <v>2</v>
      </c>
      <c r="I22" s="21" t="str">
        <f aca="false">VLOOKUP(B22,clasif_filas!$A$2:$J$39,8,FALSE())</f>
        <v>Productos alimenticios, bebidas y tabaco; textiles, prendas de vestir y productos de cuero</v>
      </c>
      <c r="J22" s="21" t="n">
        <f aca="false">VLOOKUP(B22,clasif_filas!$A$2:$J$39,9,FALSE())</f>
        <v>1</v>
      </c>
      <c r="K22" s="61" t="str">
        <f aca="false">VLOOKUP(B22,clasif_filas!$A$2:$J$39,10,FALSE())</f>
        <v>Bioeconomía</v>
      </c>
    </row>
    <row r="23" customFormat="false" ht="14.25" hidden="false" customHeight="false" outlineLevel="0" collapsed="false">
      <c r="A23" s="81" t="s">
        <v>2359</v>
      </c>
      <c r="B23" s="21" t="n">
        <v>24</v>
      </c>
      <c r="C23" s="21" t="str">
        <f aca="false">VLOOKUP(B23,clasif_filas!$A$2:$J$39,2,FALSE())</f>
        <v>Bebidas</v>
      </c>
      <c r="D23" s="21" t="n">
        <f aca="false">VLOOKUP(B23,clasif_filas!$A$2:$J$39,3,FALSE())</f>
        <v>24</v>
      </c>
      <c r="E23" s="21" t="str">
        <f aca="false">VLOOKUP(B23,clasif_filas!$A$2:$J$39,4,FALSE())</f>
        <v>Bebidas</v>
      </c>
      <c r="F23" s="21" t="n">
        <f aca="false">VLOOKUP(B23,clasif_filas!$A$2:$J$39,5,FALSE())</f>
        <v>6</v>
      </c>
      <c r="G23" s="21" t="str">
        <f aca="false">VLOOKUP(B23,clasif_filas!$A$2:$J$39,6,FALSE())</f>
        <v>Conocimiento, procesos y servicios relacionados</v>
      </c>
      <c r="H23" s="21" t="n">
        <f aca="false">VLOOKUP(B23,clasif_filas!$A$2:$J$39,7,FALSE())</f>
        <v>2</v>
      </c>
      <c r="I23" s="21" t="str">
        <f aca="false">VLOOKUP(B23,clasif_filas!$A$2:$J$39,8,FALSE())</f>
        <v>Productos alimenticios, bebidas y tabaco; textiles, prendas de vestir y productos de cuero</v>
      </c>
      <c r="J23" s="21" t="n">
        <f aca="false">VLOOKUP(B23,clasif_filas!$A$2:$J$39,9,FALSE())</f>
        <v>1</v>
      </c>
      <c r="K23" s="61" t="str">
        <f aca="false">VLOOKUP(B23,clasif_filas!$A$2:$J$39,10,FALSE())</f>
        <v>Bioeconomía</v>
      </c>
    </row>
    <row r="24" customFormat="false" ht="14.25" hidden="false" customHeight="false" outlineLevel="0" collapsed="false">
      <c r="A24" s="81" t="s">
        <v>2020</v>
      </c>
      <c r="B24" s="21" t="n">
        <v>25</v>
      </c>
      <c r="C24" s="21" t="str">
        <f aca="false">VLOOKUP(B24,clasif_filas!$A$2:$J$39,2,FALSE())</f>
        <v>Productos del tabaco</v>
      </c>
      <c r="D24" s="21" t="n">
        <f aca="false">VLOOKUP(B24,clasif_filas!$A$2:$J$39,3,FALSE())</f>
        <v>25</v>
      </c>
      <c r="E24" s="21" t="str">
        <f aca="false">VLOOKUP(B24,clasif_filas!$A$2:$J$39,4,FALSE())</f>
        <v>Productos del tabaco</v>
      </c>
      <c r="F24" s="21" t="n">
        <f aca="false">VLOOKUP(B24,clasif_filas!$A$2:$J$39,5,FALSE())</f>
        <v>6</v>
      </c>
      <c r="G24" s="21" t="str">
        <f aca="false">VLOOKUP(B24,clasif_filas!$A$2:$J$39,6,FALSE())</f>
        <v>Conocimiento, procesos y servicios relacionados</v>
      </c>
      <c r="H24" s="21" t="n">
        <f aca="false">VLOOKUP(B24,clasif_filas!$A$2:$J$39,7,FALSE())</f>
        <v>2</v>
      </c>
      <c r="I24" s="21" t="str">
        <f aca="false">VLOOKUP(B24,clasif_filas!$A$2:$J$39,8,FALSE())</f>
        <v>Productos alimenticios, bebidas y tabaco; textiles, prendas de vestir y productos de cuero</v>
      </c>
      <c r="J24" s="21" t="n">
        <f aca="false">VLOOKUP(B24,clasif_filas!$A$2:$J$39,9,FALSE())</f>
        <v>1</v>
      </c>
      <c r="K24" s="61" t="str">
        <f aca="false">VLOOKUP(B24,clasif_filas!$A$2:$J$39,10,FALSE())</f>
        <v>Bioeconomía</v>
      </c>
    </row>
    <row r="25" customFormat="false" ht="14.25" hidden="false" customHeight="false" outlineLevel="0" collapsed="false">
      <c r="A25" s="81" t="s">
        <v>2360</v>
      </c>
      <c r="B25" s="21" t="n">
        <v>26</v>
      </c>
      <c r="C25" s="21" t="str">
        <f aca="false">VLOOKUP(B25,clasif_filas!$A$2:$J$39,2,FALSE())</f>
        <v>Hilados e hilos; tejidos y telas afelpadas</v>
      </c>
      <c r="D25" s="21" t="n">
        <f aca="false">VLOOKUP(B25,clasif_filas!$A$2:$J$39,3,FALSE())</f>
        <v>26</v>
      </c>
      <c r="E25" s="21" t="str">
        <f aca="false">VLOOKUP(B25,clasif_filas!$A$2:$J$39,4,FALSE())</f>
        <v>Hilados e hilos; tejidos y telas afelpadas</v>
      </c>
      <c r="F25" s="21" t="n">
        <f aca="false">VLOOKUP(B25,clasif_filas!$A$2:$J$39,5,FALSE())</f>
        <v>6</v>
      </c>
      <c r="G25" s="21" t="str">
        <f aca="false">VLOOKUP(B25,clasif_filas!$A$2:$J$39,6,FALSE())</f>
        <v>Conocimiento, procesos y servicios relacionados</v>
      </c>
      <c r="H25" s="21" t="n">
        <f aca="false">VLOOKUP(B25,clasif_filas!$A$2:$J$39,7,FALSE())</f>
        <v>2</v>
      </c>
      <c r="I25" s="21" t="str">
        <f aca="false">VLOOKUP(B25,clasif_filas!$A$2:$J$39,8,FALSE())</f>
        <v>Productos alimenticios, bebidas y tabaco; textiles, prendas de vestir y productos de cuero</v>
      </c>
      <c r="J25" s="21" t="n">
        <f aca="false">VLOOKUP(B25,clasif_filas!$A$2:$J$39,9,FALSE())</f>
        <v>2</v>
      </c>
      <c r="K25" s="61" t="str">
        <f aca="false">VLOOKUP(B25,clasif_filas!$A$2:$J$39,10,FALSE())</f>
        <v>Bioeconomía extendida</v>
      </c>
    </row>
    <row r="26" customFormat="false" ht="14.25" hidden="false" customHeight="false" outlineLevel="0" collapsed="false">
      <c r="A26" s="81" t="s">
        <v>2361</v>
      </c>
      <c r="B26" s="21" t="n">
        <v>29</v>
      </c>
      <c r="C26" s="21" t="str">
        <f aca="false">VLOOKUP(B26,clasif_filas!$A$2:$J$39,2,FALSE())</f>
        <v>Cuero y productos de cuero; calzado</v>
      </c>
      <c r="D26" s="21" t="n">
        <f aca="false">VLOOKUP(B26,clasif_filas!$A$2:$J$39,3,FALSE())</f>
        <v>29</v>
      </c>
      <c r="E26" s="21" t="str">
        <f aca="false">VLOOKUP(B26,clasif_filas!$A$2:$J$39,4,FALSE())</f>
        <v>Cuero y productos de cuero; calzado</v>
      </c>
      <c r="F26" s="21" t="n">
        <f aca="false">VLOOKUP(B26,clasif_filas!$A$2:$J$39,5,FALSE())</f>
        <v>6</v>
      </c>
      <c r="G26" s="21" t="str">
        <f aca="false">VLOOKUP(B26,clasif_filas!$A$2:$J$39,6,FALSE())</f>
        <v>Conocimiento, procesos y servicios relacionados</v>
      </c>
      <c r="H26" s="21" t="n">
        <f aca="false">VLOOKUP(B26,clasif_filas!$A$2:$J$39,7,FALSE())</f>
        <v>2</v>
      </c>
      <c r="I26" s="21" t="str">
        <f aca="false">VLOOKUP(B26,clasif_filas!$A$2:$J$39,8,FALSE())</f>
        <v>Productos alimenticios, bebidas y tabaco; textiles, prendas de vestir y productos de cuero</v>
      </c>
      <c r="J26" s="21" t="n">
        <f aca="false">VLOOKUP(B26,clasif_filas!$A$2:$J$39,9,FALSE())</f>
        <v>2</v>
      </c>
      <c r="K26" s="61" t="str">
        <f aca="false">VLOOKUP(B26,clasif_filas!$A$2:$J$39,10,FALSE())</f>
        <v>Bioeconomía extendida</v>
      </c>
    </row>
    <row r="27" customFormat="false" ht="14.25" hidden="false" customHeight="false" outlineLevel="0" collapsed="false">
      <c r="A27" s="81" t="s">
        <v>2362</v>
      </c>
      <c r="B27" s="21" t="n">
        <v>31</v>
      </c>
      <c r="C27" s="21" t="str">
        <f aca="false">VLOOKUP(B27,clasif_filas!$A$2:$J$39,2,FALSE())</f>
        <v>Productos de materiales de madera, corcho, cestería y espartería</v>
      </c>
      <c r="D27" s="21" t="n">
        <f aca="false">VLOOKUP(B27,clasif_filas!$A$2:$J$39,3,FALSE())</f>
        <v>31</v>
      </c>
      <c r="E27" s="21" t="str">
        <f aca="false">VLOOKUP(B27,clasif_filas!$A$2:$J$39,4,FALSE())</f>
        <v>Productos de materiales de madera, corcho, cestería y espartería</v>
      </c>
      <c r="F27" s="21" t="n">
        <f aca="false">VLOOKUP(B27,clasif_filas!$A$2:$J$39,5,FALSE())</f>
        <v>6</v>
      </c>
      <c r="G27" s="21" t="str">
        <f aca="false">VLOOKUP(B27,clasif_filas!$A$2:$J$39,6,FALSE())</f>
        <v>Conocimiento, procesos y servicios relacionados</v>
      </c>
      <c r="H27" s="21" t="n">
        <f aca="false">VLOOKUP(B27,clasif_filas!$A$2:$J$39,7,FALSE())</f>
        <v>3</v>
      </c>
      <c r="I27" s="21" t="str">
        <f aca="false">VLOOKUP(B27,clasif_filas!$A$2:$J$39,8,FALSE())</f>
        <v>Otros bienes transportables, excepto productos metálicos, maquinaria y equipo</v>
      </c>
      <c r="J27" s="21" t="n">
        <f aca="false">VLOOKUP(B27,clasif_filas!$A$2:$J$39,9,FALSE())</f>
        <v>1</v>
      </c>
      <c r="K27" s="61" t="str">
        <f aca="false">VLOOKUP(B27,clasif_filas!$A$2:$J$39,10,FALSE())</f>
        <v>Bioeconomía</v>
      </c>
    </row>
    <row r="28" customFormat="false" ht="14.25" hidden="false" customHeight="false" outlineLevel="0" collapsed="false">
      <c r="A28" s="81" t="s">
        <v>2363</v>
      </c>
      <c r="B28" s="21" t="n">
        <v>32</v>
      </c>
      <c r="C28" s="21" t="str">
        <f aca="false">VLOOKUP(B28,clasif_filas!$A$2:$J$39,2,FALSE())</f>
        <v>Pulpa de papel, papel y productos de papel; impresos, y artículos similares</v>
      </c>
      <c r="D28" s="21" t="n">
        <f aca="false">VLOOKUP(B28,clasif_filas!$A$2:$J$39,3,FALSE())</f>
        <v>32</v>
      </c>
      <c r="E28" s="21" t="str">
        <f aca="false">VLOOKUP(B28,clasif_filas!$A$2:$J$39,4,FALSE())</f>
        <v>Pulpa de papel, papel y productos de papel; impresos, y artículos similares</v>
      </c>
      <c r="F28" s="21" t="n">
        <f aca="false">VLOOKUP(B28,clasif_filas!$A$2:$J$39,5,FALSE())</f>
        <v>6</v>
      </c>
      <c r="G28" s="21" t="str">
        <f aca="false">VLOOKUP(B28,clasif_filas!$A$2:$J$39,6,FALSE())</f>
        <v>Conocimiento, procesos y servicios relacionados</v>
      </c>
      <c r="H28" s="21" t="n">
        <f aca="false">VLOOKUP(B28,clasif_filas!$A$2:$J$39,7,FALSE())</f>
        <v>3</v>
      </c>
      <c r="I28" s="21" t="str">
        <f aca="false">VLOOKUP(B28,clasif_filas!$A$2:$J$39,8,FALSE())</f>
        <v>Otros bienes transportables, excepto productos metálicos, maquinaria y equipo</v>
      </c>
      <c r="J28" s="21" t="n">
        <f aca="false">VLOOKUP(B28,clasif_filas!$A$2:$J$39,9,FALSE())</f>
        <v>1</v>
      </c>
      <c r="K28" s="61" t="str">
        <f aca="false">VLOOKUP(B28,clasif_filas!$A$2:$J$39,10,FALSE())</f>
        <v>Bioeconomía</v>
      </c>
    </row>
    <row r="29" customFormat="false" ht="14.25" hidden="false" customHeight="false" outlineLevel="0" collapsed="false">
      <c r="A29" s="81" t="s">
        <v>2364</v>
      </c>
      <c r="B29" s="21" t="n">
        <v>341</v>
      </c>
      <c r="C29" s="21" t="str">
        <f aca="false">VLOOKUP(B29,clasif_filas!$A$2:$J$39,2,FALSE())</f>
        <v>Químicos orgánicos básicos</v>
      </c>
      <c r="D29" s="21" t="n">
        <f aca="false">VLOOKUP(B29,clasif_filas!$A$2:$J$39,3,FALSE())</f>
        <v>34</v>
      </c>
      <c r="E29" s="21" t="str">
        <f aca="false">VLOOKUP(B29,clasif_filas!$A$2:$J$39,4,FALSE())</f>
        <v>Químicos básicos</v>
      </c>
      <c r="F29" s="21" t="n">
        <f aca="false">VLOOKUP(B29,clasif_filas!$A$2:$J$39,5,FALSE())</f>
        <v>6</v>
      </c>
      <c r="G29" s="21" t="str">
        <f aca="false">VLOOKUP(B29,clasif_filas!$A$2:$J$39,6,FALSE())</f>
        <v>Conocimiento, procesos y servicios relacionados</v>
      </c>
      <c r="H29" s="21" t="n">
        <f aca="false">VLOOKUP(B29,clasif_filas!$A$2:$J$39,7,FALSE())</f>
        <v>3</v>
      </c>
      <c r="I29" s="21" t="str">
        <f aca="false">VLOOKUP(B29,clasif_filas!$A$2:$J$39,8,FALSE())</f>
        <v>Otros bienes transportables, excepto productos metálicos, maquinaria y equipo</v>
      </c>
      <c r="J29" s="21" t="n">
        <f aca="false">VLOOKUP(B29,clasif_filas!$A$2:$J$39,9,FALSE())</f>
        <v>2</v>
      </c>
      <c r="K29" s="61" t="str">
        <f aca="false">VLOOKUP(B29,clasif_filas!$A$2:$J$39,10,FALSE())</f>
        <v>Bioeconomía extendida</v>
      </c>
    </row>
    <row r="30" customFormat="false" ht="14.25" hidden="false" customHeight="false" outlineLevel="0" collapsed="false">
      <c r="A30" s="81" t="s">
        <v>2365</v>
      </c>
      <c r="B30" s="21" t="n">
        <v>352</v>
      </c>
      <c r="C30" s="21" t="str">
        <f aca="false">VLOOKUP(B30,clasif_filas!$A$2:$J$39,2,FALSE())</f>
        <v>Productos farmacéuticos</v>
      </c>
      <c r="D30" s="21" t="n">
        <f aca="false">VLOOKUP(B30,clasif_filas!$A$2:$J$39,3,FALSE())</f>
        <v>35</v>
      </c>
      <c r="E30" s="21" t="str">
        <f aca="false">VLOOKUP(B30,clasif_filas!$A$2:$J$39,4,FALSE())</f>
        <v>Otros productos químicos; Fibras textiles artificiales o sintéticas</v>
      </c>
      <c r="F30" s="21" t="n">
        <f aca="false">VLOOKUP(B30,clasif_filas!$A$2:$J$39,5,FALSE())</f>
        <v>6</v>
      </c>
      <c r="G30" s="21" t="str">
        <f aca="false">VLOOKUP(B30,clasif_filas!$A$2:$J$39,6,FALSE())</f>
        <v>Conocimiento, procesos y servicios relacionados</v>
      </c>
      <c r="H30" s="21" t="n">
        <f aca="false">VLOOKUP(B30,clasif_filas!$A$2:$J$39,7,FALSE())</f>
        <v>3</v>
      </c>
      <c r="I30" s="21" t="str">
        <f aca="false">VLOOKUP(B30,clasif_filas!$A$2:$J$39,8,FALSE())</f>
        <v>Otros bienes transportables, excepto productos metálicos, maquinaria y equipo</v>
      </c>
      <c r="J30" s="21" t="n">
        <f aca="false">VLOOKUP(B30,clasif_filas!$A$2:$J$39,9,FALSE())</f>
        <v>2</v>
      </c>
      <c r="K30" s="61" t="str">
        <f aca="false">VLOOKUP(B30,clasif_filas!$A$2:$J$39,10,FALSE())</f>
        <v>Bioeconomía extendida</v>
      </c>
    </row>
    <row r="31" customFormat="false" ht="14.25" hidden="false" customHeight="false" outlineLevel="0" collapsed="false">
      <c r="A31" s="81" t="s">
        <v>2366</v>
      </c>
      <c r="B31" s="21" t="n">
        <v>342</v>
      </c>
      <c r="C31" s="21" t="str">
        <f aca="false">VLOOKUP(B31,clasif_filas!$A$2:$J$39,2,FALSE())</f>
        <v>Otros químicos, plásticos, caucho y fibras sintéticas</v>
      </c>
      <c r="D31" s="21" t="n">
        <f aca="false">VLOOKUP(B31,clasif_filas!$A$2:$J$39,3,FALSE())</f>
        <v>34</v>
      </c>
      <c r="E31" s="21" t="str">
        <f aca="false">VLOOKUP(B31,clasif_filas!$A$2:$J$39,4,FALSE())</f>
        <v>Químicos básicos</v>
      </c>
      <c r="F31" s="21" t="n">
        <f aca="false">VLOOKUP(B31,clasif_filas!$A$2:$J$39,5,FALSE())</f>
        <v>99</v>
      </c>
      <c r="G31" s="21" t="str">
        <f aca="false">VLOOKUP(B31,clasif_filas!$A$2:$J$39,6,FALSE())</f>
        <v>No Bioeconomía</v>
      </c>
      <c r="H31" s="21" t="n">
        <f aca="false">VLOOKUP(B31,clasif_filas!$A$2:$J$39,7,FALSE())</f>
        <v>3</v>
      </c>
      <c r="I31" s="21" t="str">
        <f aca="false">VLOOKUP(B31,clasif_filas!$A$2:$J$39,8,FALSE())</f>
        <v>Otros bienes transportables, excepto productos metálicos, maquinaria y equipo</v>
      </c>
      <c r="J31" s="21" t="n">
        <f aca="false">VLOOKUP(B31,clasif_filas!$A$2:$J$39,9,FALSE())</f>
        <v>3</v>
      </c>
      <c r="K31" s="61" t="str">
        <f aca="false">VLOOKUP(B31,clasif_filas!$A$2:$J$39,10,FALSE())</f>
        <v>No bioeconomía</v>
      </c>
    </row>
    <row r="32" customFormat="false" ht="14.25" hidden="false" customHeight="false" outlineLevel="0" collapsed="false">
      <c r="A32" s="81" t="s">
        <v>2086</v>
      </c>
      <c r="B32" s="21" t="n">
        <v>37</v>
      </c>
      <c r="C32" s="21" t="str">
        <f aca="false">VLOOKUP(B32,clasif_filas!$A$2:$J$39,2,FALSE())</f>
        <v>Vidrios y productos de vidrio y otros productos no metálicos n.c.p.</v>
      </c>
      <c r="D32" s="21" t="n">
        <f aca="false">VLOOKUP(B32,clasif_filas!$A$2:$J$39,3,FALSE())</f>
        <v>37</v>
      </c>
      <c r="E32" s="21" t="str">
        <f aca="false">VLOOKUP(B32,clasif_filas!$A$2:$J$39,4,FALSE())</f>
        <v>Vidrios y productos de vidrio y otros productos no metálicos n.c.p.</v>
      </c>
      <c r="F32" s="21" t="n">
        <f aca="false">VLOOKUP(B32,clasif_filas!$A$2:$J$39,5,FALSE())</f>
        <v>99</v>
      </c>
      <c r="G32" s="21" t="str">
        <f aca="false">VLOOKUP(B32,clasif_filas!$A$2:$J$39,6,FALSE())</f>
        <v>No Bioeconomía</v>
      </c>
      <c r="H32" s="21" t="n">
        <f aca="false">VLOOKUP(B32,clasif_filas!$A$2:$J$39,7,FALSE())</f>
        <v>3</v>
      </c>
      <c r="I32" s="21" t="str">
        <f aca="false">VLOOKUP(B32,clasif_filas!$A$2:$J$39,8,FALSE())</f>
        <v>Otros bienes transportables, excepto productos metálicos, maquinaria y equipo</v>
      </c>
      <c r="J32" s="21" t="n">
        <f aca="false">VLOOKUP(B32,clasif_filas!$A$2:$J$39,9,FALSE())</f>
        <v>3</v>
      </c>
      <c r="K32" s="61" t="str">
        <f aca="false">VLOOKUP(B32,clasif_filas!$A$2:$J$39,10,FALSE())</f>
        <v>No bioeconomía</v>
      </c>
    </row>
    <row r="33" customFormat="false" ht="14.25" hidden="false" customHeight="false" outlineLevel="0" collapsed="false">
      <c r="A33" s="81" t="s">
        <v>2367</v>
      </c>
      <c r="B33" s="21" t="n">
        <v>37</v>
      </c>
      <c r="C33" s="21" t="str">
        <f aca="false">VLOOKUP(B33,clasif_filas!$A$2:$J$39,2,FALSE())</f>
        <v>Vidrios y productos de vidrio y otros productos no metálicos n.c.p.</v>
      </c>
      <c r="D33" s="21" t="n">
        <f aca="false">VLOOKUP(B33,clasif_filas!$A$2:$J$39,3,FALSE())</f>
        <v>37</v>
      </c>
      <c r="E33" s="21" t="str">
        <f aca="false">VLOOKUP(B33,clasif_filas!$A$2:$J$39,4,FALSE())</f>
        <v>Vidrios y productos de vidrio y otros productos no metálicos n.c.p.</v>
      </c>
      <c r="F33" s="21" t="n">
        <f aca="false">VLOOKUP(B33,clasif_filas!$A$2:$J$39,5,FALSE())</f>
        <v>99</v>
      </c>
      <c r="G33" s="21" t="str">
        <f aca="false">VLOOKUP(B33,clasif_filas!$A$2:$J$39,6,FALSE())</f>
        <v>No Bioeconomía</v>
      </c>
      <c r="H33" s="21" t="n">
        <f aca="false">VLOOKUP(B33,clasif_filas!$A$2:$J$39,7,FALSE())</f>
        <v>3</v>
      </c>
      <c r="I33" s="21" t="str">
        <f aca="false">VLOOKUP(B33,clasif_filas!$A$2:$J$39,8,FALSE())</f>
        <v>Otros bienes transportables, excepto productos metálicos, maquinaria y equipo</v>
      </c>
      <c r="J33" s="21" t="n">
        <f aca="false">VLOOKUP(B33,clasif_filas!$A$2:$J$39,9,FALSE())</f>
        <v>3</v>
      </c>
      <c r="K33" s="61" t="str">
        <f aca="false">VLOOKUP(B33,clasif_filas!$A$2:$J$39,10,FALSE())</f>
        <v>No bioeconomía</v>
      </c>
    </row>
    <row r="34" customFormat="false" ht="14.25" hidden="false" customHeight="false" outlineLevel="0" collapsed="false">
      <c r="A34" s="81" t="s">
        <v>2368</v>
      </c>
      <c r="B34" s="21" t="s">
        <v>2101</v>
      </c>
      <c r="C34" s="21" t="str">
        <f aca="false">VLOOKUP(B34,clasif_filas!$A$2:$J$39,2,FALSE())</f>
        <v>Metales, Maquianria, equipos y transporte</v>
      </c>
      <c r="D34" s="21" t="str">
        <f aca="false">VLOOKUP(B34,clasif_filas!$A$2:$J$39,3,FALSE())</f>
        <v>41-49</v>
      </c>
      <c r="E34" s="21" t="str">
        <f aca="false">VLOOKUP(B34,clasif_filas!$A$2:$J$39,4,FALSE())</f>
        <v>Metales, Maquianria, equipos y transporte</v>
      </c>
      <c r="F34" s="21" t="n">
        <f aca="false">VLOOKUP(B34,clasif_filas!$A$2:$J$39,5,FALSE())</f>
        <v>99</v>
      </c>
      <c r="G34" s="21" t="str">
        <f aca="false">VLOOKUP(B34,clasif_filas!$A$2:$J$39,6,FALSE())</f>
        <v>No Bioeconomía</v>
      </c>
      <c r="H34" s="21" t="n">
        <f aca="false">VLOOKUP(B34,clasif_filas!$A$2:$J$39,7,FALSE())</f>
        <v>4</v>
      </c>
      <c r="I34" s="21" t="str">
        <f aca="false">VLOOKUP(B34,clasif_filas!$A$2:$J$39,8,FALSE())</f>
        <v>Productos metálicos, maquinaria y equipo</v>
      </c>
      <c r="J34" s="21" t="n">
        <f aca="false">VLOOKUP(B34,clasif_filas!$A$2:$J$39,9,FALSE())</f>
        <v>3</v>
      </c>
      <c r="K34" s="61" t="str">
        <f aca="false">VLOOKUP(B34,clasif_filas!$A$2:$J$39,10,FALSE())</f>
        <v>No bioeconomía</v>
      </c>
    </row>
    <row r="35" customFormat="false" ht="14.25" hidden="false" customHeight="false" outlineLevel="0" collapsed="false">
      <c r="A35" s="81" t="s">
        <v>2369</v>
      </c>
      <c r="B35" s="21" t="n">
        <v>342</v>
      </c>
      <c r="C35" s="21" t="str">
        <f aca="false">VLOOKUP(B35,clasif_filas!$A$2:$J$39,2,FALSE())</f>
        <v>Otros químicos, plásticos, caucho y fibras sintéticas</v>
      </c>
      <c r="D35" s="21" t="n">
        <f aca="false">VLOOKUP(B35,clasif_filas!$A$2:$J$39,3,FALSE())</f>
        <v>34</v>
      </c>
      <c r="E35" s="21" t="str">
        <f aca="false">VLOOKUP(B35,clasif_filas!$A$2:$J$39,4,FALSE())</f>
        <v>Químicos básicos</v>
      </c>
      <c r="F35" s="21" t="n">
        <f aca="false">VLOOKUP(B35,clasif_filas!$A$2:$J$39,5,FALSE())</f>
        <v>99</v>
      </c>
      <c r="G35" s="21" t="str">
        <f aca="false">VLOOKUP(B35,clasif_filas!$A$2:$J$39,6,FALSE())</f>
        <v>No Bioeconomía</v>
      </c>
      <c r="H35" s="21" t="n">
        <f aca="false">VLOOKUP(B35,clasif_filas!$A$2:$J$39,7,FALSE())</f>
        <v>3</v>
      </c>
      <c r="I35" s="21" t="str">
        <f aca="false">VLOOKUP(B35,clasif_filas!$A$2:$J$39,8,FALSE())</f>
        <v>Otros bienes transportables, excepto productos metálicos, maquinaria y equipo</v>
      </c>
      <c r="J35" s="21" t="n">
        <f aca="false">VLOOKUP(B35,clasif_filas!$A$2:$J$39,9,FALSE())</f>
        <v>3</v>
      </c>
      <c r="K35" s="61" t="str">
        <f aca="false">VLOOKUP(B35,clasif_filas!$A$2:$J$39,10,FALSE())</f>
        <v>No bioeconomía</v>
      </c>
    </row>
    <row r="36" customFormat="false" ht="14.25" hidden="false" customHeight="false" outlineLevel="0" collapsed="false">
      <c r="A36" s="81" t="s">
        <v>2370</v>
      </c>
      <c r="B36" s="21" t="n">
        <v>38</v>
      </c>
      <c r="C36" s="21" t="str">
        <f aca="false">VLOOKUP(B36,clasif_filas!$A$2:$J$39,2,FALSE())</f>
        <v>Muebles; otros bienes transportables n.c.p.</v>
      </c>
      <c r="D36" s="21" t="n">
        <f aca="false">VLOOKUP(B36,clasif_filas!$A$2:$J$39,3,FALSE())</f>
        <v>38</v>
      </c>
      <c r="E36" s="21" t="str">
        <f aca="false">VLOOKUP(B36,clasif_filas!$A$2:$J$39,4,FALSE())</f>
        <v>Muebles; otros bienes transportables n.c.p.</v>
      </c>
      <c r="F36" s="21" t="n">
        <f aca="false">VLOOKUP(B36,clasif_filas!$A$2:$J$39,5,FALSE())</f>
        <v>99</v>
      </c>
      <c r="G36" s="21" t="str">
        <f aca="false">VLOOKUP(B36,clasif_filas!$A$2:$J$39,6,FALSE())</f>
        <v>No Bioeconomía</v>
      </c>
      <c r="H36" s="21" t="n">
        <f aca="false">VLOOKUP(B36,clasif_filas!$A$2:$J$39,7,FALSE())</f>
        <v>3</v>
      </c>
      <c r="I36" s="21" t="str">
        <f aca="false">VLOOKUP(B36,clasif_filas!$A$2:$J$39,8,FALSE())</f>
        <v>Otros bienes transportables, excepto productos metálicos, maquinaria y equipo</v>
      </c>
      <c r="J36" s="21" t="n">
        <f aca="false">VLOOKUP(B36,clasif_filas!$A$2:$J$39,9,FALSE())</f>
        <v>3</v>
      </c>
      <c r="K36" s="61" t="str">
        <f aca="false">VLOOKUP(B36,clasif_filas!$A$2:$J$39,10,FALSE())</f>
        <v>No bioeconomía</v>
      </c>
    </row>
    <row r="37" customFormat="false" ht="14.25" hidden="false" customHeight="false" outlineLevel="0" collapsed="false">
      <c r="A37" s="81" t="s">
        <v>2371</v>
      </c>
      <c r="B37" s="21" t="n">
        <v>39</v>
      </c>
      <c r="C37" s="21" t="str">
        <f aca="false">VLOOKUP(B37,clasif_filas!$A$2:$J$39,2,FALSE())</f>
        <v>Desperdicios o desechos</v>
      </c>
      <c r="D37" s="21" t="n">
        <f aca="false">VLOOKUP(B37,clasif_filas!$A$2:$J$39,3,FALSE())</f>
        <v>39</v>
      </c>
      <c r="E37" s="21" t="str">
        <f aca="false">VLOOKUP(B37,clasif_filas!$A$2:$J$39,4,FALSE())</f>
        <v>Desperdicios o desechos</v>
      </c>
      <c r="F37" s="21" t="n">
        <f aca="false">VLOOKUP(B37,clasif_filas!$A$2:$J$39,5,FALSE())</f>
        <v>4</v>
      </c>
      <c r="G37" s="21" t="str">
        <f aca="false">VLOOKUP(B37,clasif_filas!$A$2:$J$39,6,FALSE())</f>
        <v>Biomasa residual en los sectores agropecuario, pesca y acuacultura, forestal y agroindustrial</v>
      </c>
      <c r="H37" s="21" t="n">
        <f aca="false">VLOOKUP(B37,clasif_filas!$A$2:$J$39,7,FALSE())</f>
        <v>3</v>
      </c>
      <c r="I37" s="21" t="str">
        <f aca="false">VLOOKUP(B37,clasif_filas!$A$2:$J$39,8,FALSE())</f>
        <v>Otros bienes transportables, excepto productos metálicos, maquinaria y equipo</v>
      </c>
      <c r="J37" s="21" t="n">
        <f aca="false">VLOOKUP(B37,clasif_filas!$A$2:$J$39,9,FALSE())</f>
        <v>2</v>
      </c>
      <c r="K37" s="61" t="str">
        <f aca="false">VLOOKUP(B37,clasif_filas!$A$2:$J$39,10,FALSE())</f>
        <v>Bioeconomía extendida</v>
      </c>
    </row>
    <row r="38" customFormat="false" ht="14.25" hidden="false" customHeight="false" outlineLevel="0" collapsed="false">
      <c r="A38" s="81" t="s">
        <v>2372</v>
      </c>
      <c r="B38" s="21" t="s">
        <v>2101</v>
      </c>
      <c r="C38" s="21" t="str">
        <f aca="false">VLOOKUP(B38,clasif_filas!$A$2:$J$39,2,FALSE())</f>
        <v>Metales, Maquianria, equipos y transporte</v>
      </c>
      <c r="D38" s="21" t="str">
        <f aca="false">VLOOKUP(B38,clasif_filas!$A$2:$J$39,3,FALSE())</f>
        <v>41-49</v>
      </c>
      <c r="E38" s="21" t="str">
        <f aca="false">VLOOKUP(B38,clasif_filas!$A$2:$J$39,4,FALSE())</f>
        <v>Metales, Maquianria, equipos y transporte</v>
      </c>
      <c r="F38" s="21" t="n">
        <f aca="false">VLOOKUP(B38,clasif_filas!$A$2:$J$39,5,FALSE())</f>
        <v>99</v>
      </c>
      <c r="G38" s="21" t="str">
        <f aca="false">VLOOKUP(B38,clasif_filas!$A$2:$J$39,6,FALSE())</f>
        <v>No Bioeconomía</v>
      </c>
      <c r="H38" s="21" t="n">
        <f aca="false">VLOOKUP(B38,clasif_filas!$A$2:$J$39,7,FALSE())</f>
        <v>4</v>
      </c>
      <c r="I38" s="21" t="str">
        <f aca="false">VLOOKUP(B38,clasif_filas!$A$2:$J$39,8,FALSE())</f>
        <v>Productos metálicos, maquinaria y equipo</v>
      </c>
      <c r="J38" s="21" t="n">
        <f aca="false">VLOOKUP(B38,clasif_filas!$A$2:$J$39,9,FALSE())</f>
        <v>3</v>
      </c>
      <c r="K38" s="61" t="str">
        <f aca="false">VLOOKUP(B38,clasif_filas!$A$2:$J$39,10,FALSE())</f>
        <v>No bioeconomía</v>
      </c>
    </row>
    <row r="39" customFormat="false" ht="14.25" hidden="false" customHeight="false" outlineLevel="0" collapsed="false">
      <c r="A39" s="81" t="s">
        <v>2373</v>
      </c>
      <c r="B39" s="21" t="s">
        <v>2101</v>
      </c>
      <c r="C39" s="21" t="str">
        <f aca="false">VLOOKUP(B39,clasif_filas!$A$2:$J$39,2,FALSE())</f>
        <v>Metales, Maquianria, equipos y transporte</v>
      </c>
      <c r="D39" s="21" t="str">
        <f aca="false">VLOOKUP(B39,clasif_filas!$A$2:$J$39,3,FALSE())</f>
        <v>41-49</v>
      </c>
      <c r="E39" s="21" t="str">
        <f aca="false">VLOOKUP(B39,clasif_filas!$A$2:$J$39,4,FALSE())</f>
        <v>Metales, Maquianria, equipos y transporte</v>
      </c>
      <c r="F39" s="21" t="n">
        <f aca="false">VLOOKUP(B39,clasif_filas!$A$2:$J$39,5,FALSE())</f>
        <v>99</v>
      </c>
      <c r="G39" s="21" t="str">
        <f aca="false">VLOOKUP(B39,clasif_filas!$A$2:$J$39,6,FALSE())</f>
        <v>No Bioeconomía</v>
      </c>
      <c r="H39" s="21" t="n">
        <f aca="false">VLOOKUP(B39,clasif_filas!$A$2:$J$39,7,FALSE())</f>
        <v>4</v>
      </c>
      <c r="I39" s="21" t="str">
        <f aca="false">VLOOKUP(B39,clasif_filas!$A$2:$J$39,8,FALSE())</f>
        <v>Productos metálicos, maquinaria y equipo</v>
      </c>
      <c r="J39" s="21" t="n">
        <f aca="false">VLOOKUP(B39,clasif_filas!$A$2:$J$39,9,FALSE())</f>
        <v>3</v>
      </c>
      <c r="K39" s="61" t="str">
        <f aca="false">VLOOKUP(B39,clasif_filas!$A$2:$J$39,10,FALSE())</f>
        <v>No bioeconomía</v>
      </c>
    </row>
    <row r="40" customFormat="false" ht="14.25" hidden="false" customHeight="false" outlineLevel="0" collapsed="false">
      <c r="A40" s="81" t="s">
        <v>2374</v>
      </c>
      <c r="B40" s="21" t="n">
        <v>17.5</v>
      </c>
      <c r="C40" s="21" t="str">
        <f aca="false">VLOOKUP(B40,clasif_filas!$A$2:$J$39,2,FALSE())</f>
        <v>Electricidad y agua</v>
      </c>
      <c r="D40" s="21" t="str">
        <f aca="false">VLOOKUP(B40,clasif_filas!$A$2:$J$39,3,FALSE())</f>
        <v>17.5</v>
      </c>
      <c r="E40" s="21" t="str">
        <f aca="false">VLOOKUP(B40,clasif_filas!$A$2:$J$39,4,FALSE())</f>
        <v>Electricidad y agua</v>
      </c>
      <c r="F40" s="21" t="n">
        <f aca="false">VLOOKUP(B40,clasif_filas!$A$2:$J$39,5,FALSE())</f>
        <v>6</v>
      </c>
      <c r="G40" s="21" t="str">
        <f aca="false">VLOOKUP(B40,clasif_filas!$A$2:$J$39,6,FALSE())</f>
        <v>Conocimiento, procesos y servicios relacionados</v>
      </c>
      <c r="H40" s="21" t="n">
        <f aca="false">VLOOKUP(B40,clasif_filas!$A$2:$J$39,7,FALSE())</f>
        <v>1</v>
      </c>
      <c r="I40" s="21" t="str">
        <f aca="false">VLOOKUP(B40,clasif_filas!$A$2:$J$39,8,FALSE())</f>
        <v>Minerales; electricidad, gas y agua</v>
      </c>
      <c r="J40" s="21" t="n">
        <f aca="false">VLOOKUP(B40,clasif_filas!$A$2:$J$39,9,FALSE())</f>
        <v>2</v>
      </c>
      <c r="K40" s="61" t="str">
        <f aca="false">VLOOKUP(B40,clasif_filas!$A$2:$J$39,10,FALSE())</f>
        <v>Bioeconomía extendida</v>
      </c>
    </row>
    <row r="41" customFormat="false" ht="14.25" hidden="false" customHeight="false" outlineLevel="0" collapsed="false">
      <c r="A41" s="81" t="s">
        <v>2375</v>
      </c>
      <c r="B41" s="21" t="n">
        <v>6</v>
      </c>
      <c r="C41" s="21" t="str">
        <f aca="false">VLOOKUP(B41,clasif_filas!$A$2:$J$39,2,FALSE())</f>
        <v>Otros servicios</v>
      </c>
      <c r="D41" s="21" t="n">
        <f aca="false">VLOOKUP(B41,clasif_filas!$A$2:$J$39,3,FALSE())</f>
        <v>6</v>
      </c>
      <c r="E41" s="21" t="str">
        <f aca="false">VLOOKUP(B41,clasif_filas!$A$2:$J$39,4,FALSE())</f>
        <v>Otros servicios</v>
      </c>
      <c r="F41" s="21" t="n">
        <f aca="false">VLOOKUP(B41,clasif_filas!$A$2:$J$39,5,FALSE())</f>
        <v>99</v>
      </c>
      <c r="G41" s="21" t="str">
        <f aca="false">VLOOKUP(B41,clasif_filas!$A$2:$J$39,6,FALSE())</f>
        <v>No Bioeconomía</v>
      </c>
      <c r="H41" s="21" t="n">
        <f aca="false">VLOOKUP(B41,clasif_filas!$A$2:$J$39,7,FALSE())</f>
        <v>6</v>
      </c>
      <c r="I41" s="21" t="str">
        <f aca="false">VLOOKUP(B41,clasif_filas!$A$2:$J$39,8,FALSE())</f>
        <v>Servicios comerciales de distribución; alojamiento, servicios de suministro de comidas y bebidas; servicios de transporte; y servicios de distribución de electricidad, gas y agua</v>
      </c>
      <c r="J41" s="21" t="n">
        <f aca="false">VLOOKUP(B41,clasif_filas!$A$2:$J$39,9,FALSE())</f>
        <v>3</v>
      </c>
      <c r="K41" s="61" t="str">
        <f aca="false">VLOOKUP(B41,clasif_filas!$A$2:$J$39,10,FALSE())</f>
        <v>No bioeconomía</v>
      </c>
    </row>
    <row r="42" customFormat="false" ht="14.25" hidden="false" customHeight="false" outlineLevel="0" collapsed="false">
      <c r="A42" s="81" t="s">
        <v>2376</v>
      </c>
      <c r="B42" s="21" t="n">
        <v>6</v>
      </c>
      <c r="C42" s="21" t="str">
        <f aca="false">VLOOKUP(B42,clasif_filas!$A$2:$J$39,2,FALSE())</f>
        <v>Otros servicios</v>
      </c>
      <c r="D42" s="21" t="n">
        <f aca="false">VLOOKUP(B42,clasif_filas!$A$2:$J$39,3,FALSE())</f>
        <v>6</v>
      </c>
      <c r="E42" s="21" t="str">
        <f aca="false">VLOOKUP(B42,clasif_filas!$A$2:$J$39,4,FALSE())</f>
        <v>Otros servicios</v>
      </c>
      <c r="F42" s="21" t="n">
        <f aca="false">VLOOKUP(B42,clasif_filas!$A$2:$J$39,5,FALSE())</f>
        <v>99</v>
      </c>
      <c r="G42" s="21" t="str">
        <f aca="false">VLOOKUP(B42,clasif_filas!$A$2:$J$39,6,FALSE())</f>
        <v>No Bioeconomía</v>
      </c>
      <c r="H42" s="21" t="n">
        <f aca="false">VLOOKUP(B42,clasif_filas!$A$2:$J$39,7,FALSE())</f>
        <v>6</v>
      </c>
      <c r="I42" s="21" t="str">
        <f aca="false">VLOOKUP(B42,clasif_filas!$A$2:$J$39,8,FALSE())</f>
        <v>Servicios comerciales de distribución; alojamiento, servicios de suministro de comidas y bebidas; servicios de transporte; y servicios de distribución de electricidad, gas y agua</v>
      </c>
      <c r="J42" s="21" t="n">
        <f aca="false">VLOOKUP(B42,clasif_filas!$A$2:$J$39,9,FALSE())</f>
        <v>3</v>
      </c>
      <c r="K42" s="61" t="str">
        <f aca="false">VLOOKUP(B42,clasif_filas!$A$2:$J$39,10,FALSE())</f>
        <v>No bioeconomía</v>
      </c>
    </row>
    <row r="43" customFormat="false" ht="14.25" hidden="false" customHeight="false" outlineLevel="0" collapsed="false">
      <c r="A43" s="81" t="s">
        <v>2377</v>
      </c>
      <c r="B43" s="21" t="n">
        <v>63</v>
      </c>
      <c r="C43" s="21" t="str">
        <f aca="false">VLOOKUP(B43,clasif_filas!$A$2:$J$39,2,FALSE())</f>
        <v>Alojamiento, servicios de suministro de comidas y bebidas</v>
      </c>
      <c r="D43" s="21" t="n">
        <f aca="false">VLOOKUP(B43,clasif_filas!$A$2:$J$39,3,FALSE())</f>
        <v>63</v>
      </c>
      <c r="E43" s="21" t="str">
        <f aca="false">VLOOKUP(B43,clasif_filas!$A$2:$J$39,4,FALSE())</f>
        <v>Alojamiento, servicios de suministro de comidas y bebidas</v>
      </c>
      <c r="F43" s="21" t="n">
        <f aca="false">VLOOKUP(B43,clasif_filas!$A$2:$J$39,5,FALSE())</f>
        <v>6</v>
      </c>
      <c r="G43" s="21" t="str">
        <f aca="false">VLOOKUP(B43,clasif_filas!$A$2:$J$39,6,FALSE())</f>
        <v>Conocimiento, procesos y servicios relacionados</v>
      </c>
      <c r="H43" s="21" t="n">
        <f aca="false">VLOOKUP(B43,clasif_filas!$A$2:$J$39,7,FALSE())</f>
        <v>6</v>
      </c>
      <c r="I43" s="21" t="str">
        <f aca="false">VLOOKUP(B43,clasif_filas!$A$2:$J$39,8,FALSE())</f>
        <v>Servicios comerciales de distribución; alojamiento, servicios de suministro de comidas y bebidas; servicios de transporte; y servicios de distribución de electricidad, gas y agua</v>
      </c>
      <c r="J43" s="21" t="n">
        <f aca="false">VLOOKUP(B43,clasif_filas!$A$2:$J$39,9,FALSE())</f>
        <v>2</v>
      </c>
      <c r="K43" s="61" t="str">
        <f aca="false">VLOOKUP(B43,clasif_filas!$A$2:$J$39,10,FALSE())</f>
        <v>Bioeconomía extendida</v>
      </c>
    </row>
    <row r="44" customFormat="false" ht="14.25" hidden="false" customHeight="false" outlineLevel="0" collapsed="false">
      <c r="A44" s="81" t="s">
        <v>2378</v>
      </c>
      <c r="B44" s="21" t="n">
        <v>6</v>
      </c>
      <c r="C44" s="21" t="str">
        <f aca="false">VLOOKUP(B44,clasif_filas!$A$2:$J$39,2,FALSE())</f>
        <v>Otros servicios</v>
      </c>
      <c r="D44" s="21" t="n">
        <f aca="false">VLOOKUP(B44,clasif_filas!$A$2:$J$39,3,FALSE())</f>
        <v>6</v>
      </c>
      <c r="E44" s="21" t="str">
        <f aca="false">VLOOKUP(B44,clasif_filas!$A$2:$J$39,4,FALSE())</f>
        <v>Otros servicios</v>
      </c>
      <c r="F44" s="21" t="n">
        <f aca="false">VLOOKUP(B44,clasif_filas!$A$2:$J$39,5,FALSE())</f>
        <v>99</v>
      </c>
      <c r="G44" s="21" t="str">
        <f aca="false">VLOOKUP(B44,clasif_filas!$A$2:$J$39,6,FALSE())</f>
        <v>No Bioeconomía</v>
      </c>
      <c r="H44" s="21" t="n">
        <f aca="false">VLOOKUP(B44,clasif_filas!$A$2:$J$39,7,FALSE())</f>
        <v>6</v>
      </c>
      <c r="I44" s="21" t="str">
        <f aca="false">VLOOKUP(B44,clasif_filas!$A$2:$J$39,8,FALSE())</f>
        <v>Servicios comerciales de distribución; alojamiento, servicios de suministro de comidas y bebidas; servicios de transporte; y servicios de distribución de electricidad, gas y agua</v>
      </c>
      <c r="J44" s="21" t="n">
        <f aca="false">VLOOKUP(B44,clasif_filas!$A$2:$J$39,9,FALSE())</f>
        <v>3</v>
      </c>
      <c r="K44" s="61" t="str">
        <f aca="false">VLOOKUP(B44,clasif_filas!$A$2:$J$39,10,FALSE())</f>
        <v>No bioeconomía</v>
      </c>
    </row>
    <row r="45" customFormat="false" ht="14.25" hidden="false" customHeight="false" outlineLevel="0" collapsed="false">
      <c r="A45" s="81" t="s">
        <v>2379</v>
      </c>
      <c r="B45" s="21" t="n">
        <v>6</v>
      </c>
      <c r="C45" s="21" t="str">
        <f aca="false">VLOOKUP(B45,clasif_filas!$A$2:$J$39,2,FALSE())</f>
        <v>Otros servicios</v>
      </c>
      <c r="D45" s="21" t="n">
        <f aca="false">VLOOKUP(B45,clasif_filas!$A$2:$J$39,3,FALSE())</f>
        <v>6</v>
      </c>
      <c r="E45" s="21" t="str">
        <f aca="false">VLOOKUP(B45,clasif_filas!$A$2:$J$39,4,FALSE())</f>
        <v>Otros servicios</v>
      </c>
      <c r="F45" s="21" t="n">
        <f aca="false">VLOOKUP(B45,clasif_filas!$A$2:$J$39,5,FALSE())</f>
        <v>99</v>
      </c>
      <c r="G45" s="21" t="str">
        <f aca="false">VLOOKUP(B45,clasif_filas!$A$2:$J$39,6,FALSE())</f>
        <v>No Bioeconomía</v>
      </c>
      <c r="H45" s="21" t="n">
        <f aca="false">VLOOKUP(B45,clasif_filas!$A$2:$J$39,7,FALSE())</f>
        <v>6</v>
      </c>
      <c r="I45" s="21" t="str">
        <f aca="false">VLOOKUP(B45,clasif_filas!$A$2:$J$39,8,FALSE())</f>
        <v>Servicios comerciales de distribución; alojamiento, servicios de suministro de comidas y bebidas; servicios de transporte; y servicios de distribución de electricidad, gas y agua</v>
      </c>
      <c r="J45" s="21" t="n">
        <f aca="false">VLOOKUP(B45,clasif_filas!$A$2:$J$39,9,FALSE())</f>
        <v>3</v>
      </c>
      <c r="K45" s="61" t="str">
        <f aca="false">VLOOKUP(B45,clasif_filas!$A$2:$J$39,10,FALSE())</f>
        <v>No bioeconomía</v>
      </c>
    </row>
    <row r="46" customFormat="false" ht="14.25" hidden="false" customHeight="false" outlineLevel="0" collapsed="false">
      <c r="A46" s="81" t="s">
        <v>2380</v>
      </c>
      <c r="B46" s="21" t="n">
        <v>6</v>
      </c>
      <c r="C46" s="21" t="str">
        <f aca="false">VLOOKUP(B46,clasif_filas!$A$2:$J$39,2,FALSE())</f>
        <v>Otros servicios</v>
      </c>
      <c r="D46" s="21" t="n">
        <f aca="false">VLOOKUP(B46,clasif_filas!$A$2:$J$39,3,FALSE())</f>
        <v>6</v>
      </c>
      <c r="E46" s="21" t="str">
        <f aca="false">VLOOKUP(B46,clasif_filas!$A$2:$J$39,4,FALSE())</f>
        <v>Otros servicios</v>
      </c>
      <c r="F46" s="21" t="n">
        <f aca="false">VLOOKUP(B46,clasif_filas!$A$2:$J$39,5,FALSE())</f>
        <v>99</v>
      </c>
      <c r="G46" s="21" t="str">
        <f aca="false">VLOOKUP(B46,clasif_filas!$A$2:$J$39,6,FALSE())</f>
        <v>No Bioeconomía</v>
      </c>
      <c r="H46" s="21" t="n">
        <f aca="false">VLOOKUP(B46,clasif_filas!$A$2:$J$39,7,FALSE())</f>
        <v>6</v>
      </c>
      <c r="I46" s="21" t="str">
        <f aca="false">VLOOKUP(B46,clasif_filas!$A$2:$J$39,8,FALSE())</f>
        <v>Servicios comerciales de distribución; alojamiento, servicios de suministro de comidas y bebidas; servicios de transporte; y servicios de distribución de electricidad, gas y agua</v>
      </c>
      <c r="J46" s="21" t="n">
        <f aca="false">VLOOKUP(B46,clasif_filas!$A$2:$J$39,9,FALSE())</f>
        <v>3</v>
      </c>
      <c r="K46" s="61" t="str">
        <f aca="false">VLOOKUP(B46,clasif_filas!$A$2:$J$39,10,FALSE())</f>
        <v>No bioeconomía</v>
      </c>
    </row>
    <row r="47" customFormat="false" ht="14.25" hidden="false" customHeight="false" outlineLevel="0" collapsed="false">
      <c r="A47" s="81" t="s">
        <v>2381</v>
      </c>
      <c r="B47" s="21" t="n">
        <v>6</v>
      </c>
      <c r="C47" s="21" t="str">
        <f aca="false">VLOOKUP(B47,clasif_filas!$A$2:$J$39,2,FALSE())</f>
        <v>Otros servicios</v>
      </c>
      <c r="D47" s="21" t="n">
        <f aca="false">VLOOKUP(B47,clasif_filas!$A$2:$J$39,3,FALSE())</f>
        <v>6</v>
      </c>
      <c r="E47" s="21" t="str">
        <f aca="false">VLOOKUP(B47,clasif_filas!$A$2:$J$39,4,FALSE())</f>
        <v>Otros servicios</v>
      </c>
      <c r="F47" s="21" t="n">
        <f aca="false">VLOOKUP(B47,clasif_filas!$A$2:$J$39,5,FALSE())</f>
        <v>99</v>
      </c>
      <c r="G47" s="21" t="str">
        <f aca="false">VLOOKUP(B47,clasif_filas!$A$2:$J$39,6,FALSE())</f>
        <v>No Bioeconomía</v>
      </c>
      <c r="H47" s="21" t="n">
        <f aca="false">VLOOKUP(B47,clasif_filas!$A$2:$J$39,7,FALSE())</f>
        <v>6</v>
      </c>
      <c r="I47" s="21" t="str">
        <f aca="false">VLOOKUP(B47,clasif_filas!$A$2:$J$39,8,FALSE())</f>
        <v>Servicios comerciales de distribución; alojamiento, servicios de suministro de comidas y bebidas; servicios de transporte; y servicios de distribución de electricidad, gas y agua</v>
      </c>
      <c r="J47" s="21" t="n">
        <f aca="false">VLOOKUP(B47,clasif_filas!$A$2:$J$39,9,FALSE())</f>
        <v>3</v>
      </c>
      <c r="K47" s="61" t="str">
        <f aca="false">VLOOKUP(B47,clasif_filas!$A$2:$J$39,10,FALSE())</f>
        <v>No bioeconomía</v>
      </c>
    </row>
    <row r="48" customFormat="false" ht="14.25" hidden="false" customHeight="false" outlineLevel="0" collapsed="false">
      <c r="A48" s="81" t="s">
        <v>2382</v>
      </c>
      <c r="B48" s="21" t="n">
        <v>6</v>
      </c>
      <c r="C48" s="21" t="str">
        <f aca="false">VLOOKUP(B48,clasif_filas!$A$2:$J$39,2,FALSE())</f>
        <v>Otros servicios</v>
      </c>
      <c r="D48" s="21" t="n">
        <f aca="false">VLOOKUP(B48,clasif_filas!$A$2:$J$39,3,FALSE())</f>
        <v>6</v>
      </c>
      <c r="E48" s="21" t="str">
        <f aca="false">VLOOKUP(B48,clasif_filas!$A$2:$J$39,4,FALSE())</f>
        <v>Otros servicios</v>
      </c>
      <c r="F48" s="21" t="n">
        <f aca="false">VLOOKUP(B48,clasif_filas!$A$2:$J$39,5,FALSE())</f>
        <v>99</v>
      </c>
      <c r="G48" s="21" t="str">
        <f aca="false">VLOOKUP(B48,clasif_filas!$A$2:$J$39,6,FALSE())</f>
        <v>No Bioeconomía</v>
      </c>
      <c r="H48" s="21" t="n">
        <f aca="false">VLOOKUP(B48,clasif_filas!$A$2:$J$39,7,FALSE())</f>
        <v>6</v>
      </c>
      <c r="I48" s="21" t="str">
        <f aca="false">VLOOKUP(B48,clasif_filas!$A$2:$J$39,8,FALSE())</f>
        <v>Servicios comerciales de distribución; alojamiento, servicios de suministro de comidas y bebidas; servicios de transporte; y servicios de distribución de electricidad, gas y agua</v>
      </c>
      <c r="J48" s="21" t="n">
        <f aca="false">VLOOKUP(B48,clasif_filas!$A$2:$J$39,9,FALSE())</f>
        <v>3</v>
      </c>
      <c r="K48" s="61" t="str">
        <f aca="false">VLOOKUP(B48,clasif_filas!$A$2:$J$39,10,FALSE())</f>
        <v>No bioeconomía</v>
      </c>
    </row>
    <row r="49" customFormat="false" ht="14.25" hidden="false" customHeight="false" outlineLevel="0" collapsed="false">
      <c r="A49" s="81" t="s">
        <v>2383</v>
      </c>
      <c r="B49" s="21" t="n">
        <v>6</v>
      </c>
      <c r="C49" s="21" t="str">
        <f aca="false">VLOOKUP(B49,clasif_filas!$A$2:$J$39,2,FALSE())</f>
        <v>Otros servicios</v>
      </c>
      <c r="D49" s="21" t="n">
        <f aca="false">VLOOKUP(B49,clasif_filas!$A$2:$J$39,3,FALSE())</f>
        <v>6</v>
      </c>
      <c r="E49" s="21" t="str">
        <f aca="false">VLOOKUP(B49,clasif_filas!$A$2:$J$39,4,FALSE())</f>
        <v>Otros servicios</v>
      </c>
      <c r="F49" s="21" t="n">
        <f aca="false">VLOOKUP(B49,clasif_filas!$A$2:$J$39,5,FALSE())</f>
        <v>99</v>
      </c>
      <c r="G49" s="21" t="str">
        <f aca="false">VLOOKUP(B49,clasif_filas!$A$2:$J$39,6,FALSE())</f>
        <v>No Bioeconomía</v>
      </c>
      <c r="H49" s="21" t="n">
        <f aca="false">VLOOKUP(B49,clasif_filas!$A$2:$J$39,7,FALSE())</f>
        <v>6</v>
      </c>
      <c r="I49" s="21" t="str">
        <f aca="false">VLOOKUP(B49,clasif_filas!$A$2:$J$39,8,FALSE())</f>
        <v>Servicios comerciales de distribución; alojamiento, servicios de suministro de comidas y bebidas; servicios de transporte; y servicios de distribución de electricidad, gas y agua</v>
      </c>
      <c r="J49" s="21" t="n">
        <f aca="false">VLOOKUP(B49,clasif_filas!$A$2:$J$39,9,FALSE())</f>
        <v>3</v>
      </c>
      <c r="K49" s="61" t="str">
        <f aca="false">VLOOKUP(B49,clasif_filas!$A$2:$J$39,10,FALSE())</f>
        <v>No bioeconomía</v>
      </c>
    </row>
    <row r="50" customFormat="false" ht="14.25" hidden="false" customHeight="false" outlineLevel="0" collapsed="false">
      <c r="A50" s="81" t="s">
        <v>2384</v>
      </c>
      <c r="B50" s="21" t="n">
        <v>6</v>
      </c>
      <c r="C50" s="21" t="str">
        <f aca="false">VLOOKUP(B50,clasif_filas!$A$2:$J$39,2,FALSE())</f>
        <v>Otros servicios</v>
      </c>
      <c r="D50" s="21" t="n">
        <f aca="false">VLOOKUP(B50,clasif_filas!$A$2:$J$39,3,FALSE())</f>
        <v>6</v>
      </c>
      <c r="E50" s="21" t="str">
        <f aca="false">VLOOKUP(B50,clasif_filas!$A$2:$J$39,4,FALSE())</f>
        <v>Otros servicios</v>
      </c>
      <c r="F50" s="21" t="n">
        <f aca="false">VLOOKUP(B50,clasif_filas!$A$2:$J$39,5,FALSE())</f>
        <v>99</v>
      </c>
      <c r="G50" s="21" t="str">
        <f aca="false">VLOOKUP(B50,clasif_filas!$A$2:$J$39,6,FALSE())</f>
        <v>No Bioeconomía</v>
      </c>
      <c r="H50" s="21" t="n">
        <f aca="false">VLOOKUP(B50,clasif_filas!$A$2:$J$39,7,FALSE())</f>
        <v>6</v>
      </c>
      <c r="I50" s="21" t="str">
        <f aca="false">VLOOKUP(B50,clasif_filas!$A$2:$J$39,8,FALSE())</f>
        <v>Servicios comerciales de distribución; alojamiento, servicios de suministro de comidas y bebidas; servicios de transporte; y servicios de distribución de electricidad, gas y agua</v>
      </c>
      <c r="J50" s="21" t="n">
        <f aca="false">VLOOKUP(B50,clasif_filas!$A$2:$J$39,9,FALSE())</f>
        <v>3</v>
      </c>
      <c r="K50" s="61" t="str">
        <f aca="false">VLOOKUP(B50,clasif_filas!$A$2:$J$39,10,FALSE())</f>
        <v>No bioeconomía</v>
      </c>
    </row>
    <row r="51" customFormat="false" ht="14.25" hidden="false" customHeight="false" outlineLevel="0" collapsed="false">
      <c r="A51" s="81" t="s">
        <v>2385</v>
      </c>
      <c r="B51" s="21" t="n">
        <v>6</v>
      </c>
      <c r="C51" s="21" t="str">
        <f aca="false">VLOOKUP(B51,clasif_filas!$A$2:$J$39,2,FALSE())</f>
        <v>Otros servicios</v>
      </c>
      <c r="D51" s="21" t="n">
        <f aca="false">VLOOKUP(B51,clasif_filas!$A$2:$J$39,3,FALSE())</f>
        <v>6</v>
      </c>
      <c r="E51" s="21" t="str">
        <f aca="false">VLOOKUP(B51,clasif_filas!$A$2:$J$39,4,FALSE())</f>
        <v>Otros servicios</v>
      </c>
      <c r="F51" s="21" t="n">
        <f aca="false">VLOOKUP(B51,clasif_filas!$A$2:$J$39,5,FALSE())</f>
        <v>99</v>
      </c>
      <c r="G51" s="21" t="str">
        <f aca="false">VLOOKUP(B51,clasif_filas!$A$2:$J$39,6,FALSE())</f>
        <v>No Bioeconomía</v>
      </c>
      <c r="H51" s="21" t="n">
        <f aca="false">VLOOKUP(B51,clasif_filas!$A$2:$J$39,7,FALSE())</f>
        <v>6</v>
      </c>
      <c r="I51" s="21" t="str">
        <f aca="false">VLOOKUP(B51,clasif_filas!$A$2:$J$39,8,FALSE())</f>
        <v>Servicios comerciales de distribución; alojamiento, servicios de suministro de comidas y bebidas; servicios de transporte; y servicios de distribución de electricidad, gas y agua</v>
      </c>
      <c r="J51" s="21" t="n">
        <f aca="false">VLOOKUP(B51,clasif_filas!$A$2:$J$39,9,FALSE())</f>
        <v>3</v>
      </c>
      <c r="K51" s="61" t="str">
        <f aca="false">VLOOKUP(B51,clasif_filas!$A$2:$J$39,10,FALSE())</f>
        <v>No bioeconomía</v>
      </c>
    </row>
    <row r="52" customFormat="false" ht="14.25" hidden="false" customHeight="false" outlineLevel="0" collapsed="false">
      <c r="A52" s="81" t="s">
        <v>2386</v>
      </c>
      <c r="B52" s="21" t="n">
        <v>6</v>
      </c>
      <c r="C52" s="21" t="str">
        <f aca="false">VLOOKUP(B52,clasif_filas!$A$2:$J$39,2,FALSE())</f>
        <v>Otros servicios</v>
      </c>
      <c r="D52" s="21" t="n">
        <f aca="false">VLOOKUP(B52,clasif_filas!$A$2:$J$39,3,FALSE())</f>
        <v>6</v>
      </c>
      <c r="E52" s="21" t="str">
        <f aca="false">VLOOKUP(B52,clasif_filas!$A$2:$J$39,4,FALSE())</f>
        <v>Otros servicios</v>
      </c>
      <c r="F52" s="21" t="n">
        <f aca="false">VLOOKUP(B52,clasif_filas!$A$2:$J$39,5,FALSE())</f>
        <v>99</v>
      </c>
      <c r="G52" s="21" t="str">
        <f aca="false">VLOOKUP(B52,clasif_filas!$A$2:$J$39,6,FALSE())</f>
        <v>No Bioeconomía</v>
      </c>
      <c r="H52" s="21" t="n">
        <f aca="false">VLOOKUP(B52,clasif_filas!$A$2:$J$39,7,FALSE())</f>
        <v>6</v>
      </c>
      <c r="I52" s="21" t="str">
        <f aca="false">VLOOKUP(B52,clasif_filas!$A$2:$J$39,8,FALSE())</f>
        <v>Servicios comerciales de distribución; alojamiento, servicios de suministro de comidas y bebidas; servicios de transporte; y servicios de distribución de electricidad, gas y agua</v>
      </c>
      <c r="J52" s="21" t="n">
        <f aca="false">VLOOKUP(B52,clasif_filas!$A$2:$J$39,9,FALSE())</f>
        <v>3</v>
      </c>
      <c r="K52" s="61" t="str">
        <f aca="false">VLOOKUP(B52,clasif_filas!$A$2:$J$39,10,FALSE())</f>
        <v>No bioeconomía</v>
      </c>
    </row>
    <row r="53" customFormat="false" ht="14.25" hidden="false" customHeight="false" outlineLevel="0" collapsed="false">
      <c r="A53" s="81" t="s">
        <v>2387</v>
      </c>
      <c r="B53" s="21" t="n">
        <v>6</v>
      </c>
      <c r="C53" s="21" t="str">
        <f aca="false">VLOOKUP(B53,clasif_filas!$A$2:$J$39,2,FALSE())</f>
        <v>Otros servicios</v>
      </c>
      <c r="D53" s="21" t="n">
        <f aca="false">VLOOKUP(B53,clasif_filas!$A$2:$J$39,3,FALSE())</f>
        <v>6</v>
      </c>
      <c r="E53" s="21" t="str">
        <f aca="false">VLOOKUP(B53,clasif_filas!$A$2:$J$39,4,FALSE())</f>
        <v>Otros servicios</v>
      </c>
      <c r="F53" s="21" t="n">
        <f aca="false">VLOOKUP(B53,clasif_filas!$A$2:$J$39,5,FALSE())</f>
        <v>99</v>
      </c>
      <c r="G53" s="21" t="str">
        <f aca="false">VLOOKUP(B53,clasif_filas!$A$2:$J$39,6,FALSE())</f>
        <v>No Bioeconomía</v>
      </c>
      <c r="H53" s="21" t="n">
        <f aca="false">VLOOKUP(B53,clasif_filas!$A$2:$J$39,7,FALSE())</f>
        <v>6</v>
      </c>
      <c r="I53" s="21" t="str">
        <f aca="false">VLOOKUP(B53,clasif_filas!$A$2:$J$39,8,FALSE())</f>
        <v>Servicios comerciales de distribución; alojamiento, servicios de suministro de comidas y bebidas; servicios de transporte; y servicios de distribución de electricidad, gas y agua</v>
      </c>
      <c r="J53" s="21" t="n">
        <f aca="false">VLOOKUP(B53,clasif_filas!$A$2:$J$39,9,FALSE())</f>
        <v>3</v>
      </c>
      <c r="K53" s="61" t="str">
        <f aca="false">VLOOKUP(B53,clasif_filas!$A$2:$J$39,10,FALSE())</f>
        <v>No bioeconomía</v>
      </c>
    </row>
    <row r="54" customFormat="false" ht="14.25" hidden="false" customHeight="false" outlineLevel="0" collapsed="false">
      <c r="A54" s="81" t="s">
        <v>2388</v>
      </c>
      <c r="B54" s="21" t="n">
        <v>86</v>
      </c>
      <c r="C54" s="21" t="str">
        <f aca="false">VLOOKUP(B54,clasif_filas!$A$2:$J$39,2,FALSE())</f>
        <v>Servicios de apoyo a la agricultura,la caza, la silvicutura, la pesca, la minería y los servicios públicos</v>
      </c>
      <c r="D54" s="21" t="n">
        <f aca="false">VLOOKUP(B54,clasif_filas!$A$2:$J$39,3,FALSE())</f>
        <v>86</v>
      </c>
      <c r="E54" s="21" t="str">
        <f aca="false">VLOOKUP(B54,clasif_filas!$A$2:$J$39,4,FALSE())</f>
        <v>Servicios de apoyo a la agricultura,la caza, la silvicutura, la pesca, la minería y los servicios públicos</v>
      </c>
      <c r="F54" s="21" t="n">
        <f aca="false">VLOOKUP(B54,clasif_filas!$A$2:$J$39,5,FALSE())</f>
        <v>6</v>
      </c>
      <c r="G54" s="21" t="str">
        <f aca="false">VLOOKUP(B54,clasif_filas!$A$2:$J$39,6,FALSE())</f>
        <v>Conocimiento, procesos y servicios relacionados</v>
      </c>
      <c r="H54" s="21" t="n">
        <f aca="false">VLOOKUP(B54,clasif_filas!$A$2:$J$39,7,FALSE())</f>
        <v>8</v>
      </c>
      <c r="I54" s="21" t="str">
        <f aca="false">VLOOKUP(B54,clasif_filas!$A$2:$J$39,8,FALSE())</f>
        <v>Servicios prestados a las empresas y servicios de producción</v>
      </c>
      <c r="J54" s="21" t="n">
        <f aca="false">VLOOKUP(B54,clasif_filas!$A$2:$J$39,9,FALSE())</f>
        <v>1</v>
      </c>
      <c r="K54" s="61" t="str">
        <f aca="false">VLOOKUP(B54,clasif_filas!$A$2:$J$39,10,FALSE())</f>
        <v>Bioeconomía extendida</v>
      </c>
    </row>
    <row r="55" customFormat="false" ht="14.25" hidden="false" customHeight="false" outlineLevel="0" collapsed="false">
      <c r="A55" s="81" t="s">
        <v>2389</v>
      </c>
      <c r="B55" s="21" t="n">
        <v>6</v>
      </c>
      <c r="C55" s="21" t="str">
        <f aca="false">VLOOKUP(B55,clasif_filas!$A$2:$J$39,2,FALSE())</f>
        <v>Otros servicios</v>
      </c>
      <c r="D55" s="21" t="n">
        <f aca="false">VLOOKUP(B55,clasif_filas!$A$2:$J$39,3,FALSE())</f>
        <v>6</v>
      </c>
      <c r="E55" s="21" t="str">
        <f aca="false">VLOOKUP(B55,clasif_filas!$A$2:$J$39,4,FALSE())</f>
        <v>Otros servicios</v>
      </c>
      <c r="F55" s="21" t="n">
        <f aca="false">VLOOKUP(B55,clasif_filas!$A$2:$J$39,5,FALSE())</f>
        <v>99</v>
      </c>
      <c r="G55" s="21" t="str">
        <f aca="false">VLOOKUP(B55,clasif_filas!$A$2:$J$39,6,FALSE())</f>
        <v>No Bioeconomía</v>
      </c>
      <c r="H55" s="21" t="n">
        <f aca="false">VLOOKUP(B55,clasif_filas!$A$2:$J$39,7,FALSE())</f>
        <v>6</v>
      </c>
      <c r="I55" s="21" t="str">
        <f aca="false">VLOOKUP(B55,clasif_filas!$A$2:$J$39,8,FALSE())</f>
        <v>Servicios comerciales de distribución; alojamiento, servicios de suministro de comidas y bebidas; servicios de transporte; y servicios de distribución de electricidad, gas y agua</v>
      </c>
      <c r="J55" s="21" t="n">
        <f aca="false">VLOOKUP(B55,clasif_filas!$A$2:$J$39,9,FALSE())</f>
        <v>3</v>
      </c>
      <c r="K55" s="61" t="str">
        <f aca="false">VLOOKUP(B55,clasif_filas!$A$2:$J$39,10,FALSE())</f>
        <v>No bioeconomía</v>
      </c>
    </row>
    <row r="56" customFormat="false" ht="14.25" hidden="false" customHeight="false" outlineLevel="0" collapsed="false">
      <c r="A56" s="81" t="s">
        <v>2390</v>
      </c>
      <c r="B56" s="21" t="n">
        <v>6</v>
      </c>
      <c r="C56" s="21" t="str">
        <f aca="false">VLOOKUP(B56,clasif_filas!$A$2:$J$39,2,FALSE())</f>
        <v>Otros servicios</v>
      </c>
      <c r="D56" s="21" t="n">
        <f aca="false">VLOOKUP(B56,clasif_filas!$A$2:$J$39,3,FALSE())</f>
        <v>6</v>
      </c>
      <c r="E56" s="21" t="str">
        <f aca="false">VLOOKUP(B56,clasif_filas!$A$2:$J$39,4,FALSE())</f>
        <v>Otros servicios</v>
      </c>
      <c r="F56" s="21" t="n">
        <f aca="false">VLOOKUP(B56,clasif_filas!$A$2:$J$39,5,FALSE())</f>
        <v>99</v>
      </c>
      <c r="G56" s="21" t="str">
        <f aca="false">VLOOKUP(B56,clasif_filas!$A$2:$J$39,6,FALSE())</f>
        <v>No Bioeconomía</v>
      </c>
      <c r="H56" s="21" t="n">
        <f aca="false">VLOOKUP(B56,clasif_filas!$A$2:$J$39,7,FALSE())</f>
        <v>6</v>
      </c>
      <c r="I56" s="21" t="str">
        <f aca="false">VLOOKUP(B56,clasif_filas!$A$2:$J$39,8,FALSE())</f>
        <v>Servicios comerciales de distribución; alojamiento, servicios de suministro de comidas y bebidas; servicios de transporte; y servicios de distribución de electricidad, gas y agua</v>
      </c>
      <c r="J56" s="21" t="n">
        <f aca="false">VLOOKUP(B56,clasif_filas!$A$2:$J$39,9,FALSE())</f>
        <v>3</v>
      </c>
      <c r="K56" s="61" t="str">
        <f aca="false">VLOOKUP(B56,clasif_filas!$A$2:$J$39,10,FALSE())</f>
        <v>No bioeconomía</v>
      </c>
    </row>
    <row r="57" customFormat="false" ht="14.25" hidden="false" customHeight="false" outlineLevel="0" collapsed="false">
      <c r="A57" s="81" t="s">
        <v>2391</v>
      </c>
      <c r="B57" s="21" t="n">
        <v>6</v>
      </c>
      <c r="C57" s="21" t="str">
        <f aca="false">VLOOKUP(B57,clasif_filas!$A$2:$J$39,2,FALSE())</f>
        <v>Otros servicios</v>
      </c>
      <c r="D57" s="21" t="n">
        <f aca="false">VLOOKUP(B57,clasif_filas!$A$2:$J$39,3,FALSE())</f>
        <v>6</v>
      </c>
      <c r="E57" s="21" t="str">
        <f aca="false">VLOOKUP(B57,clasif_filas!$A$2:$J$39,4,FALSE())</f>
        <v>Otros servicios</v>
      </c>
      <c r="F57" s="21" t="n">
        <f aca="false">VLOOKUP(B57,clasif_filas!$A$2:$J$39,5,FALSE())</f>
        <v>99</v>
      </c>
      <c r="G57" s="21" t="str">
        <f aca="false">VLOOKUP(B57,clasif_filas!$A$2:$J$39,6,FALSE())</f>
        <v>No Bioeconomía</v>
      </c>
      <c r="H57" s="21" t="n">
        <f aca="false">VLOOKUP(B57,clasif_filas!$A$2:$J$39,7,FALSE())</f>
        <v>6</v>
      </c>
      <c r="I57" s="21" t="str">
        <f aca="false">VLOOKUP(B57,clasif_filas!$A$2:$J$39,8,FALSE())</f>
        <v>Servicios comerciales de distribución; alojamiento, servicios de suministro de comidas y bebidas; servicios de transporte; y servicios de distribución de electricidad, gas y agua</v>
      </c>
      <c r="J57" s="21" t="n">
        <f aca="false">VLOOKUP(B57,clasif_filas!$A$2:$J$39,9,FALSE())</f>
        <v>3</v>
      </c>
      <c r="K57" s="61" t="str">
        <f aca="false">VLOOKUP(B57,clasif_filas!$A$2:$J$39,10,FALSE())</f>
        <v>No bioeconomía</v>
      </c>
    </row>
    <row r="58" customFormat="false" ht="14.25" hidden="false" customHeight="false" outlineLevel="0" collapsed="false">
      <c r="A58" s="81" t="s">
        <v>2392</v>
      </c>
      <c r="B58" s="21" t="n">
        <v>6</v>
      </c>
      <c r="C58" s="21" t="str">
        <f aca="false">VLOOKUP(B58,clasif_filas!$A$2:$J$39,2,FALSE())</f>
        <v>Otros servicios</v>
      </c>
      <c r="D58" s="21" t="n">
        <f aca="false">VLOOKUP(B58,clasif_filas!$A$2:$J$39,3,FALSE())</f>
        <v>6</v>
      </c>
      <c r="E58" s="21" t="str">
        <f aca="false">VLOOKUP(B58,clasif_filas!$A$2:$J$39,4,FALSE())</f>
        <v>Otros servicios</v>
      </c>
      <c r="F58" s="21" t="n">
        <f aca="false">VLOOKUP(B58,clasif_filas!$A$2:$J$39,5,FALSE())</f>
        <v>99</v>
      </c>
      <c r="G58" s="21" t="str">
        <f aca="false">VLOOKUP(B58,clasif_filas!$A$2:$J$39,6,FALSE())</f>
        <v>No Bioeconomía</v>
      </c>
      <c r="H58" s="21" t="n">
        <f aca="false">VLOOKUP(B58,clasif_filas!$A$2:$J$39,7,FALSE())</f>
        <v>6</v>
      </c>
      <c r="I58" s="21" t="str">
        <f aca="false">VLOOKUP(B58,clasif_filas!$A$2:$J$39,8,FALSE())</f>
        <v>Servicios comerciales de distribución; alojamiento, servicios de suministro de comidas y bebidas; servicios de transporte; y servicios de distribución de electricidad, gas y agua</v>
      </c>
      <c r="J58" s="21" t="n">
        <f aca="false">VLOOKUP(B58,clasif_filas!$A$2:$J$39,9,FALSE())</f>
        <v>3</v>
      </c>
      <c r="K58" s="61" t="str">
        <f aca="false">VLOOKUP(B58,clasif_filas!$A$2:$J$39,10,FALSE())</f>
        <v>No bioeconomía</v>
      </c>
    </row>
    <row r="59" customFormat="false" ht="14.25" hidden="false" customHeight="false" outlineLevel="0" collapsed="false">
      <c r="A59" s="81" t="s">
        <v>2393</v>
      </c>
      <c r="B59" s="21" t="n">
        <v>6</v>
      </c>
      <c r="C59" s="21" t="str">
        <f aca="false">VLOOKUP(B59,clasif_filas!$A$2:$J$39,2,FALSE())</f>
        <v>Otros servicios</v>
      </c>
      <c r="D59" s="21" t="n">
        <f aca="false">VLOOKUP(B59,clasif_filas!$A$2:$J$39,3,FALSE())</f>
        <v>6</v>
      </c>
      <c r="E59" s="21" t="str">
        <f aca="false">VLOOKUP(B59,clasif_filas!$A$2:$J$39,4,FALSE())</f>
        <v>Otros servicios</v>
      </c>
      <c r="F59" s="21" t="n">
        <f aca="false">VLOOKUP(B59,clasif_filas!$A$2:$J$39,5,FALSE())</f>
        <v>99</v>
      </c>
      <c r="G59" s="21" t="str">
        <f aca="false">VLOOKUP(B59,clasif_filas!$A$2:$J$39,6,FALSE())</f>
        <v>No Bioeconomía</v>
      </c>
      <c r="H59" s="21" t="n">
        <f aca="false">VLOOKUP(B59,clasif_filas!$A$2:$J$39,7,FALSE())</f>
        <v>6</v>
      </c>
      <c r="I59" s="21" t="str">
        <f aca="false">VLOOKUP(B59,clasif_filas!$A$2:$J$39,8,FALSE())</f>
        <v>Servicios comerciales de distribución; alojamiento, servicios de suministro de comidas y bebidas; servicios de transporte; y servicios de distribución de electricidad, gas y agua</v>
      </c>
      <c r="J59" s="21" t="n">
        <f aca="false">VLOOKUP(B59,clasif_filas!$A$2:$J$39,9,FALSE())</f>
        <v>3</v>
      </c>
      <c r="K59" s="61" t="str">
        <f aca="false">VLOOKUP(B59,clasif_filas!$A$2:$J$39,10,FALSE())</f>
        <v>No bioeconomía</v>
      </c>
    </row>
    <row r="60" customFormat="false" ht="14.25" hidden="false" customHeight="false" outlineLevel="0" collapsed="false">
      <c r="A60" s="81" t="s">
        <v>2394</v>
      </c>
      <c r="B60" s="17" t="n">
        <v>6</v>
      </c>
      <c r="C60" s="21" t="str">
        <f aca="false">VLOOKUP(B60,clasif_filas!$A$2:$J$39,2,FALSE())</f>
        <v>Otros servicios</v>
      </c>
      <c r="D60" s="21" t="n">
        <f aca="false">VLOOKUP(B60,clasif_filas!$A$2:$J$39,3,FALSE())</f>
        <v>6</v>
      </c>
      <c r="E60" s="21" t="str">
        <f aca="false">VLOOKUP(B60,clasif_filas!$A$2:$J$39,4,FALSE())</f>
        <v>Otros servicios</v>
      </c>
      <c r="F60" s="21" t="n">
        <f aca="false">VLOOKUP(B60,clasif_filas!$A$2:$J$39,5,FALSE())</f>
        <v>99</v>
      </c>
      <c r="G60" s="21" t="str">
        <f aca="false">VLOOKUP(B60,clasif_filas!$A$2:$J$39,6,FALSE())</f>
        <v>No Bioeconomía</v>
      </c>
      <c r="H60" s="21" t="n">
        <f aca="false">VLOOKUP(B60,clasif_filas!$A$2:$J$39,7,FALSE())</f>
        <v>6</v>
      </c>
      <c r="I60" s="21" t="str">
        <f aca="false">VLOOKUP(B60,clasif_filas!$A$2:$J$39,8,FALSE())</f>
        <v>Servicios comerciales de distribución; alojamiento, servicios de suministro de comidas y bebidas; servicios de transporte; y servicios de distribución de electricidad, gas y agua</v>
      </c>
      <c r="J60" s="21" t="n">
        <f aca="false">VLOOKUP(B60,clasif_filas!$A$2:$J$39,9,FALSE())</f>
        <v>3</v>
      </c>
      <c r="K60" s="61" t="str">
        <f aca="false">VLOOKUP(B60,clasif_filas!$A$2:$J$39,10,FALSE())</f>
        <v>No bioeconomía</v>
      </c>
    </row>
    <row r="61" customFormat="false" ht="14.25" hidden="false" customHeight="false" outlineLevel="0" collapsed="false">
      <c r="A61" s="81" t="s">
        <v>2270</v>
      </c>
      <c r="B61" s="66" t="n">
        <v>6</v>
      </c>
      <c r="C61" s="21" t="str">
        <f aca="false">VLOOKUP(B61,clasif_filas!$A$2:$J$39,2,FALSE())</f>
        <v>Otros servicios</v>
      </c>
      <c r="D61" s="21" t="n">
        <f aca="false">VLOOKUP(B61,clasif_filas!$A$2:$J$39,3,FALSE())</f>
        <v>6</v>
      </c>
      <c r="E61" s="21" t="str">
        <f aca="false">VLOOKUP(B61,clasif_filas!$A$2:$J$39,4,FALSE())</f>
        <v>Otros servicios</v>
      </c>
      <c r="F61" s="21" t="n">
        <f aca="false">VLOOKUP(B61,clasif_filas!$A$2:$J$39,5,FALSE())</f>
        <v>99</v>
      </c>
      <c r="G61" s="21" t="str">
        <f aca="false">VLOOKUP(B61,clasif_filas!$A$2:$J$39,6,FALSE())</f>
        <v>No Bioeconomía</v>
      </c>
      <c r="H61" s="21" t="n">
        <f aca="false">VLOOKUP(B61,clasif_filas!$A$2:$J$39,7,FALSE())</f>
        <v>6</v>
      </c>
      <c r="I61" s="21" t="str">
        <f aca="false">VLOOKUP(B61,clasif_filas!$A$2:$J$39,8,FALSE())</f>
        <v>Servicios comerciales de distribución; alojamiento, servicios de suministro de comidas y bebidas; servicios de transporte; y servicios de distribución de electricidad, gas y agua</v>
      </c>
      <c r="J61" s="21" t="n">
        <f aca="false">VLOOKUP(B61,clasif_filas!$A$2:$J$39,9,FALSE())</f>
        <v>3</v>
      </c>
      <c r="K61" s="61" t="str">
        <f aca="false">VLOOKUP(B61,clasif_filas!$A$2:$J$39,10,FALSE())</f>
        <v>No bioeconomía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2" min="2" style="1" width="19.54"/>
  </cols>
  <sheetData>
    <row r="1" customFormat="false" ht="14.25" hidden="false" customHeight="false" outlineLevel="0" collapsed="false">
      <c r="A1" s="1" t="s">
        <v>2395</v>
      </c>
      <c r="B1" s="1" t="s">
        <v>2396</v>
      </c>
      <c r="D1" s="1" t="s">
        <v>1428</v>
      </c>
      <c r="E1" s="1" t="s">
        <v>1429</v>
      </c>
    </row>
    <row r="2" customFormat="false" ht="14.25" hidden="false" customHeight="false" outlineLevel="0" collapsed="false">
      <c r="A2" s="1" t="n">
        <v>1</v>
      </c>
      <c r="B2" s="1" t="s">
        <v>1938</v>
      </c>
      <c r="D2" s="1" t="n">
        <v>1</v>
      </c>
      <c r="E2" s="1" t="s">
        <v>1938</v>
      </c>
    </row>
    <row r="3" customFormat="false" ht="14.25" hidden="false" customHeight="false" outlineLevel="0" collapsed="false">
      <c r="A3" s="1" t="n">
        <v>2</v>
      </c>
      <c r="B3" s="1" t="s">
        <v>2296</v>
      </c>
      <c r="D3" s="1" t="n">
        <v>2</v>
      </c>
      <c r="E3" s="1" t="s">
        <v>2296</v>
      </c>
    </row>
    <row r="4" customFormat="false" ht="14.25" hidden="false" customHeight="false" outlineLevel="0" collapsed="false">
      <c r="A4" s="1" t="n">
        <v>3</v>
      </c>
      <c r="B4" s="1" t="s">
        <v>1602</v>
      </c>
      <c r="D4" s="1" t="n">
        <v>3</v>
      </c>
      <c r="E4" s="1" t="s">
        <v>1602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C67"/>
  <sheetViews>
    <sheetView showFormulas="false" showGridLines="tru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A3" activeCellId="0" sqref="A3"/>
    </sheetView>
  </sheetViews>
  <sheetFormatPr defaultColWidth="25.54296875" defaultRowHeight="14.25" customHeight="false" zeroHeight="false" outlineLevelRow="0" outlineLevelCol="0"/>
  <cols>
    <col collapsed="false" customWidth="true" hidden="false" outlineLevel="0" max="4" min="4" style="1" width="255.54"/>
  </cols>
  <sheetData>
    <row r="3" customFormat="false" ht="14.25" hidden="false" customHeight="false" outlineLevel="0" collapsed="false">
      <c r="A3" s="82" t="s">
        <v>1422</v>
      </c>
      <c r="B3" s="83" t="s">
        <v>1423</v>
      </c>
      <c r="C3" s="84" t="s">
        <v>2397</v>
      </c>
    </row>
    <row r="4" customFormat="false" ht="14.25" hidden="false" customHeight="false" outlineLevel="0" collapsed="false">
      <c r="A4" s="85" t="n">
        <v>39.2</v>
      </c>
      <c r="B4" s="86" t="s">
        <v>1533</v>
      </c>
      <c r="C4" s="87"/>
    </row>
    <row r="5" customFormat="false" ht="14.25" hidden="false" customHeight="false" outlineLevel="0" collapsed="false">
      <c r="A5" s="85" t="s">
        <v>1431</v>
      </c>
      <c r="B5" s="86" t="s">
        <v>1432</v>
      </c>
      <c r="C5" s="87"/>
    </row>
    <row r="6" customFormat="false" ht="14.25" hidden="false" customHeight="false" outlineLevel="0" collapsed="false">
      <c r="A6" s="85" t="s">
        <v>1434</v>
      </c>
      <c r="B6" s="86" t="s">
        <v>1435</v>
      </c>
      <c r="C6" s="87"/>
    </row>
    <row r="7" customFormat="false" ht="14.25" hidden="false" customHeight="false" outlineLevel="0" collapsed="false">
      <c r="A7" s="85" t="s">
        <v>1436</v>
      </c>
      <c r="B7" s="86" t="s">
        <v>1437</v>
      </c>
      <c r="C7" s="87"/>
    </row>
    <row r="8" customFormat="false" ht="14.25" hidden="false" customHeight="false" outlineLevel="0" collapsed="false">
      <c r="A8" s="85" t="s">
        <v>1438</v>
      </c>
      <c r="B8" s="86" t="s">
        <v>1439</v>
      </c>
      <c r="C8" s="87"/>
    </row>
    <row r="9" customFormat="false" ht="14.25" hidden="false" customHeight="false" outlineLevel="0" collapsed="false">
      <c r="A9" s="85" t="s">
        <v>1440</v>
      </c>
      <c r="B9" s="86" t="s">
        <v>1441</v>
      </c>
      <c r="C9" s="87"/>
    </row>
    <row r="10" customFormat="false" ht="14.25" hidden="false" customHeight="false" outlineLevel="0" collapsed="false">
      <c r="A10" s="85" t="s">
        <v>1442</v>
      </c>
      <c r="B10" s="86" t="s">
        <v>1443</v>
      </c>
      <c r="C10" s="87"/>
    </row>
    <row r="11" customFormat="false" ht="14.25" hidden="false" customHeight="false" outlineLevel="0" collapsed="false">
      <c r="A11" s="85" t="s">
        <v>1444</v>
      </c>
      <c r="B11" s="86" t="s">
        <v>1445</v>
      </c>
      <c r="C11" s="87"/>
    </row>
    <row r="12" customFormat="false" ht="14.25" hidden="false" customHeight="false" outlineLevel="0" collapsed="false">
      <c r="A12" s="85" t="s">
        <v>1446</v>
      </c>
      <c r="B12" s="86" t="s">
        <v>1447</v>
      </c>
      <c r="C12" s="87"/>
    </row>
    <row r="13" customFormat="false" ht="14.25" hidden="false" customHeight="false" outlineLevel="0" collapsed="false">
      <c r="A13" s="85" t="s">
        <v>1448</v>
      </c>
      <c r="B13" s="86" t="s">
        <v>1449</v>
      </c>
      <c r="C13" s="87"/>
    </row>
    <row r="14" customFormat="false" ht="14.25" hidden="false" customHeight="false" outlineLevel="0" collapsed="false">
      <c r="A14" s="85" t="s">
        <v>1450</v>
      </c>
      <c r="B14" s="86" t="s">
        <v>1451</v>
      </c>
      <c r="C14" s="87"/>
    </row>
    <row r="15" customFormat="false" ht="14.25" hidden="false" customHeight="false" outlineLevel="0" collapsed="false">
      <c r="A15" s="85" t="s">
        <v>1452</v>
      </c>
      <c r="B15" s="86" t="s">
        <v>1453</v>
      </c>
      <c r="C15" s="87"/>
    </row>
    <row r="16" customFormat="false" ht="14.25" hidden="false" customHeight="false" outlineLevel="0" collapsed="false">
      <c r="A16" s="85" t="s">
        <v>1454</v>
      </c>
      <c r="B16" s="86" t="s">
        <v>1455</v>
      </c>
      <c r="C16" s="87"/>
    </row>
    <row r="17" customFormat="false" ht="14.25" hidden="false" customHeight="false" outlineLevel="0" collapsed="false">
      <c r="A17" s="85" t="s">
        <v>1456</v>
      </c>
      <c r="B17" s="86" t="s">
        <v>1457</v>
      </c>
      <c r="C17" s="87"/>
    </row>
    <row r="18" customFormat="false" ht="14.25" hidden="false" customHeight="false" outlineLevel="0" collapsed="false">
      <c r="A18" s="85" t="s">
        <v>1458</v>
      </c>
      <c r="B18" s="86" t="s">
        <v>1459</v>
      </c>
      <c r="C18" s="87"/>
    </row>
    <row r="19" customFormat="false" ht="14.25" hidden="false" customHeight="false" outlineLevel="0" collapsed="false">
      <c r="A19" s="85" t="s">
        <v>1460</v>
      </c>
      <c r="B19" s="86" t="s">
        <v>1461</v>
      </c>
      <c r="C19" s="87"/>
    </row>
    <row r="20" customFormat="false" ht="14.25" hidden="false" customHeight="false" outlineLevel="0" collapsed="false">
      <c r="A20" s="85" t="s">
        <v>1462</v>
      </c>
      <c r="B20" s="86" t="s">
        <v>1463</v>
      </c>
      <c r="C20" s="87"/>
    </row>
    <row r="21" customFormat="false" ht="14.25" hidden="false" customHeight="false" outlineLevel="0" collapsed="false">
      <c r="A21" s="85" t="s">
        <v>1465</v>
      </c>
      <c r="B21" s="86" t="s">
        <v>1466</v>
      </c>
      <c r="C21" s="87"/>
    </row>
    <row r="22" customFormat="false" ht="14.25" hidden="false" customHeight="false" outlineLevel="0" collapsed="false">
      <c r="A22" s="85" t="s">
        <v>1468</v>
      </c>
      <c r="B22" s="86" t="s">
        <v>1469</v>
      </c>
      <c r="C22" s="87"/>
    </row>
    <row r="23" customFormat="false" ht="14.25" hidden="false" customHeight="false" outlineLevel="0" collapsed="false">
      <c r="A23" s="85" t="s">
        <v>1470</v>
      </c>
      <c r="B23" s="86" t="s">
        <v>1471</v>
      </c>
      <c r="C23" s="87"/>
    </row>
    <row r="24" customFormat="false" ht="14.25" hidden="false" customHeight="false" outlineLevel="0" collapsed="false">
      <c r="A24" s="85" t="s">
        <v>1472</v>
      </c>
      <c r="B24" s="86" t="s">
        <v>1473</v>
      </c>
      <c r="C24" s="87"/>
    </row>
    <row r="25" customFormat="false" ht="14.25" hidden="false" customHeight="false" outlineLevel="0" collapsed="false">
      <c r="A25" s="85" t="s">
        <v>1474</v>
      </c>
      <c r="B25" s="86" t="s">
        <v>1475</v>
      </c>
      <c r="C25" s="87"/>
    </row>
    <row r="26" customFormat="false" ht="14.25" hidden="false" customHeight="false" outlineLevel="0" collapsed="false">
      <c r="A26" s="85" t="s">
        <v>1476</v>
      </c>
      <c r="B26" s="86" t="s">
        <v>1477</v>
      </c>
      <c r="C26" s="87"/>
    </row>
    <row r="27" customFormat="false" ht="14.25" hidden="false" customHeight="false" outlineLevel="0" collapsed="false">
      <c r="A27" s="85" t="s">
        <v>1478</v>
      </c>
      <c r="B27" s="86" t="s">
        <v>1479</v>
      </c>
      <c r="C27" s="87"/>
    </row>
    <row r="28" customFormat="false" ht="14.25" hidden="false" customHeight="false" outlineLevel="0" collapsed="false">
      <c r="A28" s="85" t="s">
        <v>1480</v>
      </c>
      <c r="B28" s="86" t="s">
        <v>1481</v>
      </c>
      <c r="C28" s="87"/>
    </row>
    <row r="29" customFormat="false" ht="14.25" hidden="false" customHeight="false" outlineLevel="0" collapsed="false">
      <c r="A29" s="85" t="s">
        <v>1482</v>
      </c>
      <c r="B29" s="86" t="s">
        <v>1483</v>
      </c>
      <c r="C29" s="87"/>
    </row>
    <row r="30" customFormat="false" ht="14.25" hidden="false" customHeight="false" outlineLevel="0" collapsed="false">
      <c r="A30" s="85" t="s">
        <v>1484</v>
      </c>
      <c r="B30" s="86" t="s">
        <v>1485</v>
      </c>
      <c r="C30" s="87"/>
    </row>
    <row r="31" customFormat="false" ht="14.25" hidden="false" customHeight="false" outlineLevel="0" collapsed="false">
      <c r="A31" s="85" t="s">
        <v>1486</v>
      </c>
      <c r="B31" s="86" t="s">
        <v>1487</v>
      </c>
      <c r="C31" s="87"/>
    </row>
    <row r="32" customFormat="false" ht="14.25" hidden="false" customHeight="false" outlineLevel="0" collapsed="false">
      <c r="A32" s="85" t="s">
        <v>1488</v>
      </c>
      <c r="B32" s="86" t="s">
        <v>1489</v>
      </c>
      <c r="C32" s="87"/>
    </row>
    <row r="33" customFormat="false" ht="14.25" hidden="false" customHeight="false" outlineLevel="0" collapsed="false">
      <c r="A33" s="85" t="s">
        <v>1490</v>
      </c>
      <c r="B33" s="86" t="s">
        <v>1491</v>
      </c>
      <c r="C33" s="87"/>
    </row>
    <row r="34" customFormat="false" ht="14.25" hidden="false" customHeight="false" outlineLevel="0" collapsed="false">
      <c r="A34" s="85" t="s">
        <v>1492</v>
      </c>
      <c r="B34" s="86" t="s">
        <v>1493</v>
      </c>
      <c r="C34" s="87"/>
    </row>
    <row r="35" customFormat="false" ht="14.25" hidden="false" customHeight="false" outlineLevel="0" collapsed="false">
      <c r="A35" s="85" t="s">
        <v>1494</v>
      </c>
      <c r="B35" s="86" t="s">
        <v>1495</v>
      </c>
      <c r="C35" s="87"/>
    </row>
    <row r="36" customFormat="false" ht="14.25" hidden="false" customHeight="false" outlineLevel="0" collapsed="false">
      <c r="A36" s="85" t="s">
        <v>1496</v>
      </c>
      <c r="B36" s="86" t="s">
        <v>1497</v>
      </c>
      <c r="C36" s="87"/>
    </row>
    <row r="37" customFormat="false" ht="14.25" hidden="false" customHeight="false" outlineLevel="0" collapsed="false">
      <c r="A37" s="85" t="s">
        <v>1498</v>
      </c>
      <c r="B37" s="86" t="s">
        <v>1499</v>
      </c>
      <c r="C37" s="87"/>
    </row>
    <row r="38" customFormat="false" ht="14.25" hidden="false" customHeight="false" outlineLevel="0" collapsed="false">
      <c r="A38" s="85" t="s">
        <v>1500</v>
      </c>
      <c r="B38" s="86" t="s">
        <v>1501</v>
      </c>
      <c r="C38" s="87"/>
    </row>
    <row r="39" customFormat="false" ht="14.25" hidden="false" customHeight="false" outlineLevel="0" collapsed="false">
      <c r="A39" s="85" t="s">
        <v>1502</v>
      </c>
      <c r="B39" s="86" t="s">
        <v>1503</v>
      </c>
      <c r="C39" s="87"/>
    </row>
    <row r="40" customFormat="false" ht="14.25" hidden="false" customHeight="false" outlineLevel="0" collapsed="false">
      <c r="A40" s="85" t="s">
        <v>1504</v>
      </c>
      <c r="B40" s="86" t="s">
        <v>1505</v>
      </c>
      <c r="C40" s="87"/>
    </row>
    <row r="41" customFormat="false" ht="14.25" hidden="false" customHeight="false" outlineLevel="0" collapsed="false">
      <c r="A41" s="85" t="s">
        <v>1506</v>
      </c>
      <c r="B41" s="86" t="s">
        <v>1507</v>
      </c>
      <c r="C41" s="87"/>
    </row>
    <row r="42" customFormat="false" ht="14.25" hidden="false" customHeight="false" outlineLevel="0" collapsed="false">
      <c r="A42" s="85" t="s">
        <v>1508</v>
      </c>
      <c r="B42" s="86" t="s">
        <v>1509</v>
      </c>
      <c r="C42" s="87"/>
    </row>
    <row r="43" customFormat="false" ht="14.25" hidden="false" customHeight="false" outlineLevel="0" collapsed="false">
      <c r="A43" s="85" t="s">
        <v>1510</v>
      </c>
      <c r="B43" s="86" t="s">
        <v>1511</v>
      </c>
      <c r="C43" s="87"/>
    </row>
    <row r="44" customFormat="false" ht="14.25" hidden="false" customHeight="false" outlineLevel="0" collapsed="false">
      <c r="A44" s="85" t="s">
        <v>1513</v>
      </c>
      <c r="B44" s="86" t="s">
        <v>1514</v>
      </c>
      <c r="C44" s="87"/>
    </row>
    <row r="45" customFormat="false" ht="14.25" hidden="false" customHeight="false" outlineLevel="0" collapsed="false">
      <c r="A45" s="85" t="s">
        <v>1516</v>
      </c>
      <c r="B45" s="86" t="s">
        <v>1517</v>
      </c>
      <c r="C45" s="87"/>
    </row>
    <row r="46" customFormat="false" ht="14.25" hidden="false" customHeight="false" outlineLevel="0" collapsed="false">
      <c r="A46" s="85" t="s">
        <v>1518</v>
      </c>
      <c r="B46" s="86" t="s">
        <v>1519</v>
      </c>
      <c r="C46" s="87"/>
    </row>
    <row r="47" customFormat="false" ht="14.25" hidden="false" customHeight="false" outlineLevel="0" collapsed="false">
      <c r="A47" s="85" t="s">
        <v>1521</v>
      </c>
      <c r="B47" s="86" t="s">
        <v>1522</v>
      </c>
      <c r="C47" s="87"/>
    </row>
    <row r="48" customFormat="false" ht="14.25" hidden="false" customHeight="false" outlineLevel="0" collapsed="false">
      <c r="A48" s="85" t="s">
        <v>1524</v>
      </c>
      <c r="B48" s="86" t="s">
        <v>1525</v>
      </c>
      <c r="C48" s="87"/>
    </row>
    <row r="49" customFormat="false" ht="14.25" hidden="false" customHeight="false" outlineLevel="0" collapsed="false">
      <c r="A49" s="85" t="s">
        <v>1526</v>
      </c>
      <c r="B49" s="86" t="s">
        <v>1527</v>
      </c>
      <c r="C49" s="87"/>
    </row>
    <row r="50" customFormat="false" ht="14.25" hidden="false" customHeight="false" outlineLevel="0" collapsed="false">
      <c r="A50" s="85" t="s">
        <v>1528</v>
      </c>
      <c r="B50" s="86" t="s">
        <v>1529</v>
      </c>
      <c r="C50" s="87"/>
    </row>
    <row r="51" customFormat="false" ht="14.25" hidden="false" customHeight="false" outlineLevel="0" collapsed="false">
      <c r="A51" s="85" t="s">
        <v>1531</v>
      </c>
      <c r="B51" s="86" t="s">
        <v>1532</v>
      </c>
      <c r="C51" s="87"/>
    </row>
    <row r="52" customFormat="false" ht="14.25" hidden="false" customHeight="false" outlineLevel="0" collapsed="false">
      <c r="A52" s="85" t="s">
        <v>1534</v>
      </c>
      <c r="B52" s="86" t="s">
        <v>1535</v>
      </c>
      <c r="C52" s="87"/>
    </row>
    <row r="53" customFormat="false" ht="14.25" hidden="false" customHeight="false" outlineLevel="0" collapsed="false">
      <c r="A53" s="85" t="s">
        <v>1536</v>
      </c>
      <c r="B53" s="86" t="s">
        <v>1537</v>
      </c>
      <c r="C53" s="87"/>
    </row>
    <row r="54" customFormat="false" ht="14.25" hidden="false" customHeight="false" outlineLevel="0" collapsed="false">
      <c r="A54" s="85" t="s">
        <v>1538</v>
      </c>
      <c r="B54" s="86" t="s">
        <v>1539</v>
      </c>
      <c r="C54" s="87"/>
    </row>
    <row r="55" customFormat="false" ht="14.25" hidden="false" customHeight="false" outlineLevel="0" collapsed="false">
      <c r="A55" s="85" t="s">
        <v>1540</v>
      </c>
      <c r="B55" s="86" t="s">
        <v>1541</v>
      </c>
      <c r="C55" s="87"/>
    </row>
    <row r="56" customFormat="false" ht="14.25" hidden="false" customHeight="false" outlineLevel="0" collapsed="false">
      <c r="A56" s="85" t="s">
        <v>1542</v>
      </c>
      <c r="B56" s="86" t="s">
        <v>1543</v>
      </c>
      <c r="C56" s="87"/>
    </row>
    <row r="57" customFormat="false" ht="14.25" hidden="false" customHeight="false" outlineLevel="0" collapsed="false">
      <c r="A57" s="85" t="s">
        <v>1544</v>
      </c>
      <c r="B57" s="86" t="s">
        <v>1545</v>
      </c>
      <c r="C57" s="87"/>
    </row>
    <row r="58" customFormat="false" ht="14.25" hidden="false" customHeight="false" outlineLevel="0" collapsed="false">
      <c r="A58" s="85" t="s">
        <v>1546</v>
      </c>
      <c r="B58" s="86" t="s">
        <v>1547</v>
      </c>
      <c r="C58" s="87"/>
    </row>
    <row r="59" customFormat="false" ht="14.25" hidden="false" customHeight="false" outlineLevel="0" collapsed="false">
      <c r="A59" s="85" t="s">
        <v>1551</v>
      </c>
      <c r="B59" s="86" t="s">
        <v>1552</v>
      </c>
      <c r="C59" s="87"/>
    </row>
    <row r="60" customFormat="false" ht="14.25" hidden="false" customHeight="false" outlineLevel="0" collapsed="false">
      <c r="A60" s="85" t="s">
        <v>1554</v>
      </c>
      <c r="B60" s="86" t="s">
        <v>1555</v>
      </c>
      <c r="C60" s="87"/>
    </row>
    <row r="61" customFormat="false" ht="14.25" hidden="false" customHeight="false" outlineLevel="0" collapsed="false">
      <c r="A61" s="85" t="s">
        <v>1556</v>
      </c>
      <c r="B61" s="86" t="s">
        <v>1557</v>
      </c>
      <c r="C61" s="87"/>
    </row>
    <row r="62" customFormat="false" ht="14.25" hidden="false" customHeight="false" outlineLevel="0" collapsed="false">
      <c r="A62" s="85" t="s">
        <v>1558</v>
      </c>
      <c r="B62" s="86" t="s">
        <v>1559</v>
      </c>
      <c r="C62" s="87"/>
    </row>
    <row r="63" customFormat="false" ht="14.25" hidden="false" customHeight="false" outlineLevel="0" collapsed="false">
      <c r="A63" s="85" t="s">
        <v>1560</v>
      </c>
      <c r="B63" s="86" t="s">
        <v>1561</v>
      </c>
      <c r="C63" s="87"/>
    </row>
    <row r="64" customFormat="false" ht="14.25" hidden="false" customHeight="false" outlineLevel="0" collapsed="false">
      <c r="A64" s="85" t="s">
        <v>1563</v>
      </c>
      <c r="B64" s="86" t="s">
        <v>1564</v>
      </c>
      <c r="C64" s="87"/>
    </row>
    <row r="65" customFormat="false" ht="14.25" hidden="false" customHeight="false" outlineLevel="0" collapsed="false">
      <c r="A65" s="85" t="s">
        <v>1565</v>
      </c>
      <c r="B65" s="86" t="s">
        <v>1566</v>
      </c>
      <c r="C65" s="87"/>
    </row>
    <row r="66" customFormat="false" ht="14.25" hidden="false" customHeight="false" outlineLevel="0" collapsed="false">
      <c r="A66" s="85" t="s">
        <v>1567</v>
      </c>
      <c r="B66" s="86" t="s">
        <v>1568</v>
      </c>
      <c r="C66" s="87"/>
    </row>
    <row r="67" customFormat="false" ht="14.25" hidden="false" customHeight="false" outlineLevel="0" collapsed="false">
      <c r="A67" s="88" t="s">
        <v>2398</v>
      </c>
      <c r="B67" s="89"/>
      <c r="C67" s="9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0" activeCellId="0" sqref="D30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8.82"/>
    <col collapsed="false" customWidth="true" hidden="false" outlineLevel="0" max="3" min="3" style="1" width="68.82"/>
    <col collapsed="false" customWidth="true" hidden="false" outlineLevel="0" max="4" min="4" style="1" width="16.45"/>
    <col collapsed="false" customWidth="true" hidden="false" outlineLevel="0" max="5" min="5" style="1" width="7.82"/>
  </cols>
  <sheetData>
    <row r="1" customFormat="false" ht="14.25" hidden="false" customHeight="false" outlineLevel="0" collapsed="false">
      <c r="A1" s="1" t="s">
        <v>1771</v>
      </c>
      <c r="B1" s="1" t="s">
        <v>2399</v>
      </c>
      <c r="C1" s="1" t="s">
        <v>2400</v>
      </c>
      <c r="D1" s="1" t="s">
        <v>1772</v>
      </c>
      <c r="E1" s="1" t="s">
        <v>2401</v>
      </c>
      <c r="F1" s="1" t="s">
        <v>2402</v>
      </c>
      <c r="G1" s="1" t="s">
        <v>2403</v>
      </c>
    </row>
    <row r="2" customFormat="false" ht="14.25" hidden="false" customHeight="false" outlineLevel="0" collapsed="false">
      <c r="A2" s="1" t="n">
        <v>1</v>
      </c>
      <c r="B2" s="1" t="s">
        <v>1430</v>
      </c>
      <c r="C2" s="1" t="s">
        <v>1705</v>
      </c>
      <c r="D2" s="1" t="n">
        <v>1</v>
      </c>
      <c r="E2" s="1" t="n">
        <v>1</v>
      </c>
      <c r="F2" s="1" t="s">
        <v>1616</v>
      </c>
      <c r="G2" s="1" t="s">
        <v>1617</v>
      </c>
    </row>
    <row r="3" customFormat="false" ht="14.25" hidden="false" customHeight="false" outlineLevel="0" collapsed="false">
      <c r="A3" s="1" t="n">
        <v>2</v>
      </c>
      <c r="B3" s="1" t="s">
        <v>1598</v>
      </c>
      <c r="C3" s="1" t="s">
        <v>1774</v>
      </c>
      <c r="D3" s="1" t="n">
        <v>2</v>
      </c>
      <c r="E3" s="1" t="n">
        <v>1</v>
      </c>
      <c r="F3" s="1" t="s">
        <v>1616</v>
      </c>
      <c r="G3" s="1" t="s">
        <v>1617</v>
      </c>
    </row>
    <row r="4" customFormat="false" ht="14.25" hidden="false" customHeight="false" outlineLevel="0" collapsed="false">
      <c r="A4" s="1" t="n">
        <v>3</v>
      </c>
      <c r="B4" s="1" t="s">
        <v>1613</v>
      </c>
      <c r="C4" s="1" t="s">
        <v>1615</v>
      </c>
      <c r="D4" s="1" t="n">
        <v>3</v>
      </c>
      <c r="E4" s="1" t="n">
        <v>1</v>
      </c>
      <c r="F4" s="1" t="s">
        <v>1616</v>
      </c>
      <c r="G4" s="1" t="s">
        <v>1617</v>
      </c>
    </row>
    <row r="5" customFormat="false" ht="14.25" hidden="false" customHeight="false" outlineLevel="0" collapsed="false">
      <c r="A5" s="1" t="n">
        <v>4</v>
      </c>
      <c r="B5" s="1" t="s">
        <v>1665</v>
      </c>
      <c r="C5" s="1" t="s">
        <v>1777</v>
      </c>
      <c r="D5" s="1" t="n">
        <v>1</v>
      </c>
      <c r="E5" s="1" t="n">
        <v>2</v>
      </c>
      <c r="F5" s="1" t="s">
        <v>1706</v>
      </c>
      <c r="G5" s="1" t="s">
        <v>1776</v>
      </c>
    </row>
    <row r="6" customFormat="false" ht="14.25" hidden="false" customHeight="false" outlineLevel="0" collapsed="false">
      <c r="A6" s="1" t="n">
        <v>5</v>
      </c>
      <c r="B6" s="1" t="s">
        <v>1666</v>
      </c>
      <c r="C6" s="1" t="s">
        <v>1778</v>
      </c>
      <c r="D6" s="1" t="n">
        <v>2</v>
      </c>
      <c r="E6" s="1" t="n">
        <v>2</v>
      </c>
      <c r="F6" s="1" t="s">
        <v>1706</v>
      </c>
      <c r="G6" s="1" t="s">
        <v>1776</v>
      </c>
    </row>
    <row r="7" customFormat="false" ht="14.25" hidden="false" customHeight="false" outlineLevel="0" collapsed="false">
      <c r="A7" s="1" t="n">
        <v>6</v>
      </c>
      <c r="B7" s="1" t="s">
        <v>1669</v>
      </c>
      <c r="C7" s="1" t="s">
        <v>1779</v>
      </c>
      <c r="D7" s="1" t="n">
        <v>3</v>
      </c>
      <c r="E7" s="1" t="n">
        <v>2</v>
      </c>
      <c r="F7" s="1" t="s">
        <v>1706</v>
      </c>
      <c r="G7" s="1" t="s">
        <v>1776</v>
      </c>
    </row>
    <row r="8" customFormat="false" ht="14.25" hidden="false" customHeight="false" outlineLevel="0" collapsed="false">
      <c r="A8" s="1" t="n">
        <v>7</v>
      </c>
      <c r="B8" s="1" t="s">
        <v>1682</v>
      </c>
      <c r="C8" s="1" t="s">
        <v>1782</v>
      </c>
      <c r="D8" s="1" t="n">
        <v>9</v>
      </c>
      <c r="E8" s="1" t="n">
        <v>3</v>
      </c>
      <c r="F8" s="1" t="s">
        <v>1707</v>
      </c>
      <c r="G8" s="1" t="s">
        <v>1781</v>
      </c>
    </row>
    <row r="9" customFormat="false" ht="14.25" hidden="false" customHeight="false" outlineLevel="0" collapsed="false">
      <c r="A9" s="1" t="n">
        <v>8</v>
      </c>
      <c r="B9" s="1" t="s">
        <v>1688</v>
      </c>
      <c r="C9" s="1" t="s">
        <v>1785</v>
      </c>
      <c r="D9" s="1" t="n">
        <v>9</v>
      </c>
      <c r="E9" s="1" t="n">
        <v>3</v>
      </c>
      <c r="F9" s="1" t="s">
        <v>1707</v>
      </c>
      <c r="G9" s="1" t="s">
        <v>1781</v>
      </c>
    </row>
    <row r="10" customFormat="false" ht="14.25" hidden="false" customHeight="false" outlineLevel="0" collapsed="false">
      <c r="A10" s="1" t="n">
        <v>9</v>
      </c>
      <c r="B10" s="1" t="s">
        <v>1786</v>
      </c>
      <c r="C10" s="1" t="s">
        <v>1787</v>
      </c>
      <c r="D10" s="1" t="n">
        <v>9</v>
      </c>
      <c r="E10" s="1" t="n">
        <v>3</v>
      </c>
      <c r="F10" s="1" t="s">
        <v>1707</v>
      </c>
      <c r="G10" s="1" t="s">
        <v>1781</v>
      </c>
    </row>
    <row r="11" customFormat="false" ht="14.25" hidden="false" customHeight="false" outlineLevel="0" collapsed="false">
      <c r="A11" s="1" t="n">
        <v>10</v>
      </c>
      <c r="B11" s="1" t="s">
        <v>1691</v>
      </c>
      <c r="C11" s="1" t="s">
        <v>1790</v>
      </c>
      <c r="D11" s="1" t="n">
        <v>9</v>
      </c>
      <c r="E11" s="1" t="n">
        <v>3</v>
      </c>
      <c r="F11" s="1" t="s">
        <v>1707</v>
      </c>
      <c r="G11" s="1" t="s">
        <v>1781</v>
      </c>
    </row>
    <row r="12" customFormat="false" ht="14.25" hidden="false" customHeight="false" outlineLevel="0" collapsed="false">
      <c r="A12" s="1" t="n">
        <v>11</v>
      </c>
      <c r="B12" s="1" t="s">
        <v>1693</v>
      </c>
      <c r="C12" s="1" t="s">
        <v>1791</v>
      </c>
      <c r="D12" s="1" t="n">
        <v>9</v>
      </c>
      <c r="E12" s="1" t="n">
        <v>3</v>
      </c>
      <c r="F12" s="1" t="s">
        <v>1707</v>
      </c>
      <c r="G12" s="1" t="s">
        <v>1781</v>
      </c>
    </row>
    <row r="13" customFormat="false" ht="14.25" hidden="false" customHeight="false" outlineLevel="0" collapsed="false">
      <c r="A13" s="1" t="n">
        <v>12</v>
      </c>
      <c r="B13" s="1" t="s">
        <v>1792</v>
      </c>
      <c r="C13" s="1" t="s">
        <v>1793</v>
      </c>
      <c r="D13" s="1" t="n">
        <v>9</v>
      </c>
      <c r="E13" s="1" t="n">
        <v>4</v>
      </c>
      <c r="F13" s="1" t="s">
        <v>1708</v>
      </c>
      <c r="G13" s="1" t="s">
        <v>1794</v>
      </c>
    </row>
    <row r="14" customFormat="false" ht="14.25" hidden="false" customHeight="false" outlineLevel="0" collapsed="false">
      <c r="A14" s="1" t="n">
        <v>13</v>
      </c>
      <c r="B14" s="1" t="s">
        <v>1795</v>
      </c>
      <c r="C14" s="1" t="s">
        <v>1796</v>
      </c>
      <c r="D14" s="1" t="n">
        <v>9</v>
      </c>
      <c r="E14" s="1" t="n">
        <v>4</v>
      </c>
      <c r="F14" s="1" t="s">
        <v>1708</v>
      </c>
      <c r="G14" s="1" t="s">
        <v>1794</v>
      </c>
    </row>
    <row r="15" customFormat="false" ht="14.25" hidden="false" customHeight="false" outlineLevel="0" collapsed="false">
      <c r="A15" s="1" t="n">
        <v>14</v>
      </c>
      <c r="B15" s="1" t="s">
        <v>1696</v>
      </c>
      <c r="C15" s="1" t="s">
        <v>1798</v>
      </c>
      <c r="D15" s="1" t="n">
        <v>10</v>
      </c>
      <c r="E15" s="1" t="n">
        <v>5</v>
      </c>
      <c r="F15" s="1" t="s">
        <v>1709</v>
      </c>
      <c r="G15" s="1" t="s">
        <v>1799</v>
      </c>
    </row>
    <row r="16" customFormat="false" ht="14.25" hidden="false" customHeight="false" outlineLevel="0" collapsed="false">
      <c r="A16" s="1" t="n">
        <v>15</v>
      </c>
      <c r="B16" s="1" t="s">
        <v>1800</v>
      </c>
      <c r="C16" s="1" t="s">
        <v>1801</v>
      </c>
      <c r="D16" s="1" t="n">
        <v>10</v>
      </c>
      <c r="E16" s="1" t="n">
        <v>5</v>
      </c>
      <c r="F16" s="1" t="s">
        <v>1709</v>
      </c>
      <c r="G16" s="1" t="s">
        <v>1799</v>
      </c>
    </row>
    <row r="17" customFormat="false" ht="14.25" hidden="false" customHeight="false" outlineLevel="0" collapsed="false">
      <c r="A17" s="1" t="n">
        <v>16</v>
      </c>
      <c r="B17" s="1" t="s">
        <v>1698</v>
      </c>
      <c r="C17" s="1" t="s">
        <v>1802</v>
      </c>
      <c r="D17" s="1" t="n">
        <v>10</v>
      </c>
      <c r="E17" s="1" t="n">
        <v>5</v>
      </c>
      <c r="F17" s="1" t="s">
        <v>1709</v>
      </c>
      <c r="G17" s="1" t="s">
        <v>1799</v>
      </c>
    </row>
    <row r="18" customFormat="false" ht="14.25" hidden="false" customHeight="false" outlineLevel="0" collapsed="false">
      <c r="A18" s="1" t="n">
        <v>17</v>
      </c>
      <c r="B18" s="1" t="s">
        <v>1700</v>
      </c>
      <c r="C18" s="1" t="s">
        <v>1803</v>
      </c>
      <c r="D18" s="1" t="n">
        <v>10</v>
      </c>
      <c r="E18" s="1" t="n">
        <v>5</v>
      </c>
      <c r="F18" s="1" t="s">
        <v>1709</v>
      </c>
      <c r="G18" s="1" t="s">
        <v>1799</v>
      </c>
    </row>
    <row r="19" customFormat="false" ht="14.25" hidden="false" customHeight="false" outlineLevel="0" collapsed="false">
      <c r="A19" s="1" t="n">
        <v>18</v>
      </c>
      <c r="B19" s="1" t="s">
        <v>1672</v>
      </c>
      <c r="C19" s="1" t="s">
        <v>1674</v>
      </c>
      <c r="D19" s="1" t="n">
        <v>4</v>
      </c>
      <c r="E19" s="1" t="n">
        <v>6</v>
      </c>
      <c r="F19" s="1" t="s">
        <v>1675</v>
      </c>
      <c r="G19" s="1" t="s">
        <v>1676</v>
      </c>
    </row>
    <row r="20" customFormat="false" ht="14.25" hidden="false" customHeight="false" outlineLevel="0" collapsed="false">
      <c r="A20" s="1" t="n">
        <v>19</v>
      </c>
      <c r="B20" s="1" t="s">
        <v>1678</v>
      </c>
      <c r="C20" s="1" t="s">
        <v>1679</v>
      </c>
      <c r="D20" s="1" t="n">
        <v>4</v>
      </c>
      <c r="E20" s="1" t="n">
        <v>6</v>
      </c>
      <c r="F20" s="1" t="s">
        <v>1675</v>
      </c>
      <c r="G20" s="1" t="s">
        <v>1676</v>
      </c>
    </row>
    <row r="21" customFormat="false" ht="14.25" hidden="false" customHeight="false" outlineLevel="0" collapsed="false">
      <c r="A21" s="1" t="n">
        <v>20</v>
      </c>
      <c r="B21" s="1" t="s">
        <v>1633</v>
      </c>
      <c r="C21" s="1" t="s">
        <v>1808</v>
      </c>
      <c r="D21" s="1" t="n">
        <v>4</v>
      </c>
      <c r="E21" s="1" t="n">
        <v>7</v>
      </c>
      <c r="F21" s="1" t="s">
        <v>1710</v>
      </c>
      <c r="G21" s="1" t="s">
        <v>1807</v>
      </c>
    </row>
    <row r="22" customFormat="false" ht="14.25" hidden="false" customHeight="false" outlineLevel="0" collapsed="false">
      <c r="A22" s="1" t="n">
        <v>21</v>
      </c>
      <c r="B22" s="1" t="s">
        <v>1636</v>
      </c>
      <c r="C22" s="1" t="s">
        <v>1809</v>
      </c>
      <c r="D22" s="1" t="n">
        <v>4</v>
      </c>
      <c r="E22" s="1" t="n">
        <v>7</v>
      </c>
      <c r="F22" s="1" t="s">
        <v>1710</v>
      </c>
      <c r="G22" s="1" t="s">
        <v>1807</v>
      </c>
    </row>
    <row r="23" customFormat="false" ht="14.25" hidden="false" customHeight="false" outlineLevel="0" collapsed="false">
      <c r="A23" s="1" t="n">
        <v>22</v>
      </c>
      <c r="B23" s="1" t="s">
        <v>1639</v>
      </c>
      <c r="C23" s="1" t="s">
        <v>1812</v>
      </c>
      <c r="D23" s="1" t="n">
        <v>5</v>
      </c>
      <c r="E23" s="1" t="n">
        <v>8</v>
      </c>
      <c r="F23" s="1" t="s">
        <v>1639</v>
      </c>
      <c r="G23" s="1" t="s">
        <v>1812</v>
      </c>
    </row>
    <row r="24" customFormat="false" ht="14.25" hidden="false" customHeight="false" outlineLevel="0" collapsed="false">
      <c r="A24" s="1" t="n">
        <v>23</v>
      </c>
      <c r="B24" s="1" t="s">
        <v>1642</v>
      </c>
      <c r="C24" s="1" t="s">
        <v>1815</v>
      </c>
      <c r="D24" s="1" t="n">
        <v>6</v>
      </c>
      <c r="E24" s="1" t="n">
        <v>9</v>
      </c>
      <c r="F24" s="1" t="s">
        <v>1816</v>
      </c>
      <c r="G24" s="1" t="s">
        <v>1817</v>
      </c>
    </row>
    <row r="25" customFormat="false" ht="14.25" hidden="false" customHeight="false" outlineLevel="0" collapsed="false">
      <c r="A25" s="1" t="n">
        <v>24</v>
      </c>
      <c r="B25" s="1" t="s">
        <v>1645</v>
      </c>
      <c r="C25" s="1" t="s">
        <v>1818</v>
      </c>
      <c r="D25" s="1" t="n">
        <v>6</v>
      </c>
      <c r="E25" s="1" t="n">
        <v>9</v>
      </c>
      <c r="F25" s="1" t="s">
        <v>1816</v>
      </c>
      <c r="G25" s="1" t="s">
        <v>1817</v>
      </c>
    </row>
    <row r="26" customFormat="false" ht="14.25" hidden="false" customHeight="false" outlineLevel="0" collapsed="false">
      <c r="A26" s="1" t="n">
        <v>25</v>
      </c>
      <c r="B26" s="1" t="s">
        <v>1648</v>
      </c>
      <c r="C26" s="1" t="s">
        <v>1819</v>
      </c>
      <c r="D26" s="1" t="n">
        <v>6</v>
      </c>
      <c r="E26" s="1" t="n">
        <v>9</v>
      </c>
      <c r="F26" s="1" t="s">
        <v>1816</v>
      </c>
      <c r="G26" s="1" t="s">
        <v>1817</v>
      </c>
    </row>
    <row r="27" customFormat="false" ht="14.25" hidden="false" customHeight="false" outlineLevel="0" collapsed="false">
      <c r="A27" s="1" t="n">
        <v>26</v>
      </c>
      <c r="B27" s="1" t="s">
        <v>1651</v>
      </c>
      <c r="C27" s="1" t="s">
        <v>1820</v>
      </c>
      <c r="D27" s="1" t="n">
        <v>6</v>
      </c>
      <c r="E27" s="1" t="n">
        <v>9</v>
      </c>
      <c r="F27" s="1" t="s">
        <v>1816</v>
      </c>
      <c r="G27" s="1" t="s">
        <v>1817</v>
      </c>
    </row>
    <row r="28" customFormat="false" ht="14.25" hidden="false" customHeight="false" outlineLevel="0" collapsed="false">
      <c r="A28" s="1" t="n">
        <v>27</v>
      </c>
      <c r="B28" s="1" t="s">
        <v>1821</v>
      </c>
      <c r="C28" s="1" t="s">
        <v>1822</v>
      </c>
      <c r="D28" s="1" t="n">
        <v>6</v>
      </c>
      <c r="E28" s="1" t="n">
        <v>10</v>
      </c>
      <c r="F28" s="1" t="s">
        <v>1823</v>
      </c>
      <c r="G28" s="1" t="s">
        <v>1822</v>
      </c>
    </row>
    <row r="29" customFormat="false" ht="14.25" hidden="false" customHeight="false" outlineLevel="0" collapsed="false">
      <c r="A29" s="1" t="n">
        <v>28</v>
      </c>
      <c r="B29" s="1" t="s">
        <v>1654</v>
      </c>
      <c r="C29" s="1" t="s">
        <v>1824</v>
      </c>
      <c r="D29" s="1" t="n">
        <v>7</v>
      </c>
      <c r="E29" s="1" t="n">
        <v>11</v>
      </c>
      <c r="F29" s="1" t="s">
        <v>1825</v>
      </c>
      <c r="G29" s="1" t="s">
        <v>1826</v>
      </c>
    </row>
    <row r="30" customFormat="false" ht="14.25" hidden="false" customHeight="false" outlineLevel="0" collapsed="false">
      <c r="A30" s="1" t="n">
        <v>29</v>
      </c>
      <c r="B30" s="1" t="s">
        <v>1827</v>
      </c>
      <c r="C30" s="1" t="s">
        <v>1829</v>
      </c>
      <c r="D30" s="1" t="n">
        <v>7</v>
      </c>
      <c r="E30" s="1" t="n">
        <v>11</v>
      </c>
      <c r="F30" s="1" t="s">
        <v>1825</v>
      </c>
      <c r="G30" s="1" t="s">
        <v>1826</v>
      </c>
    </row>
    <row r="31" customFormat="false" ht="14.25" hidden="false" customHeight="false" outlineLevel="0" collapsed="false">
      <c r="A31" s="1" t="n">
        <v>30</v>
      </c>
      <c r="B31" s="1" t="s">
        <v>1656</v>
      </c>
      <c r="C31" s="1" t="s">
        <v>1659</v>
      </c>
      <c r="D31" s="1" t="n">
        <v>8</v>
      </c>
      <c r="E31" s="1" t="n">
        <v>12</v>
      </c>
      <c r="F31" s="1" t="s">
        <v>1660</v>
      </c>
      <c r="G31" s="1" t="s">
        <v>1658</v>
      </c>
    </row>
    <row r="32" customFormat="false" ht="14.25" hidden="false" customHeight="false" outlineLevel="0" collapsed="false">
      <c r="A32" s="1" t="n">
        <v>31</v>
      </c>
      <c r="B32" s="1" t="s">
        <v>1830</v>
      </c>
      <c r="C32" s="1" t="s">
        <v>1831</v>
      </c>
      <c r="D32" s="1" t="n">
        <v>8</v>
      </c>
      <c r="E32" s="1" t="n">
        <v>12</v>
      </c>
      <c r="F32" s="1" t="s">
        <v>1660</v>
      </c>
      <c r="G32" s="1" t="s">
        <v>1658</v>
      </c>
    </row>
    <row r="33" customFormat="false" ht="14.25" hidden="false" customHeight="false" outlineLevel="0" collapsed="false">
      <c r="A33" s="1" t="n">
        <v>32</v>
      </c>
      <c r="B33" s="1" t="s">
        <v>1662</v>
      </c>
      <c r="C33" s="1" t="s">
        <v>1663</v>
      </c>
      <c r="D33" s="1" t="n">
        <v>8</v>
      </c>
      <c r="E33" s="1" t="n">
        <v>12</v>
      </c>
      <c r="F33" s="1" t="s">
        <v>1660</v>
      </c>
      <c r="G33" s="1" t="s">
        <v>1658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432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2022-10-18T17:15:59Z</dcterms:created>
  <dc:creator>Renato Vargas</dc:creator>
  <dc:description/>
  <dc:language>en-US</dc:language>
  <cp:lastModifiedBy/>
  <dcterms:modified xsi:type="dcterms:W3CDTF">2026-03-14T21:56:25Z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